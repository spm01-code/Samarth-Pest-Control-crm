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itya\Downloads\CRM Documents\New docs\"/>
    </mc:Choice>
  </mc:AlternateContent>
  <xr:revisionPtr revIDLastSave="0" documentId="8_{3C2D9B08-A4BB-42B2-B964-B3063FFC8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INVOICE" sheetId="6" r:id="rId1"/>
    <sheet name="GST - AUG 26" sheetId="22" r:id="rId2"/>
    <sheet name="KEAN CONSTRUCTION" sheetId="21" r:id="rId3"/>
    <sheet name="EPSILON CONST" sheetId="20" r:id="rId4"/>
    <sheet name="JUNE-26 GST" sheetId="19" r:id="rId5"/>
    <sheet name="KEC" sheetId="18" r:id="rId6"/>
    <sheet name="APRIL-26 GST" sheetId="17" r:id="rId7"/>
    <sheet name="MAR-26 GST" sheetId="16" r:id="rId8"/>
    <sheet name="west best" sheetId="15" r:id="rId9"/>
    <sheet name="Senghani" sheetId="13" r:id="rId10"/>
    <sheet name="PAYMENT BALANCE" sheetId="9" r:id="rId11"/>
    <sheet name="SEP-25 GST FILE" sheetId="7" state="hidden" r:id="rId12"/>
  </sheets>
  <definedNames>
    <definedName name="_xlnm._FilterDatabase" localSheetId="4" hidden="1">'JUNE-26 GST'!$A$1:$R$36</definedName>
    <definedName name="_xlnm._FilterDatabase" localSheetId="7" hidden="1">'MAR-26 GST'!$C$1:$C$74</definedName>
    <definedName name="_xlnm._FilterDatabase" localSheetId="10" hidden="1">'PAYMENT BALANCE'!$C$1:$C$393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56" i="6" l="1"/>
  <c r="K1056" i="6"/>
  <c r="J1056" i="6"/>
  <c r="M1056" i="6" s="1"/>
  <c r="S1056" i="6" s="1"/>
  <c r="V1056" i="6" s="1"/>
  <c r="K35" i="22"/>
  <c r="J35" i="22"/>
  <c r="M35" i="22" s="1"/>
  <c r="J50" i="22"/>
  <c r="K50" i="22"/>
  <c r="M49" i="22"/>
  <c r="K49" i="22"/>
  <c r="J49" i="22"/>
  <c r="K48" i="22"/>
  <c r="J48" i="22"/>
  <c r="K47" i="22"/>
  <c r="J47" i="22"/>
  <c r="M47" i="22" s="1"/>
  <c r="K46" i="22"/>
  <c r="J46" i="22"/>
  <c r="M46" i="22" s="1"/>
  <c r="K45" i="22"/>
  <c r="J45" i="22"/>
  <c r="M45" i="22" s="1"/>
  <c r="K44" i="22"/>
  <c r="J44" i="22"/>
  <c r="K43" i="22"/>
  <c r="J43" i="22"/>
  <c r="M43" i="22" s="1"/>
  <c r="K42" i="22"/>
  <c r="J42" i="22"/>
  <c r="M42" i="22" s="1"/>
  <c r="K41" i="22"/>
  <c r="J41" i="22"/>
  <c r="M41" i="22" s="1"/>
  <c r="K40" i="22"/>
  <c r="J40" i="22"/>
  <c r="K39" i="22"/>
  <c r="J39" i="22"/>
  <c r="M39" i="22" s="1"/>
  <c r="K38" i="22"/>
  <c r="J38" i="22"/>
  <c r="M38" i="22" s="1"/>
  <c r="K37" i="22"/>
  <c r="J37" i="22"/>
  <c r="M37" i="22" s="1"/>
  <c r="K36" i="22"/>
  <c r="J36" i="22"/>
  <c r="K34" i="22"/>
  <c r="J34" i="22"/>
  <c r="M34" i="22" s="1"/>
  <c r="K33" i="22"/>
  <c r="J33" i="22"/>
  <c r="M33" i="22" s="1"/>
  <c r="K32" i="22"/>
  <c r="J32" i="22"/>
  <c r="K31" i="22"/>
  <c r="J31" i="22"/>
  <c r="M31" i="22" s="1"/>
  <c r="K30" i="22"/>
  <c r="J30" i="22"/>
  <c r="M30" i="22" s="1"/>
  <c r="K29" i="22"/>
  <c r="J29" i="22"/>
  <c r="M29" i="22" s="1"/>
  <c r="K28" i="22"/>
  <c r="J28" i="22"/>
  <c r="K27" i="22"/>
  <c r="J27" i="22"/>
  <c r="M27" i="22" s="1"/>
  <c r="K26" i="22"/>
  <c r="J26" i="22"/>
  <c r="M26" i="22" s="1"/>
  <c r="K25" i="22"/>
  <c r="J25" i="22"/>
  <c r="M25" i="22" s="1"/>
  <c r="K24" i="22"/>
  <c r="J24" i="22"/>
  <c r="K23" i="22"/>
  <c r="J23" i="22"/>
  <c r="M23" i="22" s="1"/>
  <c r="K22" i="22"/>
  <c r="J22" i="22"/>
  <c r="M22" i="22" s="1"/>
  <c r="K21" i="22"/>
  <c r="J21" i="22"/>
  <c r="M21" i="22" s="1"/>
  <c r="K20" i="22"/>
  <c r="J20" i="22"/>
  <c r="K19" i="22"/>
  <c r="J19" i="22"/>
  <c r="M19" i="22" s="1"/>
  <c r="K18" i="22"/>
  <c r="J18" i="22"/>
  <c r="M18" i="22" s="1"/>
  <c r="K17" i="22"/>
  <c r="J17" i="22"/>
  <c r="M17" i="22" s="1"/>
  <c r="K16" i="22"/>
  <c r="J16" i="22"/>
  <c r="K15" i="22"/>
  <c r="J15" i="22"/>
  <c r="M15" i="22" s="1"/>
  <c r="K14" i="22"/>
  <c r="J14" i="22"/>
  <c r="M14" i="22" s="1"/>
  <c r="K13" i="22"/>
  <c r="J13" i="22"/>
  <c r="M13" i="22" s="1"/>
  <c r="K12" i="22"/>
  <c r="J12" i="22"/>
  <c r="K11" i="22"/>
  <c r="J11" i="22"/>
  <c r="M11" i="22" s="1"/>
  <c r="K10" i="22"/>
  <c r="J10" i="22"/>
  <c r="M10" i="22" s="1"/>
  <c r="K9" i="22"/>
  <c r="J9" i="22"/>
  <c r="M9" i="22" s="1"/>
  <c r="K8" i="22"/>
  <c r="J8" i="22"/>
  <c r="K7" i="22"/>
  <c r="J7" i="22"/>
  <c r="M7" i="22" s="1"/>
  <c r="K6" i="22"/>
  <c r="J6" i="22"/>
  <c r="M6" i="22" s="1"/>
  <c r="K5" i="22"/>
  <c r="J5" i="22"/>
  <c r="M5" i="22" s="1"/>
  <c r="K4" i="22"/>
  <c r="J4" i="22"/>
  <c r="M4" i="22" s="1"/>
  <c r="K3" i="22"/>
  <c r="J3" i="22"/>
  <c r="M3" i="22" s="1"/>
  <c r="N1047" i="6"/>
  <c r="N735" i="6"/>
  <c r="M36" i="22" l="1"/>
  <c r="M40" i="22"/>
  <c r="M44" i="22"/>
  <c r="M48" i="22"/>
  <c r="M8" i="22"/>
  <c r="M12" i="22"/>
  <c r="M16" i="22"/>
  <c r="M20" i="22"/>
  <c r="M24" i="22"/>
  <c r="M28" i="22"/>
  <c r="M32" i="22"/>
  <c r="M50" i="22"/>
  <c r="N1052" i="6"/>
  <c r="K1052" i="6"/>
  <c r="J1052" i="6"/>
  <c r="N1054" i="6"/>
  <c r="K1054" i="6"/>
  <c r="J1054" i="6"/>
  <c r="N1055" i="6"/>
  <c r="K1055" i="6"/>
  <c r="J1055" i="6"/>
  <c r="N1024" i="6"/>
  <c r="N989" i="6"/>
  <c r="N954" i="6"/>
  <c r="N917" i="6"/>
  <c r="N1045" i="6"/>
  <c r="N1046" i="6"/>
  <c r="J1034" i="6"/>
  <c r="J1024" i="6"/>
  <c r="K1020" i="6"/>
  <c r="K1021" i="6"/>
  <c r="K1022" i="6"/>
  <c r="K1024" i="6"/>
  <c r="K1025" i="6"/>
  <c r="K1026" i="6"/>
  <c r="K1027" i="6"/>
  <c r="K1028" i="6"/>
  <c r="K1029" i="6"/>
  <c r="K1030" i="6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2" i="19"/>
  <c r="J36" i="19"/>
  <c r="K36" i="19"/>
  <c r="N35" i="19"/>
  <c r="K35" i="19"/>
  <c r="J35" i="19"/>
  <c r="N34" i="19"/>
  <c r="K34" i="19"/>
  <c r="J34" i="19"/>
  <c r="N33" i="19"/>
  <c r="K33" i="19"/>
  <c r="J33" i="19"/>
  <c r="N32" i="19"/>
  <c r="K32" i="19"/>
  <c r="J32" i="19"/>
  <c r="N31" i="19"/>
  <c r="K31" i="19"/>
  <c r="J31" i="19"/>
  <c r="N30" i="19"/>
  <c r="K30" i="19"/>
  <c r="J30" i="19"/>
  <c r="N29" i="19"/>
  <c r="K29" i="19"/>
  <c r="J29" i="19"/>
  <c r="N28" i="19"/>
  <c r="K28" i="19"/>
  <c r="J28" i="19"/>
  <c r="N27" i="19"/>
  <c r="K27" i="19"/>
  <c r="J27" i="19"/>
  <c r="N26" i="19"/>
  <c r="K26" i="19"/>
  <c r="J26" i="19"/>
  <c r="N25" i="19"/>
  <c r="K25" i="19"/>
  <c r="J25" i="19"/>
  <c r="N24" i="19"/>
  <c r="K24" i="19"/>
  <c r="J24" i="19"/>
  <c r="N23" i="19"/>
  <c r="K23" i="19"/>
  <c r="J23" i="19"/>
  <c r="N22" i="19"/>
  <c r="K22" i="19"/>
  <c r="J22" i="19"/>
  <c r="N21" i="19"/>
  <c r="K21" i="19"/>
  <c r="J21" i="19"/>
  <c r="N20" i="19"/>
  <c r="K20" i="19"/>
  <c r="J20" i="19"/>
  <c r="N19" i="19"/>
  <c r="K19" i="19"/>
  <c r="J19" i="19"/>
  <c r="N18" i="19"/>
  <c r="K18" i="19"/>
  <c r="J18" i="19"/>
  <c r="N17" i="19"/>
  <c r="K17" i="19"/>
  <c r="J17" i="19"/>
  <c r="N16" i="19"/>
  <c r="K16" i="19"/>
  <c r="J16" i="19"/>
  <c r="N15" i="19"/>
  <c r="K15" i="19"/>
  <c r="J15" i="19"/>
  <c r="N14" i="19"/>
  <c r="K14" i="19"/>
  <c r="J14" i="19"/>
  <c r="N13" i="19"/>
  <c r="K13" i="19"/>
  <c r="J13" i="19"/>
  <c r="N12" i="19"/>
  <c r="K12" i="19"/>
  <c r="J12" i="19"/>
  <c r="N11" i="19"/>
  <c r="K11" i="19"/>
  <c r="J11" i="19"/>
  <c r="N10" i="19"/>
  <c r="K10" i="19"/>
  <c r="J10" i="19"/>
  <c r="N9" i="19"/>
  <c r="K9" i="19"/>
  <c r="J9" i="19"/>
  <c r="N8" i="19"/>
  <c r="K8" i="19"/>
  <c r="J8" i="19"/>
  <c r="N7" i="19"/>
  <c r="K7" i="19"/>
  <c r="J7" i="19"/>
  <c r="N6" i="19"/>
  <c r="K6" i="19"/>
  <c r="J6" i="19"/>
  <c r="N5" i="19"/>
  <c r="K5" i="19"/>
  <c r="J5" i="19"/>
  <c r="N4" i="19"/>
  <c r="K4" i="19"/>
  <c r="J4" i="19"/>
  <c r="N3" i="19"/>
  <c r="K3" i="19"/>
  <c r="J3" i="19"/>
  <c r="N2" i="19"/>
  <c r="K2" i="19"/>
  <c r="J2" i="19"/>
  <c r="M46" i="17"/>
  <c r="M47" i="17"/>
  <c r="M48" i="17"/>
  <c r="M49" i="17"/>
  <c r="M50" i="17"/>
  <c r="M51" i="17"/>
  <c r="M52" i="17"/>
  <c r="M53" i="17"/>
  <c r="M54" i="17"/>
  <c r="M45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3" i="17"/>
  <c r="M4" i="17"/>
  <c r="M5" i="17"/>
  <c r="M6" i="17"/>
  <c r="M7" i="17"/>
  <c r="M8" i="17"/>
  <c r="M2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K21" i="17"/>
  <c r="J21" i="17"/>
  <c r="N50" i="17"/>
  <c r="K50" i="17"/>
  <c r="J50" i="17"/>
  <c r="N41" i="17"/>
  <c r="K41" i="17"/>
  <c r="J41" i="17"/>
  <c r="N40" i="17"/>
  <c r="K40" i="17"/>
  <c r="J40" i="17"/>
  <c r="N39" i="17"/>
  <c r="K39" i="17"/>
  <c r="J39" i="17"/>
  <c r="N45" i="17"/>
  <c r="K45" i="17"/>
  <c r="J45" i="17"/>
  <c r="N46" i="17"/>
  <c r="K46" i="17"/>
  <c r="J46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" i="17"/>
  <c r="J2" i="17"/>
  <c r="K917" i="6"/>
  <c r="J917" i="6"/>
  <c r="N926" i="6"/>
  <c r="K926" i="6"/>
  <c r="J926" i="6"/>
  <c r="K912" i="6"/>
  <c r="K913" i="6"/>
  <c r="K914" i="6"/>
  <c r="K915" i="6"/>
  <c r="K916" i="6"/>
  <c r="K918" i="6"/>
  <c r="K919" i="6"/>
  <c r="K920" i="6"/>
  <c r="K921" i="6"/>
  <c r="K922" i="6"/>
  <c r="K923" i="6"/>
  <c r="K924" i="6"/>
  <c r="K925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3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N912" i="6"/>
  <c r="N913" i="6"/>
  <c r="N914" i="6"/>
  <c r="N916" i="6"/>
  <c r="N918" i="6"/>
  <c r="N919" i="6"/>
  <c r="N920" i="6"/>
  <c r="N921" i="6"/>
  <c r="N922" i="6"/>
  <c r="N923" i="6"/>
  <c r="N924" i="6"/>
  <c r="N925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3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8" i="6"/>
  <c r="N1049" i="6"/>
  <c r="N1050" i="6"/>
  <c r="N1051" i="6"/>
  <c r="N1053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J912" i="6"/>
  <c r="J913" i="6"/>
  <c r="J914" i="6"/>
  <c r="J915" i="6"/>
  <c r="J916" i="6"/>
  <c r="J918" i="6"/>
  <c r="J919" i="6"/>
  <c r="J920" i="6"/>
  <c r="J921" i="6"/>
  <c r="J922" i="6"/>
  <c r="J923" i="6"/>
  <c r="J924" i="6"/>
  <c r="J925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5" i="6"/>
  <c r="J1026" i="6"/>
  <c r="J1027" i="6"/>
  <c r="J1028" i="6"/>
  <c r="J1029" i="6"/>
  <c r="J1030" i="6"/>
  <c r="J1031" i="6"/>
  <c r="J1032" i="6"/>
  <c r="J1033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3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911" i="6"/>
  <c r="K911" i="6"/>
  <c r="N911" i="6"/>
  <c r="J878" i="6"/>
  <c r="K878" i="6"/>
  <c r="N878" i="6"/>
  <c r="J879" i="6"/>
  <c r="K879" i="6"/>
  <c r="N879" i="6"/>
  <c r="J880" i="6"/>
  <c r="K880" i="6"/>
  <c r="N880" i="6"/>
  <c r="J881" i="6"/>
  <c r="K881" i="6"/>
  <c r="N881" i="6"/>
  <c r="J882" i="6"/>
  <c r="K882" i="6"/>
  <c r="N882" i="6"/>
  <c r="J883" i="6"/>
  <c r="K883" i="6"/>
  <c r="N883" i="6"/>
  <c r="J884" i="6"/>
  <c r="K884" i="6"/>
  <c r="N884" i="6"/>
  <c r="J885" i="6"/>
  <c r="K885" i="6"/>
  <c r="N885" i="6"/>
  <c r="N867" i="6"/>
  <c r="N868" i="6"/>
  <c r="N869" i="6"/>
  <c r="N870" i="6"/>
  <c r="N871" i="6"/>
  <c r="N872" i="6"/>
  <c r="N873" i="6"/>
  <c r="N874" i="6"/>
  <c r="N875" i="6"/>
  <c r="N876" i="6"/>
  <c r="N877" i="6"/>
  <c r="K867" i="6"/>
  <c r="K868" i="6"/>
  <c r="K869" i="6"/>
  <c r="K870" i="6"/>
  <c r="K871" i="6"/>
  <c r="K872" i="6"/>
  <c r="K873" i="6"/>
  <c r="K874" i="6"/>
  <c r="K875" i="6"/>
  <c r="K876" i="6"/>
  <c r="K877" i="6"/>
  <c r="J867" i="6"/>
  <c r="J868" i="6"/>
  <c r="J869" i="6"/>
  <c r="J870" i="6"/>
  <c r="J871" i="6"/>
  <c r="J872" i="6"/>
  <c r="J873" i="6"/>
  <c r="J874" i="6"/>
  <c r="J875" i="6"/>
  <c r="J876" i="6"/>
  <c r="J877" i="6"/>
  <c r="K74" i="16"/>
  <c r="J74" i="16"/>
  <c r="K73" i="16"/>
  <c r="J73" i="16"/>
  <c r="K72" i="16"/>
  <c r="J72" i="16"/>
  <c r="K71" i="16"/>
  <c r="J71" i="16"/>
  <c r="K70" i="16"/>
  <c r="J70" i="16"/>
  <c r="K69" i="16"/>
  <c r="J69" i="16"/>
  <c r="K68" i="16"/>
  <c r="J68" i="16"/>
  <c r="K67" i="16"/>
  <c r="J67" i="16"/>
  <c r="K66" i="16"/>
  <c r="J66" i="16"/>
  <c r="K65" i="16"/>
  <c r="J65" i="16"/>
  <c r="K64" i="16"/>
  <c r="J64" i="16"/>
  <c r="K63" i="16"/>
  <c r="J63" i="16"/>
  <c r="K62" i="16"/>
  <c r="J62" i="16"/>
  <c r="K61" i="16"/>
  <c r="J61" i="16"/>
  <c r="K60" i="16"/>
  <c r="J60" i="16"/>
  <c r="K59" i="16"/>
  <c r="J59" i="16"/>
  <c r="K58" i="16"/>
  <c r="J58" i="16"/>
  <c r="K57" i="16"/>
  <c r="J57" i="16"/>
  <c r="K56" i="16"/>
  <c r="J56" i="16"/>
  <c r="K55" i="16"/>
  <c r="J55" i="16"/>
  <c r="K54" i="16"/>
  <c r="J54" i="16"/>
  <c r="K53" i="16"/>
  <c r="J53" i="16"/>
  <c r="K52" i="16"/>
  <c r="J52" i="16"/>
  <c r="K51" i="16"/>
  <c r="J51" i="16"/>
  <c r="K50" i="16"/>
  <c r="J50" i="16"/>
  <c r="K49" i="16"/>
  <c r="J49" i="16"/>
  <c r="K48" i="16"/>
  <c r="J48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M30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" i="16"/>
  <c r="J2" i="16"/>
  <c r="J910" i="6"/>
  <c r="K910" i="6"/>
  <c r="N910" i="6"/>
  <c r="J782" i="6"/>
  <c r="K782" i="6"/>
  <c r="J767" i="6"/>
  <c r="N766" i="6"/>
  <c r="K766" i="6"/>
  <c r="J766" i="6"/>
  <c r="K765" i="6"/>
  <c r="J765" i="6"/>
  <c r="K764" i="6"/>
  <c r="J764" i="6"/>
  <c r="K763" i="6"/>
  <c r="J763" i="6"/>
  <c r="K762" i="6"/>
  <c r="J762" i="6"/>
  <c r="K761" i="6"/>
  <c r="J761" i="6"/>
  <c r="K738" i="6"/>
  <c r="J736" i="6"/>
  <c r="N418" i="6"/>
  <c r="N723" i="6"/>
  <c r="K723" i="6"/>
  <c r="J723" i="6"/>
  <c r="N722" i="6"/>
  <c r="K722" i="6"/>
  <c r="J722" i="6"/>
  <c r="N721" i="6"/>
  <c r="K721" i="6"/>
  <c r="J721" i="6"/>
  <c r="N720" i="6"/>
  <c r="K720" i="6"/>
  <c r="J720" i="6"/>
  <c r="N719" i="6"/>
  <c r="K719" i="6"/>
  <c r="J719" i="6"/>
  <c r="N718" i="6"/>
  <c r="K718" i="6"/>
  <c r="J718" i="6"/>
  <c r="N717" i="6"/>
  <c r="K717" i="6"/>
  <c r="J717" i="6"/>
  <c r="N716" i="6"/>
  <c r="K716" i="6"/>
  <c r="J716" i="6"/>
  <c r="N715" i="6"/>
  <c r="K715" i="6"/>
  <c r="J715" i="6"/>
  <c r="N714" i="6"/>
  <c r="K714" i="6"/>
  <c r="J714" i="6"/>
  <c r="K713" i="6"/>
  <c r="J713" i="6"/>
  <c r="N712" i="6"/>
  <c r="K712" i="6"/>
  <c r="J712" i="6"/>
  <c r="K711" i="6"/>
  <c r="J711" i="6"/>
  <c r="K710" i="6"/>
  <c r="J710" i="6"/>
  <c r="N709" i="6"/>
  <c r="K709" i="6"/>
  <c r="J709" i="6"/>
  <c r="K708" i="6"/>
  <c r="J708" i="6"/>
  <c r="N707" i="6"/>
  <c r="K707" i="6"/>
  <c r="J707" i="6"/>
  <c r="N706" i="6"/>
  <c r="K706" i="6"/>
  <c r="J706" i="6"/>
  <c r="N705" i="6"/>
  <c r="K705" i="6"/>
  <c r="J705" i="6"/>
  <c r="N704" i="6"/>
  <c r="K704" i="6"/>
  <c r="J704" i="6"/>
  <c r="N703" i="6"/>
  <c r="K703" i="6"/>
  <c r="J703" i="6"/>
  <c r="N702" i="6"/>
  <c r="K702" i="6"/>
  <c r="J702" i="6"/>
  <c r="N701" i="6"/>
  <c r="K701" i="6"/>
  <c r="J701" i="6"/>
  <c r="N700" i="6"/>
  <c r="K700" i="6"/>
  <c r="J700" i="6"/>
  <c r="N699" i="6"/>
  <c r="K699" i="6"/>
  <c r="J699" i="6"/>
  <c r="N698" i="6"/>
  <c r="K698" i="6"/>
  <c r="J698" i="6"/>
  <c r="N697" i="6"/>
  <c r="K697" i="6"/>
  <c r="J697" i="6"/>
  <c r="J694" i="6"/>
  <c r="K689" i="6"/>
  <c r="J689" i="6"/>
  <c r="K688" i="6"/>
  <c r="J688" i="6"/>
  <c r="N687" i="6"/>
  <c r="K687" i="6"/>
  <c r="J687" i="6"/>
  <c r="N686" i="6"/>
  <c r="K686" i="6"/>
  <c r="J686" i="6"/>
  <c r="N685" i="6"/>
  <c r="K685" i="6"/>
  <c r="J685" i="6"/>
  <c r="N684" i="6"/>
  <c r="K684" i="6"/>
  <c r="J684" i="6"/>
  <c r="N683" i="6"/>
  <c r="K683" i="6"/>
  <c r="J683" i="6"/>
  <c r="N390" i="6"/>
  <c r="N565" i="6"/>
  <c r="N657" i="6"/>
  <c r="N614" i="6"/>
  <c r="N575" i="6"/>
  <c r="J690" i="6"/>
  <c r="J691" i="6"/>
  <c r="J692" i="6"/>
  <c r="J693" i="6"/>
  <c r="J695" i="6"/>
  <c r="J696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K690" i="6"/>
  <c r="K691" i="6"/>
  <c r="K692" i="6"/>
  <c r="K693" i="6"/>
  <c r="K694" i="6"/>
  <c r="K695" i="6"/>
  <c r="K696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N690" i="6"/>
  <c r="N691" i="6"/>
  <c r="N692" i="6"/>
  <c r="N693" i="6"/>
  <c r="N694" i="6"/>
  <c r="N695" i="6"/>
  <c r="N696" i="6"/>
  <c r="N724" i="6"/>
  <c r="N725" i="6"/>
  <c r="N726" i="6"/>
  <c r="N727" i="6"/>
  <c r="N728" i="6"/>
  <c r="N729" i="6"/>
  <c r="N730" i="6"/>
  <c r="N731" i="6"/>
  <c r="N732" i="6"/>
  <c r="N733" i="6"/>
  <c r="N734" i="6"/>
  <c r="N736" i="6"/>
  <c r="N737" i="6"/>
  <c r="N738" i="6"/>
  <c r="N739" i="6"/>
  <c r="N740" i="6"/>
  <c r="N741" i="6"/>
  <c r="N742" i="6"/>
  <c r="N743" i="6"/>
  <c r="N744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7" i="6"/>
  <c r="N818" i="6"/>
  <c r="N819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4" i="6"/>
  <c r="N865" i="6"/>
  <c r="N866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9" i="6"/>
  <c r="N601" i="6"/>
  <c r="M1052" i="6" l="1"/>
  <c r="S1052" i="6" s="1"/>
  <c r="V1052" i="6" s="1"/>
  <c r="M1055" i="6"/>
  <c r="S1055" i="6" s="1"/>
  <c r="V1055" i="6" s="1"/>
  <c r="M1054" i="6"/>
  <c r="S1054" i="6" s="1"/>
  <c r="V1054" i="6" s="1"/>
  <c r="M990" i="6"/>
  <c r="S990" i="6" s="1"/>
  <c r="V990" i="6" s="1"/>
  <c r="P813" i="6"/>
  <c r="M873" i="6"/>
  <c r="S873" i="6" s="1"/>
  <c r="M882" i="6"/>
  <c r="S882" i="6" s="1"/>
  <c r="V882" i="6" s="1"/>
  <c r="M878" i="6"/>
  <c r="S878" i="6" s="1"/>
  <c r="V878" i="6" s="1"/>
  <c r="M926" i="6"/>
  <c r="S926" i="6" s="1"/>
  <c r="V926" i="6" s="1"/>
  <c r="M876" i="6"/>
  <c r="S876" i="6" s="1"/>
  <c r="M872" i="6"/>
  <c r="S872" i="6" s="1"/>
  <c r="M868" i="6"/>
  <c r="S868" i="6" s="1"/>
  <c r="M885" i="6"/>
  <c r="M881" i="6"/>
  <c r="S881" i="6" s="1"/>
  <c r="V881" i="6" s="1"/>
  <c r="M883" i="6"/>
  <c r="S883" i="6" s="1"/>
  <c r="V883" i="6" s="1"/>
  <c r="M879" i="6"/>
  <c r="S879" i="6" s="1"/>
  <c r="M884" i="6"/>
  <c r="S884" i="6" s="1"/>
  <c r="V884" i="6" s="1"/>
  <c r="M880" i="6"/>
  <c r="S880" i="6" s="1"/>
  <c r="V880" i="6" s="1"/>
  <c r="M48" i="16"/>
  <c r="M50" i="16"/>
  <c r="M52" i="16"/>
  <c r="M54" i="16"/>
  <c r="M56" i="16"/>
  <c r="M58" i="16"/>
  <c r="M60" i="16"/>
  <c r="M62" i="16"/>
  <c r="M64" i="16"/>
  <c r="M66" i="16"/>
  <c r="M68" i="16"/>
  <c r="M70" i="16"/>
  <c r="M72" i="16"/>
  <c r="M874" i="6"/>
  <c r="S874" i="6" s="1"/>
  <c r="M870" i="6"/>
  <c r="S870" i="6" s="1"/>
  <c r="M911" i="6"/>
  <c r="S911" i="6" s="1"/>
  <c r="V911" i="6" s="1"/>
  <c r="M917" i="6"/>
  <c r="S917" i="6" s="1"/>
  <c r="V917" i="6" s="1"/>
  <c r="M867" i="6"/>
  <c r="S867" i="6" s="1"/>
  <c r="M875" i="6"/>
  <c r="S875" i="6" s="1"/>
  <c r="M877" i="6"/>
  <c r="S877" i="6" s="1"/>
  <c r="M869" i="6"/>
  <c r="S869" i="6" s="1"/>
  <c r="M871" i="6"/>
  <c r="S871" i="6" s="1"/>
  <c r="M912" i="6"/>
  <c r="S912" i="6" s="1"/>
  <c r="V912" i="6" s="1"/>
  <c r="M913" i="6"/>
  <c r="S913" i="6" s="1"/>
  <c r="V913" i="6" s="1"/>
  <c r="M914" i="6"/>
  <c r="S914" i="6" s="1"/>
  <c r="V914" i="6" s="1"/>
  <c r="M915" i="6"/>
  <c r="S915" i="6" s="1"/>
  <c r="V915" i="6" s="1"/>
  <c r="M916" i="6"/>
  <c r="S916" i="6" s="1"/>
  <c r="V916" i="6" s="1"/>
  <c r="M918" i="6"/>
  <c r="S918" i="6" s="1"/>
  <c r="V918" i="6" s="1"/>
  <c r="M919" i="6"/>
  <c r="S919" i="6" s="1"/>
  <c r="V919" i="6" s="1"/>
  <c r="M920" i="6"/>
  <c r="S920" i="6" s="1"/>
  <c r="V920" i="6" s="1"/>
  <c r="M921" i="6"/>
  <c r="S921" i="6" s="1"/>
  <c r="V921" i="6" s="1"/>
  <c r="M922" i="6"/>
  <c r="S922" i="6" s="1"/>
  <c r="V922" i="6" s="1"/>
  <c r="M923" i="6"/>
  <c r="S923" i="6" s="1"/>
  <c r="V923" i="6" s="1"/>
  <c r="M924" i="6"/>
  <c r="S924" i="6" s="1"/>
  <c r="V924" i="6" s="1"/>
  <c r="M925" i="6"/>
  <c r="S925" i="6" s="1"/>
  <c r="V925" i="6" s="1"/>
  <c r="M927" i="6"/>
  <c r="S927" i="6" s="1"/>
  <c r="V927" i="6" s="1"/>
  <c r="M928" i="6"/>
  <c r="S928" i="6" s="1"/>
  <c r="V928" i="6" s="1"/>
  <c r="M929" i="6"/>
  <c r="S929" i="6" s="1"/>
  <c r="V929" i="6" s="1"/>
  <c r="M930" i="6"/>
  <c r="S930" i="6" s="1"/>
  <c r="V930" i="6" s="1"/>
  <c r="M931" i="6"/>
  <c r="S931" i="6" s="1"/>
  <c r="V931" i="6" s="1"/>
  <c r="M932" i="6"/>
  <c r="S932" i="6" s="1"/>
  <c r="V932" i="6" s="1"/>
  <c r="M933" i="6"/>
  <c r="S933" i="6" s="1"/>
  <c r="V933" i="6" s="1"/>
  <c r="M934" i="6"/>
  <c r="S934" i="6" s="1"/>
  <c r="V934" i="6" s="1"/>
  <c r="M935" i="6"/>
  <c r="S935" i="6" s="1"/>
  <c r="V935" i="6" s="1"/>
  <c r="M936" i="6"/>
  <c r="S936" i="6" s="1"/>
  <c r="V936" i="6" s="1"/>
  <c r="M937" i="6"/>
  <c r="S937" i="6" s="1"/>
  <c r="V937" i="6" s="1"/>
  <c r="M938" i="6"/>
  <c r="S938" i="6" s="1"/>
  <c r="V938" i="6" s="1"/>
  <c r="M939" i="6"/>
  <c r="S939" i="6" s="1"/>
  <c r="V939" i="6" s="1"/>
  <c r="M940" i="6"/>
  <c r="S940" i="6" s="1"/>
  <c r="V940" i="6" s="1"/>
  <c r="M941" i="6"/>
  <c r="S941" i="6" s="1"/>
  <c r="V941" i="6" s="1"/>
  <c r="M942" i="6"/>
  <c r="S942" i="6" s="1"/>
  <c r="V942" i="6" s="1"/>
  <c r="M943" i="6"/>
  <c r="S943" i="6" s="1"/>
  <c r="V943" i="6" s="1"/>
  <c r="M944" i="6"/>
  <c r="S944" i="6" s="1"/>
  <c r="V944" i="6" s="1"/>
  <c r="M945" i="6"/>
  <c r="S945" i="6" s="1"/>
  <c r="V945" i="6" s="1"/>
  <c r="M946" i="6"/>
  <c r="S946" i="6" s="1"/>
  <c r="V946" i="6" s="1"/>
  <c r="M947" i="6"/>
  <c r="S947" i="6" s="1"/>
  <c r="V947" i="6" s="1"/>
  <c r="M948" i="6"/>
  <c r="S948" i="6" s="1"/>
  <c r="V948" i="6" s="1"/>
  <c r="M949" i="6"/>
  <c r="S949" i="6" s="1"/>
  <c r="V949" i="6" s="1"/>
  <c r="M950" i="6"/>
  <c r="S950" i="6" s="1"/>
  <c r="V950" i="6" s="1"/>
  <c r="M951" i="6"/>
  <c r="S951" i="6" s="1"/>
  <c r="V951" i="6" s="1"/>
  <c r="M952" i="6"/>
  <c r="S952" i="6" s="1"/>
  <c r="V952" i="6" s="1"/>
  <c r="M953" i="6"/>
  <c r="S953" i="6" s="1"/>
  <c r="V953" i="6" s="1"/>
  <c r="M954" i="6"/>
  <c r="S954" i="6" s="1"/>
  <c r="V954" i="6" s="1"/>
  <c r="M955" i="6"/>
  <c r="S955" i="6" s="1"/>
  <c r="V955" i="6" s="1"/>
  <c r="M956" i="6"/>
  <c r="S956" i="6" s="1"/>
  <c r="V956" i="6" s="1"/>
  <c r="M957" i="6"/>
  <c r="S957" i="6" s="1"/>
  <c r="V957" i="6" s="1"/>
  <c r="M958" i="6"/>
  <c r="S958" i="6" s="1"/>
  <c r="V958" i="6" s="1"/>
  <c r="M959" i="6"/>
  <c r="S959" i="6" s="1"/>
  <c r="V959" i="6" s="1"/>
  <c r="M960" i="6"/>
  <c r="S960" i="6" s="1"/>
  <c r="V960" i="6" s="1"/>
  <c r="M961" i="6"/>
  <c r="S961" i="6" s="1"/>
  <c r="V961" i="6" s="1"/>
  <c r="M962" i="6"/>
  <c r="S962" i="6" s="1"/>
  <c r="V962" i="6" s="1"/>
  <c r="M963" i="6"/>
  <c r="S963" i="6" s="1"/>
  <c r="V963" i="6" s="1"/>
  <c r="M964" i="6"/>
  <c r="S964" i="6" s="1"/>
  <c r="V964" i="6" s="1"/>
  <c r="M965" i="6"/>
  <c r="S965" i="6" s="1"/>
  <c r="V965" i="6" s="1"/>
  <c r="M966" i="6"/>
  <c r="S966" i="6" s="1"/>
  <c r="V966" i="6" s="1"/>
  <c r="M967" i="6"/>
  <c r="S967" i="6" s="1"/>
  <c r="V967" i="6" s="1"/>
  <c r="M968" i="6"/>
  <c r="S968" i="6" s="1"/>
  <c r="V968" i="6" s="1"/>
  <c r="M969" i="6"/>
  <c r="S969" i="6" s="1"/>
  <c r="V969" i="6" s="1"/>
  <c r="M970" i="6"/>
  <c r="S970" i="6" s="1"/>
  <c r="V970" i="6" s="1"/>
  <c r="M971" i="6"/>
  <c r="S971" i="6" s="1"/>
  <c r="V971" i="6" s="1"/>
  <c r="M972" i="6"/>
  <c r="S972" i="6" s="1"/>
  <c r="V972" i="6" s="1"/>
  <c r="M973" i="6"/>
  <c r="S973" i="6" s="1"/>
  <c r="V973" i="6" s="1"/>
  <c r="M974" i="6"/>
  <c r="S974" i="6" s="1"/>
  <c r="V974" i="6" s="1"/>
  <c r="M975" i="6"/>
  <c r="S975" i="6" s="1"/>
  <c r="V975" i="6" s="1"/>
  <c r="M976" i="6"/>
  <c r="S976" i="6" s="1"/>
  <c r="V976" i="6" s="1"/>
  <c r="M977" i="6"/>
  <c r="S977" i="6" s="1"/>
  <c r="V977" i="6" s="1"/>
  <c r="M978" i="6"/>
  <c r="S978" i="6" s="1"/>
  <c r="V978" i="6" s="1"/>
  <c r="M979" i="6"/>
  <c r="S979" i="6" s="1"/>
  <c r="V979" i="6" s="1"/>
  <c r="M980" i="6"/>
  <c r="S980" i="6" s="1"/>
  <c r="V980" i="6" s="1"/>
  <c r="M981" i="6"/>
  <c r="S981" i="6" s="1"/>
  <c r="V981" i="6" s="1"/>
  <c r="M982" i="6"/>
  <c r="S982" i="6" s="1"/>
  <c r="V982" i="6" s="1"/>
  <c r="M983" i="6"/>
  <c r="S983" i="6" s="1"/>
  <c r="V983" i="6" s="1"/>
  <c r="M984" i="6"/>
  <c r="S984" i="6" s="1"/>
  <c r="V984" i="6" s="1"/>
  <c r="M985" i="6"/>
  <c r="S985" i="6" s="1"/>
  <c r="V985" i="6" s="1"/>
  <c r="M986" i="6"/>
  <c r="S986" i="6" s="1"/>
  <c r="V986" i="6" s="1"/>
  <c r="M987" i="6"/>
  <c r="S987" i="6" s="1"/>
  <c r="V987" i="6" s="1"/>
  <c r="M988" i="6"/>
  <c r="S988" i="6" s="1"/>
  <c r="V988" i="6" s="1"/>
  <c r="M989" i="6"/>
  <c r="S989" i="6" s="1"/>
  <c r="V989" i="6" s="1"/>
  <c r="M991" i="6"/>
  <c r="S991" i="6" s="1"/>
  <c r="V991" i="6" s="1"/>
  <c r="M992" i="6"/>
  <c r="S992" i="6" s="1"/>
  <c r="V992" i="6" s="1"/>
  <c r="M993" i="6"/>
  <c r="S993" i="6" s="1"/>
  <c r="V993" i="6" s="1"/>
  <c r="M994" i="6"/>
  <c r="S994" i="6" s="1"/>
  <c r="V994" i="6" s="1"/>
  <c r="M995" i="6"/>
  <c r="S995" i="6" s="1"/>
  <c r="V995" i="6" s="1"/>
  <c r="M996" i="6"/>
  <c r="S996" i="6" s="1"/>
  <c r="V996" i="6" s="1"/>
  <c r="M997" i="6"/>
  <c r="S997" i="6" s="1"/>
  <c r="V997" i="6" s="1"/>
  <c r="M998" i="6"/>
  <c r="S998" i="6" s="1"/>
  <c r="V998" i="6" s="1"/>
  <c r="M999" i="6"/>
  <c r="S999" i="6" s="1"/>
  <c r="V999" i="6" s="1"/>
  <c r="M1000" i="6"/>
  <c r="S1000" i="6" s="1"/>
  <c r="V1000" i="6" s="1"/>
  <c r="M1001" i="6"/>
  <c r="S1001" i="6" s="1"/>
  <c r="V1001" i="6" s="1"/>
  <c r="M1002" i="6"/>
  <c r="S1002" i="6" s="1"/>
  <c r="V1002" i="6" s="1"/>
  <c r="M1003" i="6"/>
  <c r="S1003" i="6" s="1"/>
  <c r="V1003" i="6" s="1"/>
  <c r="M1004" i="6"/>
  <c r="S1004" i="6" s="1"/>
  <c r="V1004" i="6" s="1"/>
  <c r="M1005" i="6"/>
  <c r="S1005" i="6" s="1"/>
  <c r="V1005" i="6" s="1"/>
  <c r="M1006" i="6"/>
  <c r="S1006" i="6" s="1"/>
  <c r="V1006" i="6" s="1"/>
  <c r="M1007" i="6"/>
  <c r="S1007" i="6" s="1"/>
  <c r="V1007" i="6" s="1"/>
  <c r="M1008" i="6"/>
  <c r="S1008" i="6" s="1"/>
  <c r="V1008" i="6" s="1"/>
  <c r="M1009" i="6"/>
  <c r="S1009" i="6" s="1"/>
  <c r="V1009" i="6" s="1"/>
  <c r="M1010" i="6"/>
  <c r="S1010" i="6" s="1"/>
  <c r="V1010" i="6" s="1"/>
  <c r="M1011" i="6"/>
  <c r="S1011" i="6" s="1"/>
  <c r="V1011" i="6" s="1"/>
  <c r="M1012" i="6"/>
  <c r="S1012" i="6" s="1"/>
  <c r="V1012" i="6" s="1"/>
  <c r="M1013" i="6"/>
  <c r="S1013" i="6" s="1"/>
  <c r="V1013" i="6" s="1"/>
  <c r="M1014" i="6"/>
  <c r="S1014" i="6" s="1"/>
  <c r="V1014" i="6" s="1"/>
  <c r="M1015" i="6"/>
  <c r="S1015" i="6" s="1"/>
  <c r="V1015" i="6" s="1"/>
  <c r="M1016" i="6"/>
  <c r="S1016" i="6" s="1"/>
  <c r="V1016" i="6" s="1"/>
  <c r="M1017" i="6"/>
  <c r="S1017" i="6" s="1"/>
  <c r="V1017" i="6" s="1"/>
  <c r="M1018" i="6"/>
  <c r="S1018" i="6" s="1"/>
  <c r="V1018" i="6" s="1"/>
  <c r="M1019" i="6"/>
  <c r="S1019" i="6" s="1"/>
  <c r="V1019" i="6" s="1"/>
  <c r="M1020" i="6"/>
  <c r="S1020" i="6" s="1"/>
  <c r="V1020" i="6" s="1"/>
  <c r="M1021" i="6"/>
  <c r="S1021" i="6" s="1"/>
  <c r="V1021" i="6" s="1"/>
  <c r="M1022" i="6"/>
  <c r="S1022" i="6" s="1"/>
  <c r="V1022" i="6" s="1"/>
  <c r="S1023" i="6"/>
  <c r="V1023" i="6" s="1"/>
  <c r="M1024" i="6"/>
  <c r="S1024" i="6" s="1"/>
  <c r="V1024" i="6" s="1"/>
  <c r="M1025" i="6"/>
  <c r="S1025" i="6" s="1"/>
  <c r="V1025" i="6" s="1"/>
  <c r="M1026" i="6"/>
  <c r="S1026" i="6" s="1"/>
  <c r="V1026" i="6" s="1"/>
  <c r="M1027" i="6"/>
  <c r="S1027" i="6" s="1"/>
  <c r="V1027" i="6" s="1"/>
  <c r="M1028" i="6"/>
  <c r="S1028" i="6" s="1"/>
  <c r="V1028" i="6" s="1"/>
  <c r="M1029" i="6"/>
  <c r="S1029" i="6" s="1"/>
  <c r="V1029" i="6" s="1"/>
  <c r="M1030" i="6"/>
  <c r="S1030" i="6" s="1"/>
  <c r="V1030" i="6" s="1"/>
  <c r="M1031" i="6"/>
  <c r="S1031" i="6" s="1"/>
  <c r="V1031" i="6" s="1"/>
  <c r="M1032" i="6"/>
  <c r="S1032" i="6" s="1"/>
  <c r="V1032" i="6" s="1"/>
  <c r="M1033" i="6"/>
  <c r="S1033" i="6" s="1"/>
  <c r="V1033" i="6" s="1"/>
  <c r="M1034" i="6"/>
  <c r="S1034" i="6" s="1"/>
  <c r="V1034" i="6" s="1"/>
  <c r="M1035" i="6"/>
  <c r="S1035" i="6" s="1"/>
  <c r="V1035" i="6" s="1"/>
  <c r="M1036" i="6"/>
  <c r="S1036" i="6" s="1"/>
  <c r="V1036" i="6" s="1"/>
  <c r="M1037" i="6"/>
  <c r="S1037" i="6" s="1"/>
  <c r="V1037" i="6" s="1"/>
  <c r="M1038" i="6"/>
  <c r="S1038" i="6" s="1"/>
  <c r="V1038" i="6" s="1"/>
  <c r="M1039" i="6"/>
  <c r="S1039" i="6" s="1"/>
  <c r="V1039" i="6" s="1"/>
  <c r="M1040" i="6"/>
  <c r="S1040" i="6" s="1"/>
  <c r="V1040" i="6" s="1"/>
  <c r="M1041" i="6"/>
  <c r="S1041" i="6" s="1"/>
  <c r="V1041" i="6" s="1"/>
  <c r="M1042" i="6"/>
  <c r="S1042" i="6" s="1"/>
  <c r="V1042" i="6" s="1"/>
  <c r="M1043" i="6"/>
  <c r="S1043" i="6" s="1"/>
  <c r="V1043" i="6" s="1"/>
  <c r="M1044" i="6"/>
  <c r="S1044" i="6" s="1"/>
  <c r="V1044" i="6" s="1"/>
  <c r="M1045" i="6"/>
  <c r="S1045" i="6" s="1"/>
  <c r="V1045" i="6" s="1"/>
  <c r="M1046" i="6"/>
  <c r="S1046" i="6" s="1"/>
  <c r="V1046" i="6" s="1"/>
  <c r="M1047" i="6"/>
  <c r="M1048" i="6"/>
  <c r="S1048" i="6" s="1"/>
  <c r="V1048" i="6" s="1"/>
  <c r="M1049" i="6"/>
  <c r="S1049" i="6" s="1"/>
  <c r="V1049" i="6" s="1"/>
  <c r="M1050" i="6"/>
  <c r="S1050" i="6" s="1"/>
  <c r="V1050" i="6" s="1"/>
  <c r="M1051" i="6"/>
  <c r="S1051" i="6" s="1"/>
  <c r="V1051" i="6" s="1"/>
  <c r="M1053" i="6"/>
  <c r="S1053" i="6" s="1"/>
  <c r="V1053" i="6" s="1"/>
  <c r="M1057" i="6"/>
  <c r="S1057" i="6" s="1"/>
  <c r="V1057" i="6" s="1"/>
  <c r="M1058" i="6"/>
  <c r="S1058" i="6" s="1"/>
  <c r="V1058" i="6" s="1"/>
  <c r="M1059" i="6"/>
  <c r="S1059" i="6" s="1"/>
  <c r="V1059" i="6" s="1"/>
  <c r="M1060" i="6"/>
  <c r="S1060" i="6" s="1"/>
  <c r="V1060" i="6" s="1"/>
  <c r="M1061" i="6"/>
  <c r="S1061" i="6" s="1"/>
  <c r="V1061" i="6" s="1"/>
  <c r="M1062" i="6"/>
  <c r="S1062" i="6" s="1"/>
  <c r="V1062" i="6" s="1"/>
  <c r="M1063" i="6"/>
  <c r="S1063" i="6" s="1"/>
  <c r="V1063" i="6" s="1"/>
  <c r="M1064" i="6"/>
  <c r="S1064" i="6" s="1"/>
  <c r="V1064" i="6" s="1"/>
  <c r="M1065" i="6"/>
  <c r="S1065" i="6" s="1"/>
  <c r="V1065" i="6" s="1"/>
  <c r="M1066" i="6"/>
  <c r="S1066" i="6" s="1"/>
  <c r="V1066" i="6" s="1"/>
  <c r="M1067" i="6"/>
  <c r="S1067" i="6" s="1"/>
  <c r="V1067" i="6" s="1"/>
  <c r="M1068" i="6"/>
  <c r="S1068" i="6" s="1"/>
  <c r="V1068" i="6" s="1"/>
  <c r="M1069" i="6"/>
  <c r="S1069" i="6" s="1"/>
  <c r="V1069" i="6" s="1"/>
  <c r="M1070" i="6"/>
  <c r="S1070" i="6" s="1"/>
  <c r="V1070" i="6" s="1"/>
  <c r="M1071" i="6"/>
  <c r="S1071" i="6" s="1"/>
  <c r="V1071" i="6" s="1"/>
  <c r="M1072" i="6"/>
  <c r="S1072" i="6" s="1"/>
  <c r="V1072" i="6" s="1"/>
  <c r="M1073" i="6"/>
  <c r="S1073" i="6" s="1"/>
  <c r="V1073" i="6" s="1"/>
  <c r="M1074" i="6"/>
  <c r="S1074" i="6" s="1"/>
  <c r="V1074" i="6" s="1"/>
  <c r="M1075" i="6"/>
  <c r="S1075" i="6" s="1"/>
  <c r="V1075" i="6" s="1"/>
  <c r="M1076" i="6"/>
  <c r="S1076" i="6" s="1"/>
  <c r="V1076" i="6" s="1"/>
  <c r="M1077" i="6"/>
  <c r="S1077" i="6" s="1"/>
  <c r="V1077" i="6" s="1"/>
  <c r="M1078" i="6"/>
  <c r="S1078" i="6" s="1"/>
  <c r="V1078" i="6" s="1"/>
  <c r="M1079" i="6"/>
  <c r="S1079" i="6" s="1"/>
  <c r="V1079" i="6" s="1"/>
  <c r="M1080" i="6"/>
  <c r="S1080" i="6" s="1"/>
  <c r="V1080" i="6" s="1"/>
  <c r="M1081" i="6"/>
  <c r="S1081" i="6" s="1"/>
  <c r="V1081" i="6" s="1"/>
  <c r="M1082" i="6"/>
  <c r="S1082" i="6" s="1"/>
  <c r="V1082" i="6" s="1"/>
  <c r="M1083" i="6"/>
  <c r="S1083" i="6" s="1"/>
  <c r="V1083" i="6" s="1"/>
  <c r="M1084" i="6"/>
  <c r="S1084" i="6" s="1"/>
  <c r="V1084" i="6" s="1"/>
  <c r="M1085" i="6"/>
  <c r="S1085" i="6" s="1"/>
  <c r="V1085" i="6" s="1"/>
  <c r="M1086" i="6"/>
  <c r="S1086" i="6" s="1"/>
  <c r="V1086" i="6" s="1"/>
  <c r="M1087" i="6"/>
  <c r="S1087" i="6" s="1"/>
  <c r="V1087" i="6" s="1"/>
  <c r="M1088" i="6"/>
  <c r="S1088" i="6" s="1"/>
  <c r="V1088" i="6" s="1"/>
  <c r="M1089" i="6"/>
  <c r="S1089" i="6" s="1"/>
  <c r="V1089" i="6" s="1"/>
  <c r="M1090" i="6"/>
  <c r="S1090" i="6" s="1"/>
  <c r="V1090" i="6" s="1"/>
  <c r="M1091" i="6"/>
  <c r="S1091" i="6" s="1"/>
  <c r="V1091" i="6" s="1"/>
  <c r="M1092" i="6"/>
  <c r="S1092" i="6" s="1"/>
  <c r="V1092" i="6" s="1"/>
  <c r="M1093" i="6"/>
  <c r="S1093" i="6" s="1"/>
  <c r="V1093" i="6" s="1"/>
  <c r="M1094" i="6"/>
  <c r="S1094" i="6" s="1"/>
  <c r="V1094" i="6" s="1"/>
  <c r="M1095" i="6"/>
  <c r="S1095" i="6" s="1"/>
  <c r="V1095" i="6" s="1"/>
  <c r="M1096" i="6"/>
  <c r="S1096" i="6" s="1"/>
  <c r="V1096" i="6" s="1"/>
  <c r="M1097" i="6"/>
  <c r="S1097" i="6" s="1"/>
  <c r="V1097" i="6" s="1"/>
  <c r="M1098" i="6"/>
  <c r="S1098" i="6" s="1"/>
  <c r="V1098" i="6" s="1"/>
  <c r="M1099" i="6"/>
  <c r="S1099" i="6" s="1"/>
  <c r="V1099" i="6" s="1"/>
  <c r="M1100" i="6"/>
  <c r="S1100" i="6" s="1"/>
  <c r="V1100" i="6" s="1"/>
  <c r="M1101" i="6"/>
  <c r="S1101" i="6" s="1"/>
  <c r="V1101" i="6" s="1"/>
  <c r="M1102" i="6"/>
  <c r="S1102" i="6" s="1"/>
  <c r="V1102" i="6" s="1"/>
  <c r="M1103" i="6"/>
  <c r="S1103" i="6" s="1"/>
  <c r="V1103" i="6" s="1"/>
  <c r="M1104" i="6"/>
  <c r="S1104" i="6" s="1"/>
  <c r="V1104" i="6" s="1"/>
  <c r="M1105" i="6"/>
  <c r="S1105" i="6" s="1"/>
  <c r="V1105" i="6" s="1"/>
  <c r="M1106" i="6"/>
  <c r="S1106" i="6" s="1"/>
  <c r="V1106" i="6" s="1"/>
  <c r="M1107" i="6"/>
  <c r="S1107" i="6" s="1"/>
  <c r="V1107" i="6" s="1"/>
  <c r="M1108" i="6"/>
  <c r="S1108" i="6" s="1"/>
  <c r="V1108" i="6" s="1"/>
  <c r="M1109" i="6"/>
  <c r="S1109" i="6" s="1"/>
  <c r="V1109" i="6" s="1"/>
  <c r="M1110" i="6"/>
  <c r="S1110" i="6" s="1"/>
  <c r="V1110" i="6" s="1"/>
  <c r="M1111" i="6"/>
  <c r="S1111" i="6" s="1"/>
  <c r="V1111" i="6" s="1"/>
  <c r="M1112" i="6"/>
  <c r="S1112" i="6" s="1"/>
  <c r="V1112" i="6" s="1"/>
  <c r="M1113" i="6"/>
  <c r="S1113" i="6" s="1"/>
  <c r="V1113" i="6" s="1"/>
  <c r="M1114" i="6"/>
  <c r="S1114" i="6" s="1"/>
  <c r="V1114" i="6" s="1"/>
  <c r="M1115" i="6"/>
  <c r="S1115" i="6" s="1"/>
  <c r="V1115" i="6" s="1"/>
  <c r="M1116" i="6"/>
  <c r="S1116" i="6" s="1"/>
  <c r="V1116" i="6" s="1"/>
  <c r="M1117" i="6"/>
  <c r="S1117" i="6" s="1"/>
  <c r="V1117" i="6" s="1"/>
  <c r="M1118" i="6"/>
  <c r="S1118" i="6" s="1"/>
  <c r="V1118" i="6" s="1"/>
  <c r="M1119" i="6"/>
  <c r="S1119" i="6" s="1"/>
  <c r="V1119" i="6" s="1"/>
  <c r="M1120" i="6"/>
  <c r="S1120" i="6" s="1"/>
  <c r="V1120" i="6" s="1"/>
  <c r="M1121" i="6"/>
  <c r="S1121" i="6" s="1"/>
  <c r="V1121" i="6" s="1"/>
  <c r="M1122" i="6"/>
  <c r="S1122" i="6" s="1"/>
  <c r="V1122" i="6" s="1"/>
  <c r="M1123" i="6"/>
  <c r="S1123" i="6" s="1"/>
  <c r="V1123" i="6" s="1"/>
  <c r="M1124" i="6"/>
  <c r="S1124" i="6" s="1"/>
  <c r="V1124" i="6" s="1"/>
  <c r="M1125" i="6"/>
  <c r="S1125" i="6" s="1"/>
  <c r="V1125" i="6" s="1"/>
  <c r="M1126" i="6"/>
  <c r="S1126" i="6" s="1"/>
  <c r="V1126" i="6" s="1"/>
  <c r="M1127" i="6"/>
  <c r="S1127" i="6" s="1"/>
  <c r="V1127" i="6" s="1"/>
  <c r="M1128" i="6"/>
  <c r="S1128" i="6" s="1"/>
  <c r="V1128" i="6" s="1"/>
  <c r="M1129" i="6"/>
  <c r="S1129" i="6" s="1"/>
  <c r="V1129" i="6" s="1"/>
  <c r="M1130" i="6"/>
  <c r="S1130" i="6" s="1"/>
  <c r="V1130" i="6" s="1"/>
  <c r="M1131" i="6"/>
  <c r="S1131" i="6" s="1"/>
  <c r="V1131" i="6" s="1"/>
  <c r="M1132" i="6"/>
  <c r="S1132" i="6" s="1"/>
  <c r="V1132" i="6" s="1"/>
  <c r="M1133" i="6"/>
  <c r="S1133" i="6" s="1"/>
  <c r="V1133" i="6" s="1"/>
  <c r="M1134" i="6"/>
  <c r="S1134" i="6" s="1"/>
  <c r="V1134" i="6" s="1"/>
  <c r="M1135" i="6"/>
  <c r="S1135" i="6" s="1"/>
  <c r="V1135" i="6" s="1"/>
  <c r="M1136" i="6"/>
  <c r="S1136" i="6" s="1"/>
  <c r="V1136" i="6" s="1"/>
  <c r="M1137" i="6"/>
  <c r="S1137" i="6" s="1"/>
  <c r="V1137" i="6" s="1"/>
  <c r="M1138" i="6"/>
  <c r="S1138" i="6" s="1"/>
  <c r="V1138" i="6" s="1"/>
  <c r="M1139" i="6"/>
  <c r="S1139" i="6" s="1"/>
  <c r="V1139" i="6" s="1"/>
  <c r="M1140" i="6"/>
  <c r="S1140" i="6" s="1"/>
  <c r="V1140" i="6" s="1"/>
  <c r="M1141" i="6"/>
  <c r="S1141" i="6" s="1"/>
  <c r="V1141" i="6" s="1"/>
  <c r="M1142" i="6"/>
  <c r="S1142" i="6" s="1"/>
  <c r="V1142" i="6" s="1"/>
  <c r="M1143" i="6"/>
  <c r="S1143" i="6" s="1"/>
  <c r="V1143" i="6" s="1"/>
  <c r="M1144" i="6"/>
  <c r="S1144" i="6" s="1"/>
  <c r="V1144" i="6" s="1"/>
  <c r="M1145" i="6"/>
  <c r="S1145" i="6" s="1"/>
  <c r="V1145" i="6" s="1"/>
  <c r="M1146" i="6"/>
  <c r="S1146" i="6" s="1"/>
  <c r="V1146" i="6" s="1"/>
  <c r="M1147" i="6"/>
  <c r="S1147" i="6" s="1"/>
  <c r="V1147" i="6" s="1"/>
  <c r="M1148" i="6"/>
  <c r="S1148" i="6" s="1"/>
  <c r="V1148" i="6" s="1"/>
  <c r="M1149" i="6"/>
  <c r="S1149" i="6" s="1"/>
  <c r="V1149" i="6" s="1"/>
  <c r="M1150" i="6"/>
  <c r="S1150" i="6" s="1"/>
  <c r="V1150" i="6" s="1"/>
  <c r="M1151" i="6"/>
  <c r="S1151" i="6" s="1"/>
  <c r="V1151" i="6" s="1"/>
  <c r="M1152" i="6"/>
  <c r="S1152" i="6" s="1"/>
  <c r="V1152" i="6" s="1"/>
  <c r="M1153" i="6"/>
  <c r="S1153" i="6" s="1"/>
  <c r="V1153" i="6" s="1"/>
  <c r="M1154" i="6"/>
  <c r="S1154" i="6" s="1"/>
  <c r="V1154" i="6" s="1"/>
  <c r="M1155" i="6"/>
  <c r="S1155" i="6" s="1"/>
  <c r="V1155" i="6" s="1"/>
  <c r="M1156" i="6"/>
  <c r="S1156" i="6" s="1"/>
  <c r="V1156" i="6" s="1"/>
  <c r="M1157" i="6"/>
  <c r="S1157" i="6" s="1"/>
  <c r="V1157" i="6" s="1"/>
  <c r="M1158" i="6"/>
  <c r="S1158" i="6" s="1"/>
  <c r="V1158" i="6" s="1"/>
  <c r="M1159" i="6"/>
  <c r="S1159" i="6" s="1"/>
  <c r="V1159" i="6" s="1"/>
  <c r="M1160" i="6"/>
  <c r="S1160" i="6" s="1"/>
  <c r="V1160" i="6" s="1"/>
  <c r="M1161" i="6"/>
  <c r="S1161" i="6" s="1"/>
  <c r="V1161" i="6" s="1"/>
  <c r="M1162" i="6"/>
  <c r="S1162" i="6" s="1"/>
  <c r="V1162" i="6" s="1"/>
  <c r="M1163" i="6"/>
  <c r="S1163" i="6" s="1"/>
  <c r="V1163" i="6" s="1"/>
  <c r="M1164" i="6"/>
  <c r="S1164" i="6" s="1"/>
  <c r="V1164" i="6" s="1"/>
  <c r="M1165" i="6"/>
  <c r="S1165" i="6" s="1"/>
  <c r="V1165" i="6" s="1"/>
  <c r="M1166" i="6"/>
  <c r="S1166" i="6" s="1"/>
  <c r="V1166" i="6" s="1"/>
  <c r="M1167" i="6"/>
  <c r="S1167" i="6" s="1"/>
  <c r="V1167" i="6" s="1"/>
  <c r="M1168" i="6"/>
  <c r="S1168" i="6" s="1"/>
  <c r="V1168" i="6" s="1"/>
  <c r="M1169" i="6"/>
  <c r="S1169" i="6" s="1"/>
  <c r="V1169" i="6" s="1"/>
  <c r="M1170" i="6"/>
  <c r="S1170" i="6" s="1"/>
  <c r="V1170" i="6" s="1"/>
  <c r="M1171" i="6"/>
  <c r="S1171" i="6" s="1"/>
  <c r="V1171" i="6" s="1"/>
  <c r="M1172" i="6"/>
  <c r="S1172" i="6" s="1"/>
  <c r="V1172" i="6" s="1"/>
  <c r="M1173" i="6"/>
  <c r="S1173" i="6" s="1"/>
  <c r="V1173" i="6" s="1"/>
  <c r="M1174" i="6"/>
  <c r="S1174" i="6" s="1"/>
  <c r="V1174" i="6" s="1"/>
  <c r="M1175" i="6"/>
  <c r="S1175" i="6" s="1"/>
  <c r="V1175" i="6" s="1"/>
  <c r="M1176" i="6"/>
  <c r="S1176" i="6" s="1"/>
  <c r="V1176" i="6" s="1"/>
  <c r="M1177" i="6"/>
  <c r="S1177" i="6" s="1"/>
  <c r="V1177" i="6" s="1"/>
  <c r="M1178" i="6"/>
  <c r="S1178" i="6" s="1"/>
  <c r="V1178" i="6" s="1"/>
  <c r="M1179" i="6"/>
  <c r="S1179" i="6" s="1"/>
  <c r="V1179" i="6" s="1"/>
  <c r="M1180" i="6"/>
  <c r="S1180" i="6" s="1"/>
  <c r="V1180" i="6" s="1"/>
  <c r="M1181" i="6"/>
  <c r="S1181" i="6" s="1"/>
  <c r="V1181" i="6" s="1"/>
  <c r="M1182" i="6"/>
  <c r="S1182" i="6" s="1"/>
  <c r="V1182" i="6" s="1"/>
  <c r="M1183" i="6"/>
  <c r="S1183" i="6" s="1"/>
  <c r="V1183" i="6" s="1"/>
  <c r="M1184" i="6"/>
  <c r="S1184" i="6" s="1"/>
  <c r="V1184" i="6" s="1"/>
  <c r="M1185" i="6"/>
  <c r="S1185" i="6" s="1"/>
  <c r="V1185" i="6" s="1"/>
  <c r="M1186" i="6"/>
  <c r="S1186" i="6" s="1"/>
  <c r="V1186" i="6" s="1"/>
  <c r="M1187" i="6"/>
  <c r="S1187" i="6" s="1"/>
  <c r="V1187" i="6" s="1"/>
  <c r="M1188" i="6"/>
  <c r="S1188" i="6" s="1"/>
  <c r="V1188" i="6" s="1"/>
  <c r="M1189" i="6"/>
  <c r="S1189" i="6" s="1"/>
  <c r="V1189" i="6" s="1"/>
  <c r="M1190" i="6"/>
  <c r="S1190" i="6" s="1"/>
  <c r="V1190" i="6" s="1"/>
  <c r="M1191" i="6"/>
  <c r="S1191" i="6" s="1"/>
  <c r="V1191" i="6" s="1"/>
  <c r="M1192" i="6"/>
  <c r="S1192" i="6" s="1"/>
  <c r="V1192" i="6" s="1"/>
  <c r="M1193" i="6"/>
  <c r="S1193" i="6" s="1"/>
  <c r="V1193" i="6" s="1"/>
  <c r="M1194" i="6"/>
  <c r="S1194" i="6" s="1"/>
  <c r="V1194" i="6" s="1"/>
  <c r="M1195" i="6"/>
  <c r="S1195" i="6" s="1"/>
  <c r="V1195" i="6" s="1"/>
  <c r="M1196" i="6"/>
  <c r="S1196" i="6" s="1"/>
  <c r="V1196" i="6" s="1"/>
  <c r="M1197" i="6"/>
  <c r="S1197" i="6" s="1"/>
  <c r="V1197" i="6" s="1"/>
  <c r="M1198" i="6"/>
  <c r="S1198" i="6" s="1"/>
  <c r="V1198" i="6" s="1"/>
  <c r="M1199" i="6"/>
  <c r="S1199" i="6" s="1"/>
  <c r="V1199" i="6" s="1"/>
  <c r="M1200" i="6"/>
  <c r="S1200" i="6" s="1"/>
  <c r="V1200" i="6" s="1"/>
  <c r="M74" i="16"/>
  <c r="M49" i="16"/>
  <c r="M51" i="16"/>
  <c r="M53" i="16"/>
  <c r="M55" i="16"/>
  <c r="M57" i="16"/>
  <c r="M59" i="16"/>
  <c r="M61" i="16"/>
  <c r="M63" i="16"/>
  <c r="M65" i="16"/>
  <c r="M67" i="16"/>
  <c r="M69" i="16"/>
  <c r="M71" i="16"/>
  <c r="M73" i="16"/>
  <c r="M910" i="6"/>
  <c r="S910" i="6" s="1"/>
  <c r="V910" i="6" s="1"/>
  <c r="M782" i="6"/>
  <c r="M860" i="6"/>
  <c r="P707" i="6"/>
  <c r="M766" i="6"/>
  <c r="S766" i="6" s="1"/>
  <c r="V766" i="6" s="1"/>
  <c r="M762" i="6"/>
  <c r="S762" i="6" s="1"/>
  <c r="V762" i="6" s="1"/>
  <c r="M764" i="6"/>
  <c r="S764" i="6" s="1"/>
  <c r="V764" i="6" s="1"/>
  <c r="M761" i="6"/>
  <c r="S761" i="6" s="1"/>
  <c r="V761" i="6" s="1"/>
  <c r="M777" i="6"/>
  <c r="M733" i="6"/>
  <c r="M763" i="6"/>
  <c r="S763" i="6" s="1"/>
  <c r="V763" i="6" s="1"/>
  <c r="M765" i="6"/>
  <c r="S765" i="6" s="1"/>
  <c r="V765" i="6" s="1"/>
  <c r="M772" i="6"/>
  <c r="M698" i="6"/>
  <c r="S698" i="6" s="1"/>
  <c r="V698" i="6" s="1"/>
  <c r="M702" i="6"/>
  <c r="S702" i="6" s="1"/>
  <c r="V702" i="6" s="1"/>
  <c r="M697" i="6"/>
  <c r="S697" i="6" s="1"/>
  <c r="V697" i="6" s="1"/>
  <c r="M701" i="6"/>
  <c r="M705" i="6"/>
  <c r="M710" i="6"/>
  <c r="M712" i="6"/>
  <c r="M706" i="6"/>
  <c r="S706" i="6" s="1"/>
  <c r="V706" i="6" s="1"/>
  <c r="M709" i="6"/>
  <c r="M719" i="6"/>
  <c r="S719" i="6" s="1"/>
  <c r="M723" i="6"/>
  <c r="S723" i="6" s="1"/>
  <c r="M711" i="6"/>
  <c r="M700" i="6"/>
  <c r="M704" i="6"/>
  <c r="S704" i="6" s="1"/>
  <c r="V704" i="6" s="1"/>
  <c r="M708" i="6"/>
  <c r="M713" i="6"/>
  <c r="M716" i="6"/>
  <c r="S716" i="6" s="1"/>
  <c r="M717" i="6"/>
  <c r="S717" i="6" s="1"/>
  <c r="M720" i="6"/>
  <c r="S720" i="6" s="1"/>
  <c r="M714" i="6"/>
  <c r="M722" i="6"/>
  <c r="S722" i="6" s="1"/>
  <c r="M721" i="6"/>
  <c r="S721" i="6" s="1"/>
  <c r="M715" i="6"/>
  <c r="S715" i="6" s="1"/>
  <c r="M699" i="6"/>
  <c r="M703" i="6"/>
  <c r="M707" i="6"/>
  <c r="M718" i="6"/>
  <c r="S718" i="6" s="1"/>
  <c r="M686" i="6"/>
  <c r="M689" i="6"/>
  <c r="M683" i="6"/>
  <c r="M685" i="6"/>
  <c r="M688" i="6"/>
  <c r="M687" i="6"/>
  <c r="M684" i="6"/>
  <c r="M906" i="6"/>
  <c r="M902" i="6"/>
  <c r="M898" i="6"/>
  <c r="M894" i="6"/>
  <c r="M890" i="6"/>
  <c r="M886" i="6"/>
  <c r="M865" i="6"/>
  <c r="M861" i="6"/>
  <c r="M857" i="6"/>
  <c r="M853" i="6"/>
  <c r="M849" i="6"/>
  <c r="M845" i="6"/>
  <c r="M841" i="6"/>
  <c r="M837" i="6"/>
  <c r="M833" i="6"/>
  <c r="M829" i="6"/>
  <c r="M825" i="6"/>
  <c r="M821" i="6"/>
  <c r="M817" i="6"/>
  <c r="M813" i="6"/>
  <c r="M809" i="6"/>
  <c r="M805" i="6"/>
  <c r="M801" i="6"/>
  <c r="M797" i="6"/>
  <c r="M793" i="6"/>
  <c r="M789" i="6"/>
  <c r="M785" i="6"/>
  <c r="M781" i="6"/>
  <c r="M773" i="6"/>
  <c r="M909" i="6"/>
  <c r="M905" i="6"/>
  <c r="M901" i="6"/>
  <c r="M897" i="6"/>
  <c r="M893" i="6"/>
  <c r="M889" i="6"/>
  <c r="M864" i="6"/>
  <c r="M856" i="6"/>
  <c r="M852" i="6"/>
  <c r="M848" i="6"/>
  <c r="M844" i="6"/>
  <c r="M840" i="6"/>
  <c r="M836" i="6"/>
  <c r="M832" i="6"/>
  <c r="M828" i="6"/>
  <c r="M824" i="6"/>
  <c r="M820" i="6"/>
  <c r="M816" i="6"/>
  <c r="M812" i="6"/>
  <c r="M808" i="6"/>
  <c r="M804" i="6"/>
  <c r="M800" i="6"/>
  <c r="M796" i="6"/>
  <c r="M907" i="6"/>
  <c r="M895" i="6"/>
  <c r="M862" i="6"/>
  <c r="M846" i="6"/>
  <c r="M838" i="6"/>
  <c r="M826" i="6"/>
  <c r="M814" i="6"/>
  <c r="M802" i="6"/>
  <c r="M786" i="6"/>
  <c r="M778" i="6"/>
  <c r="M754" i="6"/>
  <c r="M742" i="6"/>
  <c r="M730" i="6"/>
  <c r="M695" i="6"/>
  <c r="M769" i="6"/>
  <c r="M757" i="6"/>
  <c r="M753" i="6"/>
  <c r="M749" i="6"/>
  <c r="M745" i="6"/>
  <c r="M741" i="6"/>
  <c r="M737" i="6"/>
  <c r="M903" i="6"/>
  <c r="M891" i="6"/>
  <c r="M866" i="6"/>
  <c r="M854" i="6"/>
  <c r="M842" i="6"/>
  <c r="M830" i="6"/>
  <c r="M818" i="6"/>
  <c r="M806" i="6"/>
  <c r="M794" i="6"/>
  <c r="M770" i="6"/>
  <c r="M758" i="6"/>
  <c r="M746" i="6"/>
  <c r="M734" i="6"/>
  <c r="M792" i="6"/>
  <c r="M788" i="6"/>
  <c r="M784" i="6"/>
  <c r="M780" i="6"/>
  <c r="M776" i="6"/>
  <c r="M768" i="6"/>
  <c r="M760" i="6"/>
  <c r="M756" i="6"/>
  <c r="M899" i="6"/>
  <c r="M887" i="6"/>
  <c r="M858" i="6"/>
  <c r="M850" i="6"/>
  <c r="M834" i="6"/>
  <c r="M822" i="6"/>
  <c r="M810" i="6"/>
  <c r="M798" i="6"/>
  <c r="M790" i="6"/>
  <c r="M774" i="6"/>
  <c r="M750" i="6"/>
  <c r="M738" i="6"/>
  <c r="M726" i="6"/>
  <c r="M691" i="6"/>
  <c r="M908" i="6"/>
  <c r="M904" i="6"/>
  <c r="M900" i="6"/>
  <c r="M896" i="6"/>
  <c r="M892" i="6"/>
  <c r="M888" i="6"/>
  <c r="M863" i="6"/>
  <c r="M859" i="6"/>
  <c r="M855" i="6"/>
  <c r="M851" i="6"/>
  <c r="M847" i="6"/>
  <c r="M843" i="6"/>
  <c r="M839" i="6"/>
  <c r="M835" i="6"/>
  <c r="M831" i="6"/>
  <c r="M827" i="6"/>
  <c r="M823" i="6"/>
  <c r="M819" i="6"/>
  <c r="M815" i="6"/>
  <c r="M811" i="6"/>
  <c r="M807" i="6"/>
  <c r="M803" i="6"/>
  <c r="M799" i="6"/>
  <c r="M795" i="6"/>
  <c r="M791" i="6"/>
  <c r="M787" i="6"/>
  <c r="M783" i="6"/>
  <c r="S783" i="6" s="1"/>
  <c r="M779" i="6"/>
  <c r="M775" i="6"/>
  <c r="M771" i="6"/>
  <c r="M767" i="6"/>
  <c r="M759" i="6"/>
  <c r="M755" i="6"/>
  <c r="M751" i="6"/>
  <c r="M747" i="6"/>
  <c r="M743" i="6"/>
  <c r="M739" i="6"/>
  <c r="M735" i="6"/>
  <c r="S735" i="6" s="1"/>
  <c r="M731" i="6"/>
  <c r="M727" i="6"/>
  <c r="M696" i="6"/>
  <c r="M692" i="6"/>
  <c r="M752" i="6"/>
  <c r="M748" i="6"/>
  <c r="M744" i="6"/>
  <c r="M740" i="6"/>
  <c r="M736" i="6"/>
  <c r="M728" i="6"/>
  <c r="M732" i="6"/>
  <c r="M724" i="6"/>
  <c r="M693" i="6"/>
  <c r="M729" i="6"/>
  <c r="M725" i="6"/>
  <c r="M694" i="6"/>
  <c r="M690" i="6"/>
  <c r="J682" i="6"/>
  <c r="K682" i="6"/>
  <c r="N682" i="6"/>
  <c r="J681" i="6"/>
  <c r="K681" i="6"/>
  <c r="N681" i="6"/>
  <c r="K680" i="6"/>
  <c r="N680" i="6"/>
  <c r="J679" i="6"/>
  <c r="K679" i="6"/>
  <c r="N679" i="6"/>
  <c r="J678" i="6"/>
  <c r="K678" i="6"/>
  <c r="N678" i="6"/>
  <c r="J677" i="6"/>
  <c r="K677" i="6"/>
  <c r="N677" i="6"/>
  <c r="J676" i="6"/>
  <c r="K676" i="6"/>
  <c r="N676" i="6"/>
  <c r="J675" i="6"/>
  <c r="K675" i="6"/>
  <c r="N675" i="6"/>
  <c r="J674" i="6"/>
  <c r="K674" i="6"/>
  <c r="N674" i="6"/>
  <c r="J673" i="6"/>
  <c r="K673" i="6"/>
  <c r="N673" i="6"/>
  <c r="J672" i="6"/>
  <c r="K672" i="6"/>
  <c r="N672" i="6"/>
  <c r="J671" i="6"/>
  <c r="K671" i="6"/>
  <c r="N671" i="6"/>
  <c r="J670" i="6"/>
  <c r="K670" i="6"/>
  <c r="N670" i="6"/>
  <c r="J669" i="6"/>
  <c r="K669" i="6"/>
  <c r="N669" i="6"/>
  <c r="J663" i="6"/>
  <c r="J664" i="6"/>
  <c r="J665" i="6"/>
  <c r="J666" i="6"/>
  <c r="J667" i="6"/>
  <c r="J668" i="6"/>
  <c r="K663" i="6"/>
  <c r="K664" i="6"/>
  <c r="K665" i="6"/>
  <c r="K666" i="6"/>
  <c r="K667" i="6"/>
  <c r="K668" i="6"/>
  <c r="N664" i="6"/>
  <c r="N665" i="6"/>
  <c r="N666" i="6"/>
  <c r="N667" i="6"/>
  <c r="N668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N646" i="6"/>
  <c r="N647" i="6"/>
  <c r="N648" i="6"/>
  <c r="N649" i="6"/>
  <c r="N650" i="6"/>
  <c r="N651" i="6"/>
  <c r="N652" i="6"/>
  <c r="N653" i="6"/>
  <c r="N654" i="6"/>
  <c r="N655" i="6"/>
  <c r="N656" i="6"/>
  <c r="N659" i="6"/>
  <c r="N662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P657" i="6" s="1"/>
  <c r="J658" i="6"/>
  <c r="J659" i="6"/>
  <c r="J660" i="6"/>
  <c r="J661" i="6"/>
  <c r="J662" i="6"/>
  <c r="M37" i="7"/>
  <c r="K37" i="7"/>
  <c r="J37" i="7"/>
  <c r="M36" i="7"/>
  <c r="K36" i="7"/>
  <c r="J36" i="7"/>
  <c r="M35" i="7"/>
  <c r="K35" i="7"/>
  <c r="J35" i="7"/>
  <c r="M34" i="7"/>
  <c r="K34" i="7"/>
  <c r="J34" i="7"/>
  <c r="M33" i="7"/>
  <c r="K33" i="7"/>
  <c r="J33" i="7"/>
  <c r="M32" i="7"/>
  <c r="K32" i="7"/>
  <c r="J32" i="7"/>
  <c r="M31" i="7"/>
  <c r="K31" i="7"/>
  <c r="J31" i="7"/>
  <c r="M30" i="7"/>
  <c r="K30" i="7"/>
  <c r="J30" i="7"/>
  <c r="M29" i="7"/>
  <c r="K29" i="7"/>
  <c r="J29" i="7"/>
  <c r="M28" i="7"/>
  <c r="K28" i="7"/>
  <c r="J28" i="7"/>
  <c r="M27" i="7"/>
  <c r="K27" i="7"/>
  <c r="J27" i="7"/>
  <c r="M26" i="7"/>
  <c r="K26" i="7"/>
  <c r="J26" i="7"/>
  <c r="M25" i="7"/>
  <c r="K25" i="7"/>
  <c r="J25" i="7"/>
  <c r="M24" i="7"/>
  <c r="K24" i="7"/>
  <c r="J24" i="7"/>
  <c r="M23" i="7"/>
  <c r="K23" i="7"/>
  <c r="J23" i="7"/>
  <c r="M22" i="7"/>
  <c r="K22" i="7"/>
  <c r="J22" i="7"/>
  <c r="M21" i="7"/>
  <c r="K21" i="7"/>
  <c r="J21" i="7"/>
  <c r="M20" i="7"/>
  <c r="K20" i="7"/>
  <c r="J20" i="7"/>
  <c r="M19" i="7"/>
  <c r="K19" i="7"/>
  <c r="J19" i="7"/>
  <c r="M18" i="7"/>
  <c r="K18" i="7"/>
  <c r="J18" i="7"/>
  <c r="M17" i="7"/>
  <c r="K17" i="7"/>
  <c r="J17" i="7"/>
  <c r="M16" i="7"/>
  <c r="K16" i="7"/>
  <c r="J16" i="7"/>
  <c r="M15" i="7"/>
  <c r="K15" i="7"/>
  <c r="J15" i="7"/>
  <c r="M14" i="7"/>
  <c r="K14" i="7"/>
  <c r="J14" i="7"/>
  <c r="M13" i="7"/>
  <c r="K13" i="7"/>
  <c r="J13" i="7"/>
  <c r="M12" i="7"/>
  <c r="K12" i="7"/>
  <c r="J12" i="7"/>
  <c r="M11" i="7"/>
  <c r="K11" i="7"/>
  <c r="J11" i="7"/>
  <c r="M10" i="7"/>
  <c r="K10" i="7"/>
  <c r="J10" i="7"/>
  <c r="M9" i="7"/>
  <c r="K9" i="7"/>
  <c r="J9" i="7"/>
  <c r="M8" i="7"/>
  <c r="K8" i="7"/>
  <c r="J8" i="7"/>
  <c r="M7" i="7"/>
  <c r="K7" i="7"/>
  <c r="J7" i="7"/>
  <c r="M6" i="7"/>
  <c r="K6" i="7"/>
  <c r="J6" i="7"/>
  <c r="M5" i="7"/>
  <c r="K5" i="7"/>
  <c r="J5" i="7"/>
  <c r="M4" i="7"/>
  <c r="K4" i="7"/>
  <c r="J4" i="7"/>
  <c r="M3" i="7"/>
  <c r="K3" i="7"/>
  <c r="J3" i="7"/>
  <c r="M2" i="7"/>
  <c r="K2" i="7"/>
  <c r="J2" i="7"/>
  <c r="N644" i="6"/>
  <c r="K644" i="6"/>
  <c r="N643" i="6"/>
  <c r="K643" i="6"/>
  <c r="J643" i="6"/>
  <c r="N642" i="6"/>
  <c r="K642" i="6"/>
  <c r="J642" i="6"/>
  <c r="N641" i="6"/>
  <c r="K641" i="6"/>
  <c r="J641" i="6"/>
  <c r="N640" i="6"/>
  <c r="K640" i="6"/>
  <c r="J640" i="6"/>
  <c r="N639" i="6"/>
  <c r="K639" i="6"/>
  <c r="J639" i="6"/>
  <c r="N638" i="6"/>
  <c r="K638" i="6"/>
  <c r="J638" i="6"/>
  <c r="N637" i="6"/>
  <c r="K637" i="6"/>
  <c r="J637" i="6"/>
  <c r="K636" i="6"/>
  <c r="J636" i="6"/>
  <c r="N635" i="6"/>
  <c r="K635" i="6"/>
  <c r="J635" i="6"/>
  <c r="K634" i="6"/>
  <c r="J634" i="6"/>
  <c r="N633" i="6"/>
  <c r="K633" i="6"/>
  <c r="J633" i="6"/>
  <c r="N632" i="6"/>
  <c r="K632" i="6"/>
  <c r="J632" i="6"/>
  <c r="N631" i="6"/>
  <c r="K631" i="6"/>
  <c r="J631" i="6"/>
  <c r="N630" i="6"/>
  <c r="K630" i="6"/>
  <c r="J630" i="6"/>
  <c r="N629" i="6"/>
  <c r="K629" i="6"/>
  <c r="J629" i="6"/>
  <c r="N628" i="6"/>
  <c r="K628" i="6"/>
  <c r="J628" i="6"/>
  <c r="N627" i="6"/>
  <c r="K627" i="6"/>
  <c r="J627" i="6"/>
  <c r="N626" i="6"/>
  <c r="K626" i="6"/>
  <c r="J626" i="6"/>
  <c r="N625" i="6"/>
  <c r="K625" i="6"/>
  <c r="J625" i="6"/>
  <c r="N624" i="6"/>
  <c r="K624" i="6"/>
  <c r="J624" i="6"/>
  <c r="K623" i="6"/>
  <c r="J623" i="6"/>
  <c r="N622" i="6"/>
  <c r="K622" i="6"/>
  <c r="J622" i="6"/>
  <c r="K621" i="6"/>
  <c r="J621" i="6"/>
  <c r="N620" i="6"/>
  <c r="K620" i="6"/>
  <c r="J620" i="6"/>
  <c r="N619" i="6"/>
  <c r="K619" i="6"/>
  <c r="J619" i="6"/>
  <c r="K618" i="6"/>
  <c r="J618" i="6"/>
  <c r="K617" i="6"/>
  <c r="J617" i="6"/>
  <c r="K616" i="6"/>
  <c r="J616" i="6"/>
  <c r="N615" i="6"/>
  <c r="K615" i="6"/>
  <c r="J615" i="6"/>
  <c r="K614" i="6"/>
  <c r="J614" i="6"/>
  <c r="N613" i="6"/>
  <c r="K613" i="6"/>
  <c r="J613" i="6"/>
  <c r="N612" i="6"/>
  <c r="K612" i="6"/>
  <c r="J612" i="6"/>
  <c r="N611" i="6"/>
  <c r="K611" i="6"/>
  <c r="J611" i="6"/>
  <c r="N610" i="6"/>
  <c r="K610" i="6"/>
  <c r="J610" i="6"/>
  <c r="N609" i="6"/>
  <c r="K609" i="6"/>
  <c r="J609" i="6"/>
  <c r="N608" i="6"/>
  <c r="K608" i="6"/>
  <c r="J608" i="6"/>
  <c r="N607" i="6"/>
  <c r="K607" i="6"/>
  <c r="J607" i="6"/>
  <c r="N606" i="6"/>
  <c r="K606" i="6"/>
  <c r="J606" i="6"/>
  <c r="N605" i="6"/>
  <c r="K605" i="6"/>
  <c r="J605" i="6"/>
  <c r="N604" i="6"/>
  <c r="K604" i="6"/>
  <c r="J604" i="6"/>
  <c r="N603" i="6"/>
  <c r="K603" i="6"/>
  <c r="J603" i="6"/>
  <c r="N602" i="6"/>
  <c r="K602" i="6"/>
  <c r="J602" i="6"/>
  <c r="K601" i="6"/>
  <c r="J601" i="6"/>
  <c r="K600" i="6"/>
  <c r="J600" i="6"/>
  <c r="N599" i="6"/>
  <c r="K599" i="6"/>
  <c r="J599" i="6"/>
  <c r="N598" i="6"/>
  <c r="K598" i="6"/>
  <c r="J598" i="6"/>
  <c r="N597" i="6"/>
  <c r="K597" i="6"/>
  <c r="J597" i="6"/>
  <c r="N596" i="6"/>
  <c r="K596" i="6"/>
  <c r="J596" i="6"/>
  <c r="K595" i="6"/>
  <c r="J595" i="6"/>
  <c r="N594" i="6"/>
  <c r="K594" i="6"/>
  <c r="J594" i="6"/>
  <c r="N593" i="6"/>
  <c r="K593" i="6"/>
  <c r="J593" i="6"/>
  <c r="N592" i="6"/>
  <c r="K592" i="6"/>
  <c r="J592" i="6"/>
  <c r="N591" i="6"/>
  <c r="K591" i="6"/>
  <c r="J591" i="6"/>
  <c r="N590" i="6"/>
  <c r="K590" i="6"/>
  <c r="J590" i="6"/>
  <c r="N589" i="6"/>
  <c r="K589" i="6"/>
  <c r="J589" i="6"/>
  <c r="N588" i="6"/>
  <c r="K588" i="6"/>
  <c r="J588" i="6"/>
  <c r="N587" i="6"/>
  <c r="K587" i="6"/>
  <c r="J587" i="6"/>
  <c r="N586" i="6"/>
  <c r="K586" i="6"/>
  <c r="J586" i="6"/>
  <c r="N585" i="6"/>
  <c r="K585" i="6"/>
  <c r="J585" i="6"/>
  <c r="N584" i="6"/>
  <c r="K584" i="6"/>
  <c r="J584" i="6"/>
  <c r="N583" i="6"/>
  <c r="K583" i="6"/>
  <c r="J583" i="6"/>
  <c r="N582" i="6"/>
  <c r="K582" i="6"/>
  <c r="J582" i="6"/>
  <c r="K581" i="6"/>
  <c r="J581" i="6"/>
  <c r="K580" i="6"/>
  <c r="J580" i="6"/>
  <c r="K579" i="6"/>
  <c r="J579" i="6"/>
  <c r="K578" i="6"/>
  <c r="J578" i="6"/>
  <c r="K577" i="6"/>
  <c r="J577" i="6"/>
  <c r="N576" i="6"/>
  <c r="K576" i="6"/>
  <c r="J576" i="6"/>
  <c r="K575" i="6"/>
  <c r="J575" i="6"/>
  <c r="N574" i="6"/>
  <c r="K574" i="6"/>
  <c r="J574" i="6"/>
  <c r="N573" i="6"/>
  <c r="K573" i="6"/>
  <c r="J573" i="6"/>
  <c r="N572" i="6"/>
  <c r="K572" i="6"/>
  <c r="J572" i="6"/>
  <c r="N571" i="6"/>
  <c r="K571" i="6"/>
  <c r="J571" i="6"/>
  <c r="N570" i="6"/>
  <c r="K570" i="6"/>
  <c r="J570" i="6"/>
  <c r="N569" i="6"/>
  <c r="K569" i="6"/>
  <c r="J569" i="6"/>
  <c r="N568" i="6"/>
  <c r="K568" i="6"/>
  <c r="J568" i="6"/>
  <c r="N567" i="6"/>
  <c r="K567" i="6"/>
  <c r="J567" i="6"/>
  <c r="N566" i="6"/>
  <c r="K566" i="6"/>
  <c r="J566" i="6"/>
  <c r="K565" i="6"/>
  <c r="J565" i="6"/>
  <c r="N564" i="6"/>
  <c r="K564" i="6"/>
  <c r="J564" i="6"/>
  <c r="N563" i="6"/>
  <c r="K563" i="6"/>
  <c r="J563" i="6"/>
  <c r="N562" i="6"/>
  <c r="K562" i="6"/>
  <c r="J562" i="6"/>
  <c r="N561" i="6"/>
  <c r="K561" i="6"/>
  <c r="J561" i="6"/>
  <c r="N560" i="6"/>
  <c r="K560" i="6"/>
  <c r="J560" i="6"/>
  <c r="N559" i="6"/>
  <c r="K559" i="6"/>
  <c r="J559" i="6"/>
  <c r="N558" i="6"/>
  <c r="K558" i="6"/>
  <c r="J558" i="6"/>
  <c r="N557" i="6"/>
  <c r="K557" i="6"/>
  <c r="J557" i="6"/>
  <c r="N556" i="6"/>
  <c r="K556" i="6"/>
  <c r="J556" i="6"/>
  <c r="N555" i="6"/>
  <c r="K555" i="6"/>
  <c r="J555" i="6"/>
  <c r="N554" i="6"/>
  <c r="K554" i="6"/>
  <c r="J554" i="6"/>
  <c r="N553" i="6"/>
  <c r="K553" i="6"/>
  <c r="J553" i="6"/>
  <c r="N552" i="6"/>
  <c r="K552" i="6"/>
  <c r="J552" i="6"/>
  <c r="N551" i="6"/>
  <c r="K551" i="6"/>
  <c r="J551" i="6"/>
  <c r="N550" i="6"/>
  <c r="K550" i="6"/>
  <c r="J550" i="6"/>
  <c r="N549" i="6"/>
  <c r="K549" i="6"/>
  <c r="J549" i="6"/>
  <c r="N548" i="6"/>
  <c r="K548" i="6"/>
  <c r="J548" i="6"/>
  <c r="K547" i="6"/>
  <c r="J547" i="6"/>
  <c r="K546" i="6"/>
  <c r="J546" i="6"/>
  <c r="K545" i="6"/>
  <c r="J545" i="6"/>
  <c r="K544" i="6"/>
  <c r="J544" i="6"/>
  <c r="K543" i="6"/>
  <c r="J543" i="6"/>
  <c r="K542" i="6"/>
  <c r="J542" i="6"/>
  <c r="N541" i="6"/>
  <c r="K541" i="6"/>
  <c r="J541" i="6"/>
  <c r="N540" i="6"/>
  <c r="K540" i="6"/>
  <c r="J540" i="6"/>
  <c r="N539" i="6"/>
  <c r="K539" i="6"/>
  <c r="J539" i="6"/>
  <c r="N538" i="6"/>
  <c r="K538" i="6"/>
  <c r="J538" i="6"/>
  <c r="N537" i="6"/>
  <c r="K537" i="6"/>
  <c r="J537" i="6"/>
  <c r="N536" i="6"/>
  <c r="K536" i="6"/>
  <c r="J536" i="6"/>
  <c r="N535" i="6"/>
  <c r="K535" i="6"/>
  <c r="J535" i="6"/>
  <c r="N534" i="6"/>
  <c r="K534" i="6"/>
  <c r="J534" i="6"/>
  <c r="N533" i="6"/>
  <c r="K533" i="6"/>
  <c r="J533" i="6"/>
  <c r="N532" i="6"/>
  <c r="K532" i="6"/>
  <c r="J532" i="6"/>
  <c r="N531" i="6"/>
  <c r="K531" i="6"/>
  <c r="J531" i="6"/>
  <c r="N530" i="6"/>
  <c r="K530" i="6"/>
  <c r="J530" i="6"/>
  <c r="N529" i="6"/>
  <c r="K529" i="6"/>
  <c r="J529" i="6"/>
  <c r="N528" i="6"/>
  <c r="K528" i="6"/>
  <c r="J528" i="6"/>
  <c r="N527" i="6"/>
  <c r="K527" i="6"/>
  <c r="J527" i="6"/>
  <c r="N526" i="6"/>
  <c r="K526" i="6"/>
  <c r="J526" i="6"/>
  <c r="N525" i="6"/>
  <c r="K525" i="6"/>
  <c r="J525" i="6"/>
  <c r="N524" i="6"/>
  <c r="K524" i="6"/>
  <c r="J524" i="6"/>
  <c r="N523" i="6"/>
  <c r="K523" i="6"/>
  <c r="J523" i="6"/>
  <c r="N522" i="6"/>
  <c r="K522" i="6"/>
  <c r="J522" i="6"/>
  <c r="K521" i="6"/>
  <c r="J521" i="6"/>
  <c r="K520" i="6"/>
  <c r="J520" i="6"/>
  <c r="K519" i="6"/>
  <c r="J519" i="6"/>
  <c r="K518" i="6"/>
  <c r="J518" i="6"/>
  <c r="K517" i="6"/>
  <c r="J517" i="6"/>
  <c r="N516" i="6"/>
  <c r="K516" i="6"/>
  <c r="J516" i="6"/>
  <c r="N515" i="6"/>
  <c r="K515" i="6"/>
  <c r="J515" i="6"/>
  <c r="N514" i="6"/>
  <c r="K514" i="6"/>
  <c r="J514" i="6"/>
  <c r="N513" i="6"/>
  <c r="K513" i="6"/>
  <c r="J513" i="6"/>
  <c r="N512" i="6"/>
  <c r="K512" i="6"/>
  <c r="J512" i="6"/>
  <c r="N511" i="6"/>
  <c r="K511" i="6"/>
  <c r="J511" i="6"/>
  <c r="N510" i="6"/>
  <c r="K510" i="6"/>
  <c r="J510" i="6"/>
  <c r="N509" i="6"/>
  <c r="K509" i="6"/>
  <c r="J509" i="6"/>
  <c r="N508" i="6"/>
  <c r="K508" i="6"/>
  <c r="J508" i="6"/>
  <c r="K507" i="6"/>
  <c r="J507" i="6"/>
  <c r="N506" i="6"/>
  <c r="K506" i="6"/>
  <c r="J506" i="6"/>
  <c r="K505" i="6"/>
  <c r="J505" i="6"/>
  <c r="K504" i="6"/>
  <c r="J504" i="6"/>
  <c r="N503" i="6"/>
  <c r="K503" i="6"/>
  <c r="J503" i="6"/>
  <c r="K502" i="6"/>
  <c r="J502" i="6"/>
  <c r="N501" i="6"/>
  <c r="K501" i="6"/>
  <c r="J501" i="6"/>
  <c r="N500" i="6"/>
  <c r="K500" i="6"/>
  <c r="J500" i="6"/>
  <c r="N499" i="6"/>
  <c r="K499" i="6"/>
  <c r="J499" i="6"/>
  <c r="N498" i="6"/>
  <c r="K498" i="6"/>
  <c r="J498" i="6"/>
  <c r="N497" i="6"/>
  <c r="K497" i="6"/>
  <c r="J497" i="6"/>
  <c r="N496" i="6"/>
  <c r="K496" i="6"/>
  <c r="J496" i="6"/>
  <c r="N495" i="6"/>
  <c r="K495" i="6"/>
  <c r="J495" i="6"/>
  <c r="N494" i="6"/>
  <c r="K494" i="6"/>
  <c r="J494" i="6"/>
  <c r="N493" i="6"/>
  <c r="K493" i="6"/>
  <c r="J493" i="6"/>
  <c r="N492" i="6"/>
  <c r="K492" i="6"/>
  <c r="J492" i="6"/>
  <c r="N491" i="6"/>
  <c r="K491" i="6"/>
  <c r="J491" i="6"/>
  <c r="N490" i="6"/>
  <c r="K490" i="6"/>
  <c r="J490" i="6"/>
  <c r="N489" i="6"/>
  <c r="K489" i="6"/>
  <c r="J489" i="6"/>
  <c r="N488" i="6"/>
  <c r="K488" i="6"/>
  <c r="J488" i="6"/>
  <c r="N487" i="6"/>
  <c r="K487" i="6"/>
  <c r="J487" i="6"/>
  <c r="N486" i="6"/>
  <c r="K486" i="6"/>
  <c r="J486" i="6"/>
  <c r="K485" i="6"/>
  <c r="J485" i="6"/>
  <c r="N484" i="6"/>
  <c r="K484" i="6"/>
  <c r="J484" i="6"/>
  <c r="N483" i="6"/>
  <c r="K483" i="6"/>
  <c r="J483" i="6"/>
  <c r="K482" i="6"/>
  <c r="J482" i="6"/>
  <c r="K481" i="6"/>
  <c r="J481" i="6"/>
  <c r="N480" i="6"/>
  <c r="K480" i="6"/>
  <c r="J480" i="6"/>
  <c r="N479" i="6"/>
  <c r="K479" i="6"/>
  <c r="J479" i="6"/>
  <c r="N478" i="6"/>
  <c r="K478" i="6"/>
  <c r="J478" i="6"/>
  <c r="N477" i="6"/>
  <c r="K477" i="6"/>
  <c r="J477" i="6"/>
  <c r="N476" i="6"/>
  <c r="K476" i="6"/>
  <c r="J476" i="6"/>
  <c r="N475" i="6"/>
  <c r="K475" i="6"/>
  <c r="J475" i="6"/>
  <c r="N474" i="6"/>
  <c r="K474" i="6"/>
  <c r="J474" i="6"/>
  <c r="N473" i="6"/>
  <c r="K473" i="6"/>
  <c r="J473" i="6"/>
  <c r="N472" i="6"/>
  <c r="K472" i="6"/>
  <c r="J472" i="6"/>
  <c r="N471" i="6"/>
  <c r="K471" i="6"/>
  <c r="J471" i="6"/>
  <c r="K470" i="6"/>
  <c r="J470" i="6"/>
  <c r="N469" i="6"/>
  <c r="K469" i="6"/>
  <c r="J469" i="6"/>
  <c r="K468" i="6"/>
  <c r="J468" i="6"/>
  <c r="N467" i="6"/>
  <c r="K467" i="6"/>
  <c r="J467" i="6"/>
  <c r="N466" i="6"/>
  <c r="K466" i="6"/>
  <c r="J466" i="6"/>
  <c r="N465" i="6"/>
  <c r="K465" i="6"/>
  <c r="J465" i="6"/>
  <c r="N464" i="6"/>
  <c r="K464" i="6"/>
  <c r="J464" i="6"/>
  <c r="N463" i="6"/>
  <c r="K463" i="6"/>
  <c r="J463" i="6"/>
  <c r="N462" i="6"/>
  <c r="K462" i="6"/>
  <c r="J462" i="6"/>
  <c r="N461" i="6"/>
  <c r="K461" i="6"/>
  <c r="J461" i="6"/>
  <c r="N460" i="6"/>
  <c r="K460" i="6"/>
  <c r="J460" i="6"/>
  <c r="N459" i="6"/>
  <c r="K459" i="6"/>
  <c r="J459" i="6"/>
  <c r="N458" i="6"/>
  <c r="K458" i="6"/>
  <c r="J458" i="6"/>
  <c r="N457" i="6"/>
  <c r="K457" i="6"/>
  <c r="J457" i="6"/>
  <c r="N456" i="6"/>
  <c r="K456" i="6"/>
  <c r="J456" i="6"/>
  <c r="K455" i="6"/>
  <c r="J455" i="6"/>
  <c r="N454" i="6"/>
  <c r="K454" i="6"/>
  <c r="J454" i="6"/>
  <c r="N453" i="6"/>
  <c r="K453" i="6"/>
  <c r="J453" i="6"/>
  <c r="N452" i="6"/>
  <c r="K452" i="6"/>
  <c r="J452" i="6"/>
  <c r="N451" i="6"/>
  <c r="K451" i="6"/>
  <c r="J451" i="6"/>
  <c r="N450" i="6"/>
  <c r="K450" i="6"/>
  <c r="J450" i="6"/>
  <c r="K449" i="6"/>
  <c r="J449" i="6"/>
  <c r="N448" i="6"/>
  <c r="K448" i="6"/>
  <c r="J448" i="6"/>
  <c r="N447" i="6"/>
  <c r="K447" i="6"/>
  <c r="J447" i="6"/>
  <c r="N446" i="6"/>
  <c r="K446" i="6"/>
  <c r="J446" i="6"/>
  <c r="N445" i="6"/>
  <c r="K445" i="6"/>
  <c r="J445" i="6"/>
  <c r="K444" i="6"/>
  <c r="J444" i="6"/>
  <c r="N443" i="6"/>
  <c r="K443" i="6"/>
  <c r="J443" i="6"/>
  <c r="N442" i="6"/>
  <c r="K442" i="6"/>
  <c r="J442" i="6"/>
  <c r="K441" i="6"/>
  <c r="J441" i="6"/>
  <c r="N440" i="6"/>
  <c r="K440" i="6"/>
  <c r="J440" i="6"/>
  <c r="N439" i="6"/>
  <c r="K439" i="6"/>
  <c r="J439" i="6"/>
  <c r="N438" i="6"/>
  <c r="K438" i="6"/>
  <c r="J438" i="6"/>
  <c r="N437" i="6"/>
  <c r="K437" i="6"/>
  <c r="J437" i="6"/>
  <c r="N436" i="6"/>
  <c r="K436" i="6"/>
  <c r="J436" i="6"/>
  <c r="N435" i="6"/>
  <c r="K435" i="6"/>
  <c r="J435" i="6"/>
  <c r="K434" i="6"/>
  <c r="J434" i="6"/>
  <c r="K433" i="6"/>
  <c r="J433" i="6"/>
  <c r="N432" i="6"/>
  <c r="K432" i="6"/>
  <c r="J432" i="6"/>
  <c r="N431" i="6"/>
  <c r="K431" i="6"/>
  <c r="J431" i="6"/>
  <c r="N430" i="6"/>
  <c r="K430" i="6"/>
  <c r="J430" i="6"/>
  <c r="N429" i="6"/>
  <c r="K429" i="6"/>
  <c r="J429" i="6"/>
  <c r="N428" i="6"/>
  <c r="K428" i="6"/>
  <c r="J428" i="6"/>
  <c r="N427" i="6"/>
  <c r="K427" i="6"/>
  <c r="J427" i="6"/>
  <c r="N426" i="6"/>
  <c r="K426" i="6"/>
  <c r="J426" i="6"/>
  <c r="N425" i="6"/>
  <c r="K425" i="6"/>
  <c r="J425" i="6"/>
  <c r="N424" i="6"/>
  <c r="K424" i="6"/>
  <c r="J424" i="6"/>
  <c r="K423" i="6"/>
  <c r="J423" i="6"/>
  <c r="N422" i="6"/>
  <c r="K422" i="6"/>
  <c r="J422" i="6"/>
  <c r="N421" i="6"/>
  <c r="K421" i="6"/>
  <c r="J421" i="6"/>
  <c r="K420" i="6"/>
  <c r="J420" i="6"/>
  <c r="N419" i="6"/>
  <c r="K419" i="6"/>
  <c r="J419" i="6"/>
  <c r="K418" i="6"/>
  <c r="J418" i="6"/>
  <c r="K417" i="6"/>
  <c r="J417" i="6"/>
  <c r="K416" i="6"/>
  <c r="J416" i="6"/>
  <c r="N415" i="6"/>
  <c r="K415" i="6"/>
  <c r="J415" i="6"/>
  <c r="N414" i="6"/>
  <c r="K414" i="6"/>
  <c r="J414" i="6"/>
  <c r="N413" i="6"/>
  <c r="K413" i="6"/>
  <c r="J413" i="6"/>
  <c r="N412" i="6"/>
  <c r="K412" i="6"/>
  <c r="J412" i="6"/>
  <c r="N411" i="6"/>
  <c r="K411" i="6"/>
  <c r="J411" i="6"/>
  <c r="N410" i="6"/>
  <c r="K410" i="6"/>
  <c r="J410" i="6"/>
  <c r="N409" i="6"/>
  <c r="K409" i="6"/>
  <c r="J409" i="6"/>
  <c r="N408" i="6"/>
  <c r="K408" i="6"/>
  <c r="J408" i="6"/>
  <c r="N407" i="6"/>
  <c r="K407" i="6"/>
  <c r="J407" i="6"/>
  <c r="N406" i="6"/>
  <c r="K406" i="6"/>
  <c r="J406" i="6"/>
  <c r="K405" i="6"/>
  <c r="J405" i="6"/>
  <c r="K404" i="6"/>
  <c r="J404" i="6"/>
  <c r="N403" i="6"/>
  <c r="K403" i="6"/>
  <c r="J403" i="6"/>
  <c r="N402" i="6"/>
  <c r="K402" i="6"/>
  <c r="J402" i="6"/>
  <c r="N401" i="6"/>
  <c r="K401" i="6"/>
  <c r="J401" i="6"/>
  <c r="N400" i="6"/>
  <c r="K400" i="6"/>
  <c r="J400" i="6"/>
  <c r="N399" i="6"/>
  <c r="K399" i="6"/>
  <c r="J399" i="6"/>
  <c r="N398" i="6"/>
  <c r="K398" i="6"/>
  <c r="J398" i="6"/>
  <c r="N397" i="6"/>
  <c r="K397" i="6"/>
  <c r="J397" i="6"/>
  <c r="N396" i="6"/>
  <c r="K396" i="6"/>
  <c r="J396" i="6"/>
  <c r="K395" i="6"/>
  <c r="J395" i="6"/>
  <c r="K394" i="6"/>
  <c r="J394" i="6"/>
  <c r="N393" i="6"/>
  <c r="K393" i="6"/>
  <c r="J393" i="6"/>
  <c r="N392" i="6"/>
  <c r="K392" i="6"/>
  <c r="J392" i="6"/>
  <c r="N391" i="6"/>
  <c r="K391" i="6"/>
  <c r="J391" i="6"/>
  <c r="K390" i="6"/>
  <c r="J390" i="6"/>
  <c r="N389" i="6"/>
  <c r="K389" i="6"/>
  <c r="J389" i="6"/>
  <c r="K388" i="6"/>
  <c r="J388" i="6"/>
  <c r="K387" i="6"/>
  <c r="J387" i="6"/>
  <c r="N386" i="6"/>
  <c r="K386" i="6"/>
  <c r="J386" i="6"/>
  <c r="N385" i="6"/>
  <c r="K385" i="6"/>
  <c r="J385" i="6"/>
  <c r="N384" i="6"/>
  <c r="K384" i="6"/>
  <c r="J384" i="6"/>
  <c r="N383" i="6"/>
  <c r="K383" i="6"/>
  <c r="J383" i="6"/>
  <c r="N382" i="6"/>
  <c r="K382" i="6"/>
  <c r="J382" i="6"/>
  <c r="N381" i="6"/>
  <c r="K381" i="6"/>
  <c r="J381" i="6"/>
  <c r="K380" i="6"/>
  <c r="J380" i="6"/>
  <c r="K379" i="6"/>
  <c r="J379" i="6"/>
  <c r="N378" i="6"/>
  <c r="K378" i="6"/>
  <c r="J378" i="6"/>
  <c r="N377" i="6"/>
  <c r="K377" i="6"/>
  <c r="J377" i="6"/>
  <c r="N376" i="6"/>
  <c r="K376" i="6"/>
  <c r="J376" i="6"/>
  <c r="N375" i="6"/>
  <c r="K375" i="6"/>
  <c r="J375" i="6"/>
  <c r="N374" i="6"/>
  <c r="K374" i="6"/>
  <c r="J374" i="6"/>
  <c r="N373" i="6"/>
  <c r="K373" i="6"/>
  <c r="J373" i="6"/>
  <c r="N372" i="6"/>
  <c r="K372" i="6"/>
  <c r="J372" i="6"/>
  <c r="K371" i="6"/>
  <c r="J371" i="6"/>
  <c r="N370" i="6"/>
  <c r="K370" i="6"/>
  <c r="J370" i="6"/>
  <c r="N369" i="6"/>
  <c r="K369" i="6"/>
  <c r="J369" i="6"/>
  <c r="N368" i="6"/>
  <c r="K368" i="6"/>
  <c r="J368" i="6"/>
  <c r="N367" i="6"/>
  <c r="K367" i="6"/>
  <c r="J367" i="6"/>
  <c r="N366" i="6"/>
  <c r="K366" i="6"/>
  <c r="J366" i="6"/>
  <c r="N365" i="6"/>
  <c r="K365" i="6"/>
  <c r="J365" i="6"/>
  <c r="N364" i="6"/>
  <c r="K364" i="6"/>
  <c r="J364" i="6"/>
  <c r="N363" i="6"/>
  <c r="K363" i="6"/>
  <c r="J363" i="6"/>
  <c r="K362" i="6"/>
  <c r="J362" i="6"/>
  <c r="N361" i="6"/>
  <c r="K361" i="6"/>
  <c r="J361" i="6"/>
  <c r="K360" i="6"/>
  <c r="J360" i="6"/>
  <c r="N359" i="6"/>
  <c r="K359" i="6"/>
  <c r="J359" i="6"/>
  <c r="N358" i="6"/>
  <c r="K358" i="6"/>
  <c r="J358" i="6"/>
  <c r="N357" i="6"/>
  <c r="K357" i="6"/>
  <c r="J357" i="6"/>
  <c r="N356" i="6"/>
  <c r="K356" i="6"/>
  <c r="J356" i="6"/>
  <c r="N355" i="6"/>
  <c r="K355" i="6"/>
  <c r="J355" i="6"/>
  <c r="N354" i="6"/>
  <c r="K354" i="6"/>
  <c r="J354" i="6"/>
  <c r="N353" i="6"/>
  <c r="K353" i="6"/>
  <c r="J353" i="6"/>
  <c r="K352" i="6"/>
  <c r="J352" i="6"/>
  <c r="K351" i="6"/>
  <c r="J351" i="6"/>
  <c r="N350" i="6"/>
  <c r="K350" i="6"/>
  <c r="J350" i="6"/>
  <c r="N349" i="6"/>
  <c r="K349" i="6"/>
  <c r="J349" i="6"/>
  <c r="N348" i="6"/>
  <c r="K348" i="6"/>
  <c r="J348" i="6"/>
  <c r="N347" i="6"/>
  <c r="K347" i="6"/>
  <c r="J347" i="6"/>
  <c r="N346" i="6"/>
  <c r="K346" i="6"/>
  <c r="J346" i="6"/>
  <c r="N345" i="6"/>
  <c r="K345" i="6"/>
  <c r="J345" i="6"/>
  <c r="N344" i="6"/>
  <c r="K344" i="6"/>
  <c r="J344" i="6"/>
  <c r="N343" i="6"/>
  <c r="K343" i="6"/>
  <c r="J343" i="6"/>
  <c r="K342" i="6"/>
  <c r="J342" i="6"/>
  <c r="N341" i="6"/>
  <c r="K341" i="6"/>
  <c r="J341" i="6"/>
  <c r="N340" i="6"/>
  <c r="K340" i="6"/>
  <c r="J340" i="6"/>
  <c r="N339" i="6"/>
  <c r="K339" i="6"/>
  <c r="J339" i="6"/>
  <c r="N338" i="6"/>
  <c r="K338" i="6"/>
  <c r="M338" i="6" s="1"/>
  <c r="N337" i="6"/>
  <c r="K337" i="6"/>
  <c r="J337" i="6"/>
  <c r="K336" i="6"/>
  <c r="J336" i="6"/>
  <c r="N335" i="6"/>
  <c r="K335" i="6"/>
  <c r="J335" i="6"/>
  <c r="K334" i="6"/>
  <c r="J334" i="6"/>
  <c r="K333" i="6"/>
  <c r="J333" i="6"/>
  <c r="N332" i="6"/>
  <c r="K332" i="6"/>
  <c r="J332" i="6"/>
  <c r="N331" i="6"/>
  <c r="K331" i="6"/>
  <c r="J331" i="6"/>
  <c r="N330" i="6"/>
  <c r="K330" i="6"/>
  <c r="J330" i="6"/>
  <c r="N329" i="6"/>
  <c r="K329" i="6"/>
  <c r="J329" i="6"/>
  <c r="N328" i="6"/>
  <c r="K328" i="6"/>
  <c r="J328" i="6"/>
  <c r="N327" i="6"/>
  <c r="K327" i="6"/>
  <c r="J327" i="6"/>
  <c r="N326" i="6"/>
  <c r="K326" i="6"/>
  <c r="J326" i="6"/>
  <c r="N325" i="6"/>
  <c r="K325" i="6"/>
  <c r="J325" i="6"/>
  <c r="K324" i="6"/>
  <c r="J324" i="6"/>
  <c r="K323" i="6"/>
  <c r="J323" i="6"/>
  <c r="N322" i="6"/>
  <c r="L322" i="6"/>
  <c r="M322" i="6" s="1"/>
  <c r="N321" i="6"/>
  <c r="K321" i="6"/>
  <c r="J321" i="6"/>
  <c r="N320" i="6"/>
  <c r="K320" i="6"/>
  <c r="J320" i="6"/>
  <c r="N319" i="6"/>
  <c r="K319" i="6"/>
  <c r="J319" i="6"/>
  <c r="K318" i="6"/>
  <c r="J318" i="6"/>
  <c r="N317" i="6"/>
  <c r="K317" i="6"/>
  <c r="J317" i="6"/>
  <c r="N316" i="6"/>
  <c r="K316" i="6"/>
  <c r="J316" i="6"/>
  <c r="N315" i="6"/>
  <c r="K315" i="6"/>
  <c r="J315" i="6"/>
  <c r="N314" i="6"/>
  <c r="K314" i="6"/>
  <c r="J314" i="6"/>
  <c r="N313" i="6"/>
  <c r="K313" i="6"/>
  <c r="J313" i="6"/>
  <c r="N312" i="6"/>
  <c r="K312" i="6"/>
  <c r="J312" i="6"/>
  <c r="N311" i="6"/>
  <c r="K311" i="6"/>
  <c r="J311" i="6"/>
  <c r="N310" i="6"/>
  <c r="K310" i="6"/>
  <c r="J310" i="6"/>
  <c r="N309" i="6"/>
  <c r="K309" i="6"/>
  <c r="J309" i="6"/>
  <c r="N308" i="6"/>
  <c r="K308" i="6"/>
  <c r="J308" i="6"/>
  <c r="N307" i="6"/>
  <c r="K307" i="6"/>
  <c r="J307" i="6"/>
  <c r="K306" i="6"/>
  <c r="J306" i="6"/>
  <c r="N305" i="6"/>
  <c r="K305" i="6"/>
  <c r="J305" i="6"/>
  <c r="K304" i="6"/>
  <c r="J304" i="6"/>
  <c r="K303" i="6"/>
  <c r="J303" i="6"/>
  <c r="N302" i="6"/>
  <c r="K302" i="6"/>
  <c r="J302" i="6"/>
  <c r="K301" i="6"/>
  <c r="J301" i="6"/>
  <c r="K300" i="6"/>
  <c r="J300" i="6"/>
  <c r="N299" i="6"/>
  <c r="K299" i="6"/>
  <c r="J299" i="6"/>
  <c r="N298" i="6"/>
  <c r="K298" i="6"/>
  <c r="J298" i="6"/>
  <c r="N297" i="6"/>
  <c r="K297" i="6"/>
  <c r="J297" i="6"/>
  <c r="N296" i="6"/>
  <c r="K296" i="6"/>
  <c r="J296" i="6"/>
  <c r="N295" i="6"/>
  <c r="K295" i="6"/>
  <c r="J295" i="6"/>
  <c r="N294" i="6"/>
  <c r="K294" i="6"/>
  <c r="J294" i="6"/>
  <c r="M293" i="6"/>
  <c r="S293" i="6" s="1"/>
  <c r="V293" i="6" s="1"/>
  <c r="N292" i="6"/>
  <c r="K292" i="6"/>
  <c r="J292" i="6"/>
  <c r="K291" i="6"/>
  <c r="J291" i="6"/>
  <c r="N290" i="6"/>
  <c r="K290" i="6"/>
  <c r="J290" i="6"/>
  <c r="N289" i="6"/>
  <c r="K289" i="6"/>
  <c r="J289" i="6"/>
  <c r="N288" i="6"/>
  <c r="K288" i="6"/>
  <c r="J288" i="6"/>
  <c r="N287" i="6"/>
  <c r="K287" i="6"/>
  <c r="J287" i="6"/>
  <c r="N286" i="6"/>
  <c r="K286" i="6"/>
  <c r="J286" i="6"/>
  <c r="N285" i="6"/>
  <c r="K285" i="6"/>
  <c r="J285" i="6"/>
  <c r="N284" i="6"/>
  <c r="K284" i="6"/>
  <c r="J284" i="6"/>
  <c r="K283" i="6"/>
  <c r="J283" i="6"/>
  <c r="N282" i="6"/>
  <c r="K282" i="6"/>
  <c r="J282" i="6"/>
  <c r="K281" i="6"/>
  <c r="J281" i="6"/>
  <c r="K280" i="6"/>
  <c r="J280" i="6"/>
  <c r="N279" i="6"/>
  <c r="K279" i="6"/>
  <c r="J279" i="6"/>
  <c r="K278" i="6"/>
  <c r="J278" i="6"/>
  <c r="N277" i="6"/>
  <c r="K277" i="6"/>
  <c r="J277" i="6"/>
  <c r="N276" i="6"/>
  <c r="K276" i="6"/>
  <c r="J276" i="6"/>
  <c r="N275" i="6"/>
  <c r="K275" i="6"/>
  <c r="J275" i="6"/>
  <c r="N274" i="6"/>
  <c r="K274" i="6"/>
  <c r="J274" i="6"/>
  <c r="N273" i="6"/>
  <c r="K273" i="6"/>
  <c r="J273" i="6"/>
  <c r="N272" i="6"/>
  <c r="K272" i="6"/>
  <c r="J272" i="6"/>
  <c r="N271" i="6"/>
  <c r="K271" i="6"/>
  <c r="J271" i="6"/>
  <c r="N270" i="6"/>
  <c r="K270" i="6"/>
  <c r="J270" i="6"/>
  <c r="N269" i="6"/>
  <c r="K269" i="6"/>
  <c r="J269" i="6"/>
  <c r="N268" i="6"/>
  <c r="K268" i="6"/>
  <c r="J268" i="6"/>
  <c r="K267" i="6"/>
  <c r="J267" i="6"/>
  <c r="N266" i="6"/>
  <c r="K266" i="6"/>
  <c r="J266" i="6"/>
  <c r="K265" i="6"/>
  <c r="J265" i="6"/>
  <c r="N264" i="6"/>
  <c r="K264" i="6"/>
  <c r="J264" i="6"/>
  <c r="N263" i="6"/>
  <c r="K263" i="6"/>
  <c r="J263" i="6"/>
  <c r="N262" i="6"/>
  <c r="K262" i="6"/>
  <c r="J262" i="6"/>
  <c r="K261" i="6"/>
  <c r="J261" i="6"/>
  <c r="K260" i="6"/>
  <c r="J260" i="6"/>
  <c r="K259" i="6"/>
  <c r="J259" i="6"/>
  <c r="N258" i="6"/>
  <c r="K258" i="6"/>
  <c r="J258" i="6"/>
  <c r="K257" i="6"/>
  <c r="J257" i="6"/>
  <c r="K256" i="6"/>
  <c r="J256" i="6"/>
  <c r="N255" i="6"/>
  <c r="K255" i="6"/>
  <c r="J255" i="6"/>
  <c r="N254" i="6"/>
  <c r="K254" i="6"/>
  <c r="J254" i="6"/>
  <c r="K253" i="6"/>
  <c r="J253" i="6"/>
  <c r="N252" i="6"/>
  <c r="K252" i="6"/>
  <c r="J252" i="6"/>
  <c r="N251" i="6"/>
  <c r="K251" i="6"/>
  <c r="J251" i="6"/>
  <c r="N250" i="6"/>
  <c r="K250" i="6"/>
  <c r="J250" i="6"/>
  <c r="N249" i="6"/>
  <c r="K249" i="6"/>
  <c r="J249" i="6"/>
  <c r="N248" i="6"/>
  <c r="K248" i="6"/>
  <c r="J248" i="6"/>
  <c r="N247" i="6"/>
  <c r="K247" i="6"/>
  <c r="J247" i="6"/>
  <c r="N246" i="6"/>
  <c r="K246" i="6"/>
  <c r="J246" i="6"/>
  <c r="N245" i="6"/>
  <c r="K245" i="6"/>
  <c r="J245" i="6"/>
  <c r="N244" i="6"/>
  <c r="K244" i="6"/>
  <c r="J244" i="6"/>
  <c r="N243" i="6"/>
  <c r="K243" i="6"/>
  <c r="J243" i="6"/>
  <c r="N242" i="6"/>
  <c r="K242" i="6"/>
  <c r="J242" i="6"/>
  <c r="N241" i="6"/>
  <c r="K241" i="6"/>
  <c r="J241" i="6"/>
  <c r="N240" i="6"/>
  <c r="K240" i="6"/>
  <c r="J240" i="6"/>
  <c r="K239" i="6"/>
  <c r="J239" i="6"/>
  <c r="K238" i="6"/>
  <c r="J238" i="6"/>
  <c r="N237" i="6"/>
  <c r="K237" i="6"/>
  <c r="J237" i="6"/>
  <c r="N236" i="6"/>
  <c r="K236" i="6"/>
  <c r="J236" i="6"/>
  <c r="K235" i="6"/>
  <c r="J235" i="6"/>
  <c r="K234" i="6"/>
  <c r="J234" i="6"/>
  <c r="K233" i="6"/>
  <c r="J233" i="6"/>
  <c r="N232" i="6"/>
  <c r="K232" i="6"/>
  <c r="J232" i="6"/>
  <c r="K231" i="6"/>
  <c r="J231" i="6"/>
  <c r="N230" i="6"/>
  <c r="K230" i="6"/>
  <c r="J230" i="6"/>
  <c r="N229" i="6"/>
  <c r="K229" i="6"/>
  <c r="J229" i="6"/>
  <c r="N228" i="6"/>
  <c r="K228" i="6"/>
  <c r="J228" i="6"/>
  <c r="N227" i="6"/>
  <c r="K227" i="6"/>
  <c r="J227" i="6"/>
  <c r="N226" i="6"/>
  <c r="K226" i="6"/>
  <c r="J226" i="6"/>
  <c r="N225" i="6"/>
  <c r="K225" i="6"/>
  <c r="J225" i="6"/>
  <c r="N224" i="6"/>
  <c r="K224" i="6"/>
  <c r="J224" i="6"/>
  <c r="N223" i="6"/>
  <c r="K223" i="6"/>
  <c r="J223" i="6"/>
  <c r="N222" i="6"/>
  <c r="K222" i="6"/>
  <c r="J222" i="6"/>
  <c r="N221" i="6"/>
  <c r="K221" i="6"/>
  <c r="J221" i="6"/>
  <c r="N220" i="6"/>
  <c r="K220" i="6"/>
  <c r="J220" i="6"/>
  <c r="N219" i="6"/>
  <c r="K219" i="6"/>
  <c r="J219" i="6"/>
  <c r="N218" i="6"/>
  <c r="K218" i="6"/>
  <c r="J218" i="6"/>
  <c r="N217" i="6"/>
  <c r="K217" i="6"/>
  <c r="J217" i="6"/>
  <c r="N216" i="6"/>
  <c r="K216" i="6"/>
  <c r="J216" i="6"/>
  <c r="N215" i="6"/>
  <c r="K215" i="6"/>
  <c r="J215" i="6"/>
  <c r="N214" i="6"/>
  <c r="K214" i="6"/>
  <c r="J214" i="6"/>
  <c r="N213" i="6"/>
  <c r="K213" i="6"/>
  <c r="J213" i="6"/>
  <c r="K212" i="6"/>
  <c r="J212" i="6"/>
  <c r="K211" i="6"/>
  <c r="J211" i="6"/>
  <c r="K210" i="6"/>
  <c r="J210" i="6"/>
  <c r="N209" i="6"/>
  <c r="K209" i="6"/>
  <c r="J209" i="6"/>
  <c r="N208" i="6"/>
  <c r="K208" i="6"/>
  <c r="J208" i="6"/>
  <c r="K207" i="6"/>
  <c r="J207" i="6"/>
  <c r="K206" i="6"/>
  <c r="J206" i="6"/>
  <c r="N205" i="6"/>
  <c r="K205" i="6"/>
  <c r="J205" i="6"/>
  <c r="N204" i="6"/>
  <c r="K204" i="6"/>
  <c r="J204" i="6"/>
  <c r="N203" i="6"/>
  <c r="K203" i="6"/>
  <c r="J203" i="6"/>
  <c r="N202" i="6"/>
  <c r="K202" i="6"/>
  <c r="J202" i="6"/>
  <c r="N201" i="6"/>
  <c r="K201" i="6"/>
  <c r="J201" i="6"/>
  <c r="N200" i="6"/>
  <c r="K200" i="6"/>
  <c r="J200" i="6"/>
  <c r="N199" i="6"/>
  <c r="K199" i="6"/>
  <c r="J199" i="6"/>
  <c r="K198" i="6"/>
  <c r="J198" i="6"/>
  <c r="N197" i="6"/>
  <c r="K197" i="6"/>
  <c r="J197" i="6"/>
  <c r="N196" i="6"/>
  <c r="K196" i="6"/>
  <c r="J196" i="6"/>
  <c r="N195" i="6"/>
  <c r="K195" i="6"/>
  <c r="J195" i="6"/>
  <c r="N194" i="6"/>
  <c r="K194" i="6"/>
  <c r="J194" i="6"/>
  <c r="K193" i="6"/>
  <c r="J193" i="6"/>
  <c r="K192" i="6"/>
  <c r="J192" i="6"/>
  <c r="K191" i="6"/>
  <c r="J191" i="6"/>
  <c r="N190" i="6"/>
  <c r="K190" i="6"/>
  <c r="J190" i="6"/>
  <c r="N189" i="6"/>
  <c r="K189" i="6"/>
  <c r="J189" i="6"/>
  <c r="K188" i="6"/>
  <c r="J188" i="6"/>
  <c r="K187" i="6"/>
  <c r="J187" i="6"/>
  <c r="N186" i="6"/>
  <c r="K186" i="6"/>
  <c r="J186" i="6"/>
  <c r="N185" i="6"/>
  <c r="K185" i="6"/>
  <c r="J185" i="6"/>
  <c r="K184" i="6"/>
  <c r="J184" i="6"/>
  <c r="K183" i="6"/>
  <c r="J183" i="6"/>
  <c r="K182" i="6"/>
  <c r="J182" i="6"/>
  <c r="K181" i="6"/>
  <c r="J181" i="6"/>
  <c r="N180" i="6"/>
  <c r="K180" i="6"/>
  <c r="J180" i="6"/>
  <c r="N179" i="6"/>
  <c r="K179" i="6"/>
  <c r="J179" i="6"/>
  <c r="K178" i="6"/>
  <c r="J178" i="6"/>
  <c r="N177" i="6"/>
  <c r="K177" i="6"/>
  <c r="J177" i="6"/>
  <c r="N176" i="6"/>
  <c r="K176" i="6"/>
  <c r="J176" i="6"/>
  <c r="N175" i="6"/>
  <c r="K175" i="6"/>
  <c r="J175" i="6"/>
  <c r="N174" i="6"/>
  <c r="K174" i="6"/>
  <c r="J174" i="6"/>
  <c r="N173" i="6"/>
  <c r="K173" i="6"/>
  <c r="J173" i="6"/>
  <c r="N172" i="6"/>
  <c r="K172" i="6"/>
  <c r="J172" i="6"/>
  <c r="K171" i="6"/>
  <c r="J171" i="6"/>
  <c r="N170" i="6"/>
  <c r="K170" i="6"/>
  <c r="J170" i="6"/>
  <c r="N169" i="6"/>
  <c r="K169" i="6"/>
  <c r="J169" i="6"/>
  <c r="N168" i="6"/>
  <c r="K168" i="6"/>
  <c r="J168" i="6"/>
  <c r="K167" i="6"/>
  <c r="J167" i="6"/>
  <c r="K166" i="6"/>
  <c r="J166" i="6"/>
  <c r="N165" i="6"/>
  <c r="K165" i="6"/>
  <c r="J165" i="6"/>
  <c r="N164" i="6"/>
  <c r="K164" i="6"/>
  <c r="J164" i="6"/>
  <c r="N163" i="6"/>
  <c r="K163" i="6"/>
  <c r="J163" i="6"/>
  <c r="N162" i="6"/>
  <c r="K162" i="6"/>
  <c r="J162" i="6"/>
  <c r="N161" i="6"/>
  <c r="K161" i="6"/>
  <c r="J161" i="6"/>
  <c r="N160" i="6"/>
  <c r="K160" i="6"/>
  <c r="J160" i="6"/>
  <c r="N159" i="6"/>
  <c r="K159" i="6"/>
  <c r="J159" i="6"/>
  <c r="N158" i="6"/>
  <c r="K158" i="6"/>
  <c r="J158" i="6"/>
  <c r="N157" i="6"/>
  <c r="K157" i="6"/>
  <c r="J157" i="6"/>
  <c r="K156" i="6"/>
  <c r="J156" i="6"/>
  <c r="K155" i="6"/>
  <c r="J155" i="6"/>
  <c r="N154" i="6"/>
  <c r="K154" i="6"/>
  <c r="J154" i="6"/>
  <c r="K153" i="6"/>
  <c r="J153" i="6"/>
  <c r="N152" i="6"/>
  <c r="K152" i="6"/>
  <c r="J152" i="6"/>
  <c r="K151" i="6"/>
  <c r="J151" i="6"/>
  <c r="K150" i="6"/>
  <c r="J150" i="6"/>
  <c r="N149" i="6"/>
  <c r="K149" i="6"/>
  <c r="J149" i="6"/>
  <c r="N148" i="6"/>
  <c r="K148" i="6"/>
  <c r="J148" i="6"/>
  <c r="N147" i="6"/>
  <c r="K147" i="6"/>
  <c r="J147" i="6"/>
  <c r="N146" i="6"/>
  <c r="K146" i="6"/>
  <c r="J146" i="6"/>
  <c r="N145" i="6"/>
  <c r="K145" i="6"/>
  <c r="J145" i="6"/>
  <c r="N144" i="6"/>
  <c r="K144" i="6"/>
  <c r="J144" i="6"/>
  <c r="N143" i="6"/>
  <c r="K143" i="6"/>
  <c r="J143" i="6"/>
  <c r="N142" i="6"/>
  <c r="K142" i="6"/>
  <c r="J142" i="6"/>
  <c r="N141" i="6"/>
  <c r="K141" i="6"/>
  <c r="J141" i="6"/>
  <c r="N140" i="6"/>
  <c r="K140" i="6"/>
  <c r="J140" i="6"/>
  <c r="K139" i="6"/>
  <c r="J139" i="6"/>
  <c r="N138" i="6"/>
  <c r="K138" i="6"/>
  <c r="J138" i="6"/>
  <c r="N137" i="6"/>
  <c r="K137" i="6"/>
  <c r="J137" i="6"/>
  <c r="N136" i="6"/>
  <c r="K136" i="6"/>
  <c r="J136" i="6"/>
  <c r="K135" i="6"/>
  <c r="J135" i="6"/>
  <c r="N134" i="6"/>
  <c r="K134" i="6"/>
  <c r="J134" i="6"/>
  <c r="N133" i="6"/>
  <c r="K133" i="6"/>
  <c r="J133" i="6"/>
  <c r="N132" i="6"/>
  <c r="K132" i="6"/>
  <c r="J132" i="6"/>
  <c r="N131" i="6"/>
  <c r="K131" i="6"/>
  <c r="J131" i="6"/>
  <c r="N130" i="6"/>
  <c r="K130" i="6"/>
  <c r="J130" i="6"/>
  <c r="N129" i="6"/>
  <c r="K129" i="6"/>
  <c r="J129" i="6"/>
  <c r="N128" i="6"/>
  <c r="K128" i="6"/>
  <c r="J128" i="6"/>
  <c r="N127" i="6"/>
  <c r="K127" i="6"/>
  <c r="J127" i="6"/>
  <c r="N126" i="6"/>
  <c r="K126" i="6"/>
  <c r="J126" i="6"/>
  <c r="K125" i="6"/>
  <c r="J125" i="6"/>
  <c r="N124" i="6"/>
  <c r="L124" i="6"/>
  <c r="M124" i="6" s="1"/>
  <c r="N123" i="6"/>
  <c r="K123" i="6"/>
  <c r="J123" i="6"/>
  <c r="N122" i="6"/>
  <c r="K122" i="6"/>
  <c r="J122" i="6"/>
  <c r="N121" i="6"/>
  <c r="K121" i="6"/>
  <c r="J121" i="6"/>
  <c r="N120" i="6"/>
  <c r="K120" i="6"/>
  <c r="J120" i="6"/>
  <c r="N119" i="6"/>
  <c r="K119" i="6"/>
  <c r="J119" i="6"/>
  <c r="N118" i="6"/>
  <c r="K118" i="6"/>
  <c r="J118" i="6"/>
  <c r="N117" i="6"/>
  <c r="K117" i="6"/>
  <c r="J117" i="6"/>
  <c r="N116" i="6"/>
  <c r="K116" i="6"/>
  <c r="J116" i="6"/>
  <c r="N115" i="6"/>
  <c r="K115" i="6"/>
  <c r="J115" i="6"/>
  <c r="N114" i="6"/>
  <c r="K114" i="6"/>
  <c r="J114" i="6"/>
  <c r="K113" i="6"/>
  <c r="J113" i="6"/>
  <c r="N112" i="6"/>
  <c r="K112" i="6"/>
  <c r="J112" i="6"/>
  <c r="N111" i="6"/>
  <c r="K111" i="6"/>
  <c r="J111" i="6"/>
  <c r="N110" i="6"/>
  <c r="K110" i="6"/>
  <c r="J110" i="6"/>
  <c r="K109" i="6"/>
  <c r="J109" i="6"/>
  <c r="N108" i="6"/>
  <c r="K108" i="6"/>
  <c r="J108" i="6"/>
  <c r="N107" i="6"/>
  <c r="K107" i="6"/>
  <c r="J107" i="6"/>
  <c r="N106" i="6"/>
  <c r="K106" i="6"/>
  <c r="J106" i="6"/>
  <c r="N105" i="6"/>
  <c r="K105" i="6"/>
  <c r="J105" i="6"/>
  <c r="N104" i="6"/>
  <c r="K104" i="6"/>
  <c r="J104" i="6"/>
  <c r="N103" i="6"/>
  <c r="K103" i="6"/>
  <c r="J103" i="6"/>
  <c r="N102" i="6"/>
  <c r="K102" i="6"/>
  <c r="J102" i="6"/>
  <c r="K101" i="6"/>
  <c r="J101" i="6"/>
  <c r="N100" i="6"/>
  <c r="K100" i="6"/>
  <c r="J100" i="6"/>
  <c r="N99" i="6"/>
  <c r="K99" i="6"/>
  <c r="J99" i="6"/>
  <c r="N98" i="6"/>
  <c r="K98" i="6"/>
  <c r="J98" i="6"/>
  <c r="N97" i="6"/>
  <c r="K97" i="6"/>
  <c r="J97" i="6"/>
  <c r="N96" i="6"/>
  <c r="K96" i="6"/>
  <c r="J96" i="6"/>
  <c r="N95" i="6"/>
  <c r="K95" i="6"/>
  <c r="J95" i="6"/>
  <c r="N94" i="6"/>
  <c r="K94" i="6"/>
  <c r="J94" i="6"/>
  <c r="N93" i="6"/>
  <c r="K93" i="6"/>
  <c r="J93" i="6"/>
  <c r="N92" i="6"/>
  <c r="K92" i="6"/>
  <c r="J92" i="6"/>
  <c r="N91" i="6"/>
  <c r="L91" i="6"/>
  <c r="M91" i="6" s="1"/>
  <c r="K90" i="6"/>
  <c r="J90" i="6"/>
  <c r="N89" i="6"/>
  <c r="K89" i="6"/>
  <c r="J89" i="6"/>
  <c r="N88" i="6"/>
  <c r="K88" i="6"/>
  <c r="J88" i="6"/>
  <c r="N87" i="6"/>
  <c r="K87" i="6"/>
  <c r="J87" i="6"/>
  <c r="K86" i="6"/>
  <c r="J86" i="6"/>
  <c r="N85" i="6"/>
  <c r="K85" i="6"/>
  <c r="J85" i="6"/>
  <c r="N84" i="6"/>
  <c r="K84" i="6"/>
  <c r="J84" i="6"/>
  <c r="N83" i="6"/>
  <c r="K83" i="6"/>
  <c r="J83" i="6"/>
  <c r="N82" i="6"/>
  <c r="K82" i="6"/>
  <c r="J82" i="6"/>
  <c r="N81" i="6"/>
  <c r="M81" i="6"/>
  <c r="N80" i="6"/>
  <c r="K80" i="6"/>
  <c r="J80" i="6"/>
  <c r="N79" i="6"/>
  <c r="K79" i="6"/>
  <c r="J79" i="6"/>
  <c r="N78" i="6"/>
  <c r="K78" i="6"/>
  <c r="J78" i="6"/>
  <c r="N77" i="6"/>
  <c r="K77" i="6"/>
  <c r="J77" i="6"/>
  <c r="N76" i="6"/>
  <c r="K76" i="6"/>
  <c r="J76" i="6"/>
  <c r="N75" i="6"/>
  <c r="K75" i="6"/>
  <c r="J75" i="6"/>
  <c r="N74" i="6"/>
  <c r="K74" i="6"/>
  <c r="J74" i="6"/>
  <c r="N73" i="6"/>
  <c r="K73" i="6"/>
  <c r="J73" i="6"/>
  <c r="N72" i="6"/>
  <c r="K72" i="6"/>
  <c r="J72" i="6"/>
  <c r="N71" i="6"/>
  <c r="K71" i="6"/>
  <c r="J71" i="6"/>
  <c r="N70" i="6"/>
  <c r="K70" i="6"/>
  <c r="J70" i="6"/>
  <c r="M69" i="6"/>
  <c r="S69" i="6" s="1"/>
  <c r="V69" i="6" s="1"/>
  <c r="N68" i="6"/>
  <c r="K68" i="6"/>
  <c r="J68" i="6"/>
  <c r="N67" i="6"/>
  <c r="K67" i="6"/>
  <c r="J67" i="6"/>
  <c r="N66" i="6"/>
  <c r="K66" i="6"/>
  <c r="J66" i="6"/>
  <c r="N65" i="6"/>
  <c r="K65" i="6"/>
  <c r="J65" i="6"/>
  <c r="N64" i="6"/>
  <c r="K64" i="6"/>
  <c r="J64" i="6"/>
  <c r="N63" i="6"/>
  <c r="K63" i="6"/>
  <c r="J63" i="6"/>
  <c r="N62" i="6"/>
  <c r="K62" i="6"/>
  <c r="J62" i="6"/>
  <c r="N61" i="6"/>
  <c r="K61" i="6"/>
  <c r="J61" i="6"/>
  <c r="N60" i="6"/>
  <c r="K60" i="6"/>
  <c r="J60" i="6"/>
  <c r="N59" i="6"/>
  <c r="K59" i="6"/>
  <c r="J59" i="6"/>
  <c r="K58" i="6"/>
  <c r="J58" i="6"/>
  <c r="N57" i="6"/>
  <c r="K57" i="6"/>
  <c r="J57" i="6"/>
  <c r="N56" i="6"/>
  <c r="K56" i="6"/>
  <c r="J56" i="6"/>
  <c r="N55" i="6"/>
  <c r="K55" i="6"/>
  <c r="J55" i="6"/>
  <c r="K54" i="6"/>
  <c r="J54" i="6"/>
  <c r="N53" i="6"/>
  <c r="K53" i="6"/>
  <c r="J53" i="6"/>
  <c r="N52" i="6"/>
  <c r="K52" i="6"/>
  <c r="J52" i="6"/>
  <c r="N51" i="6"/>
  <c r="K51" i="6"/>
  <c r="J51" i="6"/>
  <c r="N50" i="6"/>
  <c r="K50" i="6"/>
  <c r="J50" i="6"/>
  <c r="N49" i="6"/>
  <c r="K49" i="6"/>
  <c r="J49" i="6"/>
  <c r="N48" i="6"/>
  <c r="K48" i="6"/>
  <c r="J48" i="6"/>
  <c r="K47" i="6"/>
  <c r="J47" i="6"/>
  <c r="N46" i="6"/>
  <c r="K46" i="6"/>
  <c r="J46" i="6"/>
  <c r="N45" i="6"/>
  <c r="K45" i="6"/>
  <c r="J45" i="6"/>
  <c r="N44" i="6"/>
  <c r="K44" i="6"/>
  <c r="J44" i="6"/>
  <c r="N43" i="6"/>
  <c r="K43" i="6"/>
  <c r="J43" i="6"/>
  <c r="K42" i="6"/>
  <c r="J42" i="6"/>
  <c r="N41" i="6"/>
  <c r="K41" i="6"/>
  <c r="J41" i="6"/>
  <c r="N40" i="6"/>
  <c r="K40" i="6"/>
  <c r="J40" i="6"/>
  <c r="N39" i="6"/>
  <c r="K39" i="6"/>
  <c r="J39" i="6"/>
  <c r="N38" i="6"/>
  <c r="K38" i="6"/>
  <c r="J38" i="6"/>
  <c r="N37" i="6"/>
  <c r="K37" i="6"/>
  <c r="J37" i="6"/>
  <c r="N36" i="6"/>
  <c r="K36" i="6"/>
  <c r="J36" i="6"/>
  <c r="N35" i="6"/>
  <c r="K35" i="6"/>
  <c r="J35" i="6"/>
  <c r="N34" i="6"/>
  <c r="K34" i="6"/>
  <c r="J34" i="6"/>
  <c r="N33" i="6"/>
  <c r="K33" i="6"/>
  <c r="J33" i="6"/>
  <c r="K32" i="6"/>
  <c r="J32" i="6"/>
  <c r="K31" i="6"/>
  <c r="J31" i="6"/>
  <c r="M30" i="6"/>
  <c r="N29" i="6"/>
  <c r="K29" i="6"/>
  <c r="J29" i="6"/>
  <c r="N28" i="6"/>
  <c r="K28" i="6"/>
  <c r="J28" i="6"/>
  <c r="N27" i="6"/>
  <c r="K27" i="6"/>
  <c r="J27" i="6"/>
  <c r="N26" i="6"/>
  <c r="K26" i="6"/>
  <c r="J26" i="6"/>
  <c r="N25" i="6"/>
  <c r="K25" i="6"/>
  <c r="J25" i="6"/>
  <c r="K24" i="6"/>
  <c r="J24" i="6"/>
  <c r="K23" i="6"/>
  <c r="J23" i="6"/>
  <c r="K22" i="6"/>
  <c r="J22" i="6"/>
  <c r="K21" i="6"/>
  <c r="J21" i="6"/>
  <c r="K20" i="6"/>
  <c r="J20" i="6"/>
  <c r="N19" i="6"/>
  <c r="K19" i="6"/>
  <c r="J19" i="6"/>
  <c r="N18" i="6"/>
  <c r="K18" i="6"/>
  <c r="J18" i="6"/>
  <c r="N17" i="6"/>
  <c r="K17" i="6"/>
  <c r="J17" i="6"/>
  <c r="K16" i="6"/>
  <c r="J16" i="6"/>
  <c r="N15" i="6"/>
  <c r="K15" i="6"/>
  <c r="J15" i="6"/>
  <c r="K14" i="6"/>
  <c r="J14" i="6"/>
  <c r="N13" i="6"/>
  <c r="K13" i="6"/>
  <c r="J13" i="6"/>
  <c r="N12" i="6"/>
  <c r="K12" i="6"/>
  <c r="J12" i="6"/>
  <c r="N11" i="6"/>
  <c r="K11" i="6"/>
  <c r="J11" i="6"/>
  <c r="N10" i="6"/>
  <c r="K10" i="6"/>
  <c r="J10" i="6"/>
  <c r="N9" i="6"/>
  <c r="K9" i="6"/>
  <c r="J9" i="6"/>
  <c r="N8" i="6"/>
  <c r="K8" i="6"/>
  <c r="J8" i="6"/>
  <c r="N7" i="6"/>
  <c r="K7" i="6"/>
  <c r="J7" i="6"/>
  <c r="K6" i="6"/>
  <c r="J6" i="6"/>
  <c r="N5" i="6"/>
  <c r="K5" i="6"/>
  <c r="J5" i="6"/>
  <c r="N4" i="6"/>
  <c r="K4" i="6"/>
  <c r="J4" i="6"/>
  <c r="N3" i="6"/>
  <c r="K3" i="6"/>
  <c r="J3" i="6"/>
  <c r="N2" i="6"/>
  <c r="K2" i="6"/>
  <c r="J2" i="6"/>
  <c r="S1047" i="6" l="1"/>
  <c r="V1047" i="6" s="1"/>
  <c r="M3" i="16"/>
  <c r="M10" i="16"/>
  <c r="M14" i="16"/>
  <c r="M20" i="16"/>
  <c r="M22" i="16"/>
  <c r="M24" i="16"/>
  <c r="M27" i="16"/>
  <c r="M32" i="16"/>
  <c r="M35" i="16"/>
  <c r="M39" i="16"/>
  <c r="M4" i="16"/>
  <c r="M7" i="16"/>
  <c r="M11" i="16"/>
  <c r="M17" i="16"/>
  <c r="M28" i="16"/>
  <c r="M36" i="16"/>
  <c r="M40" i="16"/>
  <c r="M43" i="16"/>
  <c r="M5" i="16"/>
  <c r="M8" i="16"/>
  <c r="M12" i="16"/>
  <c r="M15" i="16"/>
  <c r="M18" i="16"/>
  <c r="M21" i="16"/>
  <c r="M23" i="16"/>
  <c r="M25" i="16"/>
  <c r="M29" i="16"/>
  <c r="M31" i="16"/>
  <c r="M33" i="16"/>
  <c r="M37" i="16"/>
  <c r="M41" i="16"/>
  <c r="M44" i="16"/>
  <c r="M2" i="16"/>
  <c r="M6" i="16"/>
  <c r="M9" i="16"/>
  <c r="M13" i="16"/>
  <c r="M16" i="16"/>
  <c r="M19" i="16"/>
  <c r="M26" i="16"/>
  <c r="M34" i="16"/>
  <c r="M38" i="16"/>
  <c r="M42" i="16"/>
  <c r="M45" i="16"/>
  <c r="S30" i="6"/>
  <c r="M638" i="6"/>
  <c r="S124" i="6"/>
  <c r="V124" i="6" s="1"/>
  <c r="S338" i="6"/>
  <c r="V338" i="6" s="1"/>
  <c r="S81" i="6"/>
  <c r="V81" i="6" s="1"/>
  <c r="S322" i="6"/>
  <c r="V322" i="6" s="1"/>
  <c r="S700" i="6"/>
  <c r="V700" i="6" s="1"/>
  <c r="V719" i="6"/>
  <c r="S710" i="6"/>
  <c r="V710" i="6" s="1"/>
  <c r="S709" i="6"/>
  <c r="V709" i="6" s="1"/>
  <c r="S705" i="6"/>
  <c r="V705" i="6" s="1"/>
  <c r="S701" i="6"/>
  <c r="V701" i="6" s="1"/>
  <c r="S694" i="6"/>
  <c r="V694" i="6" s="1"/>
  <c r="S724" i="6"/>
  <c r="V724" i="6" s="1"/>
  <c r="S740" i="6"/>
  <c r="V740" i="6" s="1"/>
  <c r="S692" i="6"/>
  <c r="V692" i="6" s="1"/>
  <c r="V735" i="6"/>
  <c r="S751" i="6"/>
  <c r="V751" i="6" s="1"/>
  <c r="S767" i="6"/>
  <c r="V767" i="6" s="1"/>
  <c r="V783" i="6"/>
  <c r="S799" i="6"/>
  <c r="V799" i="6" s="1"/>
  <c r="S815" i="6"/>
  <c r="V815" i="6" s="1"/>
  <c r="S831" i="6"/>
  <c r="V831" i="6" s="1"/>
  <c r="S847" i="6"/>
  <c r="V847" i="6" s="1"/>
  <c r="S863" i="6"/>
  <c r="V863" i="6" s="1"/>
  <c r="S896" i="6"/>
  <c r="V896" i="6" s="1"/>
  <c r="S691" i="6"/>
  <c r="V691" i="6" s="1"/>
  <c r="S810" i="6"/>
  <c r="V810" i="6" s="1"/>
  <c r="S858" i="6"/>
  <c r="V858" i="6" s="1"/>
  <c r="S756" i="6"/>
  <c r="V756" i="6" s="1"/>
  <c r="S772" i="6"/>
  <c r="V772" i="6" s="1"/>
  <c r="S788" i="6"/>
  <c r="V788" i="6" s="1"/>
  <c r="S758" i="6"/>
  <c r="V758" i="6" s="1"/>
  <c r="S806" i="6"/>
  <c r="V806" i="6" s="1"/>
  <c r="S854" i="6"/>
  <c r="V854" i="6" s="1"/>
  <c r="S903" i="6"/>
  <c r="V903" i="6" s="1"/>
  <c r="S745" i="6"/>
  <c r="V745" i="6" s="1"/>
  <c r="S730" i="6"/>
  <c r="V730" i="6" s="1"/>
  <c r="S778" i="6"/>
  <c r="V778" i="6" s="1"/>
  <c r="S826" i="6"/>
  <c r="V826" i="6" s="1"/>
  <c r="S796" i="6"/>
  <c r="V796" i="6" s="1"/>
  <c r="S812" i="6"/>
  <c r="V812" i="6" s="1"/>
  <c r="S828" i="6"/>
  <c r="V828" i="6" s="1"/>
  <c r="S844" i="6"/>
  <c r="V844" i="6" s="1"/>
  <c r="S860" i="6"/>
  <c r="V860" i="6" s="1"/>
  <c r="S893" i="6"/>
  <c r="V893" i="6" s="1"/>
  <c r="S909" i="6"/>
  <c r="V909" i="6" s="1"/>
  <c r="S785" i="6"/>
  <c r="V785" i="6" s="1"/>
  <c r="S801" i="6"/>
  <c r="V801" i="6" s="1"/>
  <c r="S817" i="6"/>
  <c r="V817" i="6" s="1"/>
  <c r="S833" i="6"/>
  <c r="V833" i="6" s="1"/>
  <c r="S849" i="6"/>
  <c r="V849" i="6" s="1"/>
  <c r="S865" i="6"/>
  <c r="V865" i="6" s="1"/>
  <c r="S898" i="6"/>
  <c r="V898" i="6" s="1"/>
  <c r="S687" i="6"/>
  <c r="V687" i="6" s="1"/>
  <c r="S689" i="6"/>
  <c r="V689" i="6" s="1"/>
  <c r="S707" i="6"/>
  <c r="V707" i="6" s="1"/>
  <c r="S699" i="6"/>
  <c r="V699" i="6" s="1"/>
  <c r="S714" i="6"/>
  <c r="V714" i="6" s="1"/>
  <c r="V716" i="6"/>
  <c r="S725" i="6"/>
  <c r="V725" i="6" s="1"/>
  <c r="S732" i="6"/>
  <c r="V732" i="6" s="1"/>
  <c r="S744" i="6"/>
  <c r="V744" i="6" s="1"/>
  <c r="S696" i="6"/>
  <c r="V696" i="6" s="1"/>
  <c r="S739" i="6"/>
  <c r="V739" i="6" s="1"/>
  <c r="S755" i="6"/>
  <c r="V755" i="6" s="1"/>
  <c r="S771" i="6"/>
  <c r="V771" i="6" s="1"/>
  <c r="S787" i="6"/>
  <c r="V787" i="6" s="1"/>
  <c r="S803" i="6"/>
  <c r="V803" i="6" s="1"/>
  <c r="S819" i="6"/>
  <c r="V819" i="6" s="1"/>
  <c r="S835" i="6"/>
  <c r="V835" i="6" s="1"/>
  <c r="S851" i="6"/>
  <c r="V851" i="6" s="1"/>
  <c r="S900" i="6"/>
  <c r="V900" i="6" s="1"/>
  <c r="S726" i="6"/>
  <c r="V726" i="6" s="1"/>
  <c r="S774" i="6"/>
  <c r="V774" i="6" s="1"/>
  <c r="S822" i="6"/>
  <c r="V822" i="6" s="1"/>
  <c r="S760" i="6"/>
  <c r="V760" i="6" s="1"/>
  <c r="S776" i="6"/>
  <c r="V776" i="6" s="1"/>
  <c r="S792" i="6"/>
  <c r="V792" i="6" s="1"/>
  <c r="S770" i="6"/>
  <c r="V770" i="6" s="1"/>
  <c r="S818" i="6"/>
  <c r="V818" i="6" s="1"/>
  <c r="S866" i="6"/>
  <c r="V866" i="6" s="1"/>
  <c r="S733" i="6"/>
  <c r="V733" i="6" s="1"/>
  <c r="S749" i="6"/>
  <c r="V749" i="6" s="1"/>
  <c r="S742" i="6"/>
  <c r="V742" i="6" s="1"/>
  <c r="S786" i="6"/>
  <c r="V786" i="6" s="1"/>
  <c r="S838" i="6"/>
  <c r="V838" i="6" s="1"/>
  <c r="S800" i="6"/>
  <c r="V800" i="6" s="1"/>
  <c r="S816" i="6"/>
  <c r="V816" i="6" s="1"/>
  <c r="S832" i="6"/>
  <c r="V832" i="6" s="1"/>
  <c r="S848" i="6"/>
  <c r="V848" i="6" s="1"/>
  <c r="S864" i="6"/>
  <c r="V864" i="6" s="1"/>
  <c r="S897" i="6"/>
  <c r="V897" i="6" s="1"/>
  <c r="S773" i="6"/>
  <c r="V773" i="6" s="1"/>
  <c r="S789" i="6"/>
  <c r="V789" i="6" s="1"/>
  <c r="S805" i="6"/>
  <c r="V805" i="6" s="1"/>
  <c r="S821" i="6"/>
  <c r="V821" i="6" s="1"/>
  <c r="S837" i="6"/>
  <c r="V837" i="6" s="1"/>
  <c r="S853" i="6"/>
  <c r="V853" i="6" s="1"/>
  <c r="S902" i="6"/>
  <c r="V902" i="6" s="1"/>
  <c r="S688" i="6"/>
  <c r="V688" i="6" s="1"/>
  <c r="S686" i="6"/>
  <c r="V686" i="6" s="1"/>
  <c r="V715" i="6"/>
  <c r="S713" i="6"/>
  <c r="V713" i="6" s="1"/>
  <c r="S729" i="6"/>
  <c r="V729" i="6" s="1"/>
  <c r="S728" i="6"/>
  <c r="V728" i="6" s="1"/>
  <c r="S748" i="6"/>
  <c r="V748" i="6" s="1"/>
  <c r="S727" i="6"/>
  <c r="V727" i="6" s="1"/>
  <c r="S743" i="6"/>
  <c r="V743" i="6" s="1"/>
  <c r="S759" i="6"/>
  <c r="V759" i="6" s="1"/>
  <c r="S775" i="6"/>
  <c r="V775" i="6" s="1"/>
  <c r="S791" i="6"/>
  <c r="V791" i="6" s="1"/>
  <c r="S807" i="6"/>
  <c r="V807" i="6" s="1"/>
  <c r="S823" i="6"/>
  <c r="V823" i="6" s="1"/>
  <c r="S839" i="6"/>
  <c r="V839" i="6" s="1"/>
  <c r="S855" i="6"/>
  <c r="V855" i="6" s="1"/>
  <c r="S888" i="6"/>
  <c r="V888" i="6" s="1"/>
  <c r="S904" i="6"/>
  <c r="V904" i="6" s="1"/>
  <c r="S738" i="6"/>
  <c r="V738" i="6" s="1"/>
  <c r="S790" i="6"/>
  <c r="V790" i="6" s="1"/>
  <c r="S834" i="6"/>
  <c r="V834" i="6" s="1"/>
  <c r="S887" i="6"/>
  <c r="V887" i="6" s="1"/>
  <c r="S780" i="6"/>
  <c r="V780" i="6" s="1"/>
  <c r="S734" i="6"/>
  <c r="V734" i="6" s="1"/>
  <c r="S782" i="6"/>
  <c r="V782" i="6" s="1"/>
  <c r="S830" i="6"/>
  <c r="V830" i="6" s="1"/>
  <c r="S737" i="6"/>
  <c r="V737" i="6" s="1"/>
  <c r="S753" i="6"/>
  <c r="V753" i="6" s="1"/>
  <c r="S769" i="6"/>
  <c r="V769" i="6" s="1"/>
  <c r="S754" i="6"/>
  <c r="V754" i="6" s="1"/>
  <c r="S802" i="6"/>
  <c r="V802" i="6" s="1"/>
  <c r="S846" i="6"/>
  <c r="V846" i="6" s="1"/>
  <c r="S895" i="6"/>
  <c r="V895" i="6" s="1"/>
  <c r="S804" i="6"/>
  <c r="V804" i="6" s="1"/>
  <c r="S820" i="6"/>
  <c r="V820" i="6" s="1"/>
  <c r="S836" i="6"/>
  <c r="V836" i="6" s="1"/>
  <c r="S852" i="6"/>
  <c r="V852" i="6" s="1"/>
  <c r="S901" i="6"/>
  <c r="V901" i="6" s="1"/>
  <c r="S777" i="6"/>
  <c r="V777" i="6" s="1"/>
  <c r="S793" i="6"/>
  <c r="V793" i="6" s="1"/>
  <c r="S809" i="6"/>
  <c r="V809" i="6" s="1"/>
  <c r="S825" i="6"/>
  <c r="V825" i="6" s="1"/>
  <c r="S841" i="6"/>
  <c r="V841" i="6" s="1"/>
  <c r="S857" i="6"/>
  <c r="V857" i="6" s="1"/>
  <c r="S890" i="6"/>
  <c r="V890" i="6" s="1"/>
  <c r="S906" i="6"/>
  <c r="V906" i="6" s="1"/>
  <c r="S685" i="6"/>
  <c r="V685" i="6" s="1"/>
  <c r="S703" i="6"/>
  <c r="V703" i="6" s="1"/>
  <c r="V721" i="6"/>
  <c r="V720" i="6"/>
  <c r="S708" i="6"/>
  <c r="V708" i="6" s="1"/>
  <c r="S711" i="6"/>
  <c r="V711" i="6" s="1"/>
  <c r="S91" i="6"/>
  <c r="V91" i="6" s="1"/>
  <c r="S690" i="6"/>
  <c r="V690" i="6" s="1"/>
  <c r="S693" i="6"/>
  <c r="V693" i="6" s="1"/>
  <c r="S736" i="6"/>
  <c r="V736" i="6" s="1"/>
  <c r="S752" i="6"/>
  <c r="V752" i="6" s="1"/>
  <c r="S731" i="6"/>
  <c r="V731" i="6" s="1"/>
  <c r="S747" i="6"/>
  <c r="V747" i="6" s="1"/>
  <c r="S779" i="6"/>
  <c r="V779" i="6" s="1"/>
  <c r="S795" i="6"/>
  <c r="V795" i="6" s="1"/>
  <c r="S811" i="6"/>
  <c r="V811" i="6" s="1"/>
  <c r="S827" i="6"/>
  <c r="V827" i="6" s="1"/>
  <c r="S843" i="6"/>
  <c r="V843" i="6" s="1"/>
  <c r="S859" i="6"/>
  <c r="V859" i="6" s="1"/>
  <c r="S892" i="6"/>
  <c r="V892" i="6" s="1"/>
  <c r="S908" i="6"/>
  <c r="V908" i="6" s="1"/>
  <c r="S750" i="6"/>
  <c r="V750" i="6" s="1"/>
  <c r="S798" i="6"/>
  <c r="V798" i="6" s="1"/>
  <c r="S850" i="6"/>
  <c r="V850" i="6" s="1"/>
  <c r="S899" i="6"/>
  <c r="V899" i="6" s="1"/>
  <c r="S768" i="6"/>
  <c r="V768" i="6" s="1"/>
  <c r="S784" i="6"/>
  <c r="V784" i="6" s="1"/>
  <c r="S746" i="6"/>
  <c r="V746" i="6" s="1"/>
  <c r="S794" i="6"/>
  <c r="V794" i="6" s="1"/>
  <c r="S842" i="6"/>
  <c r="V842" i="6" s="1"/>
  <c r="S891" i="6"/>
  <c r="V891" i="6" s="1"/>
  <c r="S741" i="6"/>
  <c r="V741" i="6" s="1"/>
  <c r="S757" i="6"/>
  <c r="V757" i="6" s="1"/>
  <c r="S695" i="6"/>
  <c r="V695" i="6" s="1"/>
  <c r="S814" i="6"/>
  <c r="V814" i="6" s="1"/>
  <c r="S862" i="6"/>
  <c r="V862" i="6" s="1"/>
  <c r="S907" i="6"/>
  <c r="V907" i="6" s="1"/>
  <c r="S808" i="6"/>
  <c r="V808" i="6" s="1"/>
  <c r="S824" i="6"/>
  <c r="V824" i="6" s="1"/>
  <c r="S840" i="6"/>
  <c r="V840" i="6" s="1"/>
  <c r="S856" i="6"/>
  <c r="V856" i="6" s="1"/>
  <c r="S889" i="6"/>
  <c r="V889" i="6" s="1"/>
  <c r="S905" i="6"/>
  <c r="V905" i="6" s="1"/>
  <c r="S781" i="6"/>
  <c r="V781" i="6" s="1"/>
  <c r="S797" i="6"/>
  <c r="V797" i="6" s="1"/>
  <c r="S813" i="6"/>
  <c r="V813" i="6" s="1"/>
  <c r="S829" i="6"/>
  <c r="V829" i="6" s="1"/>
  <c r="S845" i="6"/>
  <c r="V845" i="6" s="1"/>
  <c r="S861" i="6"/>
  <c r="V861" i="6" s="1"/>
  <c r="S894" i="6"/>
  <c r="V894" i="6" s="1"/>
  <c r="S684" i="6"/>
  <c r="V684" i="6" s="1"/>
  <c r="S683" i="6"/>
  <c r="V683" i="6" s="1"/>
  <c r="V718" i="6"/>
  <c r="V722" i="6"/>
  <c r="V717" i="6"/>
  <c r="V723" i="6"/>
  <c r="S712" i="6"/>
  <c r="V712" i="6" s="1"/>
  <c r="M682" i="6"/>
  <c r="M670" i="6"/>
  <c r="S670" i="6" s="1"/>
  <c r="M674" i="6"/>
  <c r="S674" i="6" s="1"/>
  <c r="M681" i="6"/>
  <c r="M106" i="6"/>
  <c r="M118" i="6"/>
  <c r="M122" i="6"/>
  <c r="M125" i="6"/>
  <c r="M128" i="6"/>
  <c r="M132" i="6"/>
  <c r="M136" i="6"/>
  <c r="M680" i="6"/>
  <c r="M669" i="6"/>
  <c r="S669" i="6" s="1"/>
  <c r="M537" i="6"/>
  <c r="M679" i="6"/>
  <c r="M667" i="6"/>
  <c r="S667" i="6" s="1"/>
  <c r="M663" i="6"/>
  <c r="M665" i="6"/>
  <c r="M673" i="6"/>
  <c r="S673" i="6" s="1"/>
  <c r="M677" i="6"/>
  <c r="M533" i="6"/>
  <c r="M678" i="6"/>
  <c r="M530" i="6"/>
  <c r="M534" i="6"/>
  <c r="M672" i="6"/>
  <c r="S672" i="6" s="1"/>
  <c r="M676" i="6"/>
  <c r="M253" i="6"/>
  <c r="M256" i="6"/>
  <c r="M320" i="6"/>
  <c r="M346" i="6"/>
  <c r="M361" i="6"/>
  <c r="M364" i="6"/>
  <c r="M368" i="6"/>
  <c r="M376" i="6"/>
  <c r="M386" i="6"/>
  <c r="M392" i="6"/>
  <c r="M396" i="6"/>
  <c r="M400" i="6"/>
  <c r="M423" i="6"/>
  <c r="M427" i="6"/>
  <c r="M431" i="6"/>
  <c r="M437" i="6"/>
  <c r="M457" i="6"/>
  <c r="M465" i="6"/>
  <c r="M471" i="6"/>
  <c r="M479" i="6"/>
  <c r="M495" i="6"/>
  <c r="M506" i="6"/>
  <c r="M510" i="6"/>
  <c r="M514" i="6"/>
  <c r="M518" i="6"/>
  <c r="M671" i="6"/>
  <c r="S671" i="6" s="1"/>
  <c r="M675" i="6"/>
  <c r="S675" i="6" s="1"/>
  <c r="V675" i="6" s="1"/>
  <c r="M174" i="6"/>
  <c r="M668" i="6"/>
  <c r="S668" i="6" s="1"/>
  <c r="M664" i="6"/>
  <c r="M666" i="6"/>
  <c r="S666" i="6" s="1"/>
  <c r="M32" i="6"/>
  <c r="M40" i="6"/>
  <c r="M141" i="6"/>
  <c r="M155" i="6"/>
  <c r="M159" i="6"/>
  <c r="M180" i="6"/>
  <c r="M183" i="6"/>
  <c r="M560" i="6"/>
  <c r="M107" i="6"/>
  <c r="M111" i="6"/>
  <c r="M119" i="6"/>
  <c r="M140" i="6"/>
  <c r="M144" i="6"/>
  <c r="M151" i="6"/>
  <c r="M168" i="6"/>
  <c r="M172" i="6"/>
  <c r="M257" i="6"/>
  <c r="M260" i="6"/>
  <c r="M264" i="6"/>
  <c r="M289" i="6"/>
  <c r="M296" i="6"/>
  <c r="M309" i="6"/>
  <c r="M313" i="6"/>
  <c r="M337" i="6"/>
  <c r="M340" i="6"/>
  <c r="M351" i="6"/>
  <c r="M354" i="6"/>
  <c r="M373" i="6"/>
  <c r="M387" i="6"/>
  <c r="M407" i="6"/>
  <c r="M411" i="6"/>
  <c r="M415" i="6"/>
  <c r="M466" i="6"/>
  <c r="M476" i="6"/>
  <c r="M480" i="6"/>
  <c r="M492" i="6"/>
  <c r="M503" i="6"/>
  <c r="M531" i="6"/>
  <c r="M555" i="6"/>
  <c r="M559" i="6"/>
  <c r="S559" i="6" s="1"/>
  <c r="V559" i="6" s="1"/>
  <c r="M50" i="6"/>
  <c r="M153" i="6"/>
  <c r="M216" i="6"/>
  <c r="M316" i="6"/>
  <c r="M42" i="6"/>
  <c r="M99" i="6"/>
  <c r="M204" i="6"/>
  <c r="M242" i="6"/>
  <c r="M250" i="6"/>
  <c r="M623" i="6"/>
  <c r="M627" i="6"/>
  <c r="S627" i="6" s="1"/>
  <c r="M631" i="6"/>
  <c r="S631" i="6" s="1"/>
  <c r="M635" i="6"/>
  <c r="M639" i="6"/>
  <c r="M643" i="6"/>
  <c r="M21" i="6"/>
  <c r="M56" i="6"/>
  <c r="M64" i="6"/>
  <c r="M282" i="6"/>
  <c r="M429" i="6"/>
  <c r="M45" i="6"/>
  <c r="M105" i="6"/>
  <c r="M109" i="6"/>
  <c r="M198" i="6"/>
  <c r="M202" i="6"/>
  <c r="M206" i="6"/>
  <c r="M219" i="6"/>
  <c r="M223" i="6"/>
  <c r="M227" i="6"/>
  <c r="M231" i="6"/>
  <c r="M234" i="6"/>
  <c r="M240" i="6"/>
  <c r="M244" i="6"/>
  <c r="M266" i="6"/>
  <c r="M273" i="6"/>
  <c r="M326" i="6"/>
  <c r="M342" i="6"/>
  <c r="M349" i="6"/>
  <c r="M356" i="6"/>
  <c r="M360" i="6"/>
  <c r="M363" i="6"/>
  <c r="M447" i="6"/>
  <c r="M455" i="6"/>
  <c r="S455" i="6" s="1"/>
  <c r="V455" i="6" s="1"/>
  <c r="M456" i="6"/>
  <c r="M460" i="6"/>
  <c r="M464" i="6"/>
  <c r="M474" i="6"/>
  <c r="M561" i="6"/>
  <c r="M662" i="6"/>
  <c r="M194" i="6"/>
  <c r="M228" i="6"/>
  <c r="M232" i="6"/>
  <c r="M362" i="6"/>
  <c r="M462" i="6"/>
  <c r="M103" i="6"/>
  <c r="M414" i="6"/>
  <c r="S414" i="6" s="1"/>
  <c r="V414" i="6" s="1"/>
  <c r="M25" i="6"/>
  <c r="M28" i="6"/>
  <c r="M39" i="6"/>
  <c r="M86" i="6"/>
  <c r="M97" i="6"/>
  <c r="M146" i="6"/>
  <c r="M150" i="6"/>
  <c r="M156" i="6"/>
  <c r="M170" i="6"/>
  <c r="M192" i="6"/>
  <c r="M212" i="6"/>
  <c r="M217" i="6"/>
  <c r="M225" i="6"/>
  <c r="M229" i="6"/>
  <c r="M239" i="6"/>
  <c r="M261" i="6"/>
  <c r="M291" i="6"/>
  <c r="M294" i="6"/>
  <c r="M307" i="6"/>
  <c r="M315" i="6"/>
  <c r="M318" i="6"/>
  <c r="M520" i="6"/>
  <c r="M524" i="6"/>
  <c r="S524" i="6" s="1"/>
  <c r="V524" i="6" s="1"/>
  <c r="M528" i="6"/>
  <c r="M544" i="6"/>
  <c r="M580" i="6"/>
  <c r="M584" i="6"/>
  <c r="M588" i="6"/>
  <c r="M592" i="6"/>
  <c r="M596" i="6"/>
  <c r="M600" i="6"/>
  <c r="S600" i="6" s="1"/>
  <c r="M604" i="6"/>
  <c r="M608" i="6"/>
  <c r="M644" i="6"/>
  <c r="M654" i="6"/>
  <c r="M496" i="6"/>
  <c r="M548" i="6"/>
  <c r="M552" i="6"/>
  <c r="M564" i="6"/>
  <c r="M568" i="6"/>
  <c r="M572" i="6"/>
  <c r="M576" i="6"/>
  <c r="M27" i="6"/>
  <c r="M54" i="6"/>
  <c r="M58" i="6"/>
  <c r="M66" i="6"/>
  <c r="M89" i="6"/>
  <c r="M117" i="6"/>
  <c r="M142" i="6"/>
  <c r="M147" i="6"/>
  <c r="M157" i="6"/>
  <c r="M161" i="6"/>
  <c r="M165" i="6"/>
  <c r="M176" i="6"/>
  <c r="M179" i="6"/>
  <c r="M191" i="6"/>
  <c r="M196" i="6"/>
  <c r="M200" i="6"/>
  <c r="M211" i="6"/>
  <c r="M213" i="6"/>
  <c r="M218" i="6"/>
  <c r="M226" i="6"/>
  <c r="M258" i="6"/>
  <c r="M267" i="6"/>
  <c r="M270" i="6"/>
  <c r="M271" i="6"/>
  <c r="M274" i="6"/>
  <c r="M281" i="6"/>
  <c r="M284" i="6"/>
  <c r="M285" i="6"/>
  <c r="M288" i="6"/>
  <c r="M292" i="6"/>
  <c r="M295" i="6"/>
  <c r="M299" i="6"/>
  <c r="M303" i="6"/>
  <c r="M329" i="6"/>
  <c r="M335" i="6"/>
  <c r="M367" i="6"/>
  <c r="M374" i="6"/>
  <c r="M378" i="6"/>
  <c r="M390" i="6"/>
  <c r="M399" i="6"/>
  <c r="M403" i="6"/>
  <c r="M405" i="6"/>
  <c r="M418" i="6"/>
  <c r="M421" i="6"/>
  <c r="M425" i="6"/>
  <c r="M444" i="6"/>
  <c r="M446" i="6"/>
  <c r="M450" i="6"/>
  <c r="M454" i="6"/>
  <c r="M459" i="6"/>
  <c r="M467" i="6"/>
  <c r="M482" i="6"/>
  <c r="M485" i="6"/>
  <c r="M489" i="6"/>
  <c r="M498" i="6"/>
  <c r="M542" i="6"/>
  <c r="M562" i="6"/>
  <c r="M655" i="6"/>
  <c r="M651" i="6"/>
  <c r="M647" i="6"/>
  <c r="M11" i="6"/>
  <c r="M36" i="6"/>
  <c r="M237" i="6"/>
  <c r="M15" i="6"/>
  <c r="M134" i="6"/>
  <c r="M468" i="6"/>
  <c r="P468" i="6"/>
  <c r="M19" i="6"/>
  <c r="M126" i="6"/>
  <c r="M130" i="6"/>
  <c r="M166" i="6"/>
  <c r="M70" i="6"/>
  <c r="M90" i="6"/>
  <c r="M93" i="6"/>
  <c r="M102" i="6"/>
  <c r="M149" i="6"/>
  <c r="M185" i="6"/>
  <c r="M189" i="6"/>
  <c r="M646" i="6"/>
  <c r="M419" i="6"/>
  <c r="M262" i="6"/>
  <c r="M384" i="6"/>
  <c r="M2" i="6"/>
  <c r="M3" i="6"/>
  <c r="M9" i="6"/>
  <c r="M13" i="6"/>
  <c r="M17" i="6"/>
  <c r="M48" i="6"/>
  <c r="M52" i="6"/>
  <c r="M61" i="6"/>
  <c r="M65" i="6"/>
  <c r="M72" i="6"/>
  <c r="M73" i="6"/>
  <c r="M76" i="6"/>
  <c r="M80" i="6"/>
  <c r="M83" i="6"/>
  <c r="M123" i="6"/>
  <c r="M222" i="6"/>
  <c r="M248" i="6"/>
  <c r="M277" i="6"/>
  <c r="M298" i="6"/>
  <c r="M312" i="6"/>
  <c r="M319" i="6"/>
  <c r="M332" i="6"/>
  <c r="M334" i="6"/>
  <c r="M345" i="6"/>
  <c r="M359" i="6"/>
  <c r="M377" i="6"/>
  <c r="M389" i="6"/>
  <c r="M393" i="6"/>
  <c r="M397" i="6"/>
  <c r="M401" i="6"/>
  <c r="M408" i="6"/>
  <c r="M412" i="6"/>
  <c r="M442" i="6"/>
  <c r="M494" i="6"/>
  <c r="M523" i="6"/>
  <c r="M527" i="6"/>
  <c r="M545" i="6"/>
  <c r="M549" i="6"/>
  <c r="M625" i="6"/>
  <c r="M629" i="6"/>
  <c r="S629" i="6" s="1"/>
  <c r="M633" i="6"/>
  <c r="S633" i="6" s="1"/>
  <c r="M637" i="6"/>
  <c r="M641" i="6"/>
  <c r="M658" i="6"/>
  <c r="M650" i="6"/>
  <c r="M660" i="6"/>
  <c r="M656" i="6"/>
  <c r="M300" i="6"/>
  <c r="M486" i="6"/>
  <c r="M8" i="6"/>
  <c r="M12" i="6"/>
  <c r="M46" i="6"/>
  <c r="M68" i="6"/>
  <c r="M87" i="6"/>
  <c r="M121" i="6"/>
  <c r="M131" i="6"/>
  <c r="M154" i="6"/>
  <c r="M163" i="6"/>
  <c r="M178" i="6"/>
  <c r="M186" i="6"/>
  <c r="M199" i="6"/>
  <c r="M208" i="6"/>
  <c r="M209" i="6"/>
  <c r="M224" i="6"/>
  <c r="M246" i="6"/>
  <c r="M251" i="6"/>
  <c r="M286" i="6"/>
  <c r="M297" i="6"/>
  <c r="M304" i="6"/>
  <c r="M311" i="6"/>
  <c r="M352" i="6"/>
  <c r="S352" i="6" s="1"/>
  <c r="V352" i="6" s="1"/>
  <c r="M358" i="6"/>
  <c r="M366" i="6"/>
  <c r="M370" i="6"/>
  <c r="M371" i="6"/>
  <c r="M379" i="6"/>
  <c r="M381" i="6"/>
  <c r="M385" i="6"/>
  <c r="M388" i="6"/>
  <c r="M395" i="6"/>
  <c r="M436" i="6"/>
  <c r="M440" i="6"/>
  <c r="S440" i="6" s="1"/>
  <c r="V440" i="6" s="1"/>
  <c r="M449" i="6"/>
  <c r="M453" i="6"/>
  <c r="M458" i="6"/>
  <c r="M478" i="6"/>
  <c r="M513" i="6"/>
  <c r="M529" i="6"/>
  <c r="M612" i="6"/>
  <c r="M616" i="6"/>
  <c r="M659" i="6"/>
  <c r="M84" i="6"/>
  <c r="M214" i="6"/>
  <c r="M434" i="6"/>
  <c r="M470" i="6"/>
  <c r="P470" i="6"/>
  <c r="M4" i="6"/>
  <c r="M5" i="6"/>
  <c r="M7" i="6"/>
  <c r="M34" i="6"/>
  <c r="M95" i="6"/>
  <c r="M127" i="6"/>
  <c r="M143" i="6"/>
  <c r="M158" i="6"/>
  <c r="M171" i="6"/>
  <c r="M188" i="6"/>
  <c r="M207" i="6"/>
  <c r="M221" i="6"/>
  <c r="M236" i="6"/>
  <c r="M259" i="6"/>
  <c r="S259" i="6" s="1"/>
  <c r="V259" i="6" s="1"/>
  <c r="M77" i="6"/>
  <c r="M24" i="6"/>
  <c r="M29" i="6"/>
  <c r="M62" i="6"/>
  <c r="M115" i="6"/>
  <c r="M139" i="6"/>
  <c r="M169" i="6"/>
  <c r="M187" i="6"/>
  <c r="M220" i="6"/>
  <c r="M235" i="6"/>
  <c r="M275" i="6"/>
  <c r="M290" i="6"/>
  <c r="M490" i="6"/>
  <c r="M516" i="6"/>
  <c r="M532" i="6"/>
  <c r="M536" i="6"/>
  <c r="M547" i="6"/>
  <c r="M551" i="6"/>
  <c r="M556" i="6"/>
  <c r="M6" i="6"/>
  <c r="M16" i="6"/>
  <c r="M23" i="6"/>
  <c r="M31" i="6"/>
  <c r="M60" i="6"/>
  <c r="M71" i="6"/>
  <c r="M101" i="6"/>
  <c r="M138" i="6"/>
  <c r="M164" i="6"/>
  <c r="M177" i="6"/>
  <c r="M181" i="6"/>
  <c r="M230" i="6"/>
  <c r="M238" i="6"/>
  <c r="S238" i="6" s="1"/>
  <c r="V238" i="6" s="1"/>
  <c r="M245" i="6"/>
  <c r="M252" i="6"/>
  <c r="M280" i="6"/>
  <c r="M287" i="6"/>
  <c r="M306" i="6"/>
  <c r="S306" i="6" s="1"/>
  <c r="V306" i="6" s="1"/>
  <c r="M325" i="6"/>
  <c r="M330" i="6"/>
  <c r="M339" i="6"/>
  <c r="M344" i="6"/>
  <c r="M348" i="6"/>
  <c r="M353" i="6"/>
  <c r="M406" i="6"/>
  <c r="M416" i="6"/>
  <c r="M433" i="6"/>
  <c r="M439" i="6"/>
  <c r="M473" i="6"/>
  <c r="M507" i="6"/>
  <c r="M511" i="6"/>
  <c r="M522" i="6"/>
  <c r="M526" i="6"/>
  <c r="M20" i="6"/>
  <c r="M35" i="6"/>
  <c r="M38" i="6"/>
  <c r="M44" i="6"/>
  <c r="M49" i="6"/>
  <c r="M75" i="6"/>
  <c r="M79" i="6"/>
  <c r="M82" i="6"/>
  <c r="M85" i="6"/>
  <c r="M88" i="6"/>
  <c r="M113" i="6"/>
  <c r="M135" i="6"/>
  <c r="M145" i="6"/>
  <c r="M148" i="6"/>
  <c r="M152" i="6"/>
  <c r="M160" i="6"/>
  <c r="M173" i="6"/>
  <c r="M210" i="6"/>
  <c r="M215" i="6"/>
  <c r="M233" i="6"/>
  <c r="M243" i="6"/>
  <c r="M276" i="6"/>
  <c r="M279" i="6"/>
  <c r="M305" i="6"/>
  <c r="M314" i="6"/>
  <c r="M321" i="6"/>
  <c r="M380" i="6"/>
  <c r="M383" i="6"/>
  <c r="M426" i="6"/>
  <c r="M438" i="6"/>
  <c r="M448" i="6"/>
  <c r="M452" i="6"/>
  <c r="M472" i="6"/>
  <c r="M491" i="6"/>
  <c r="M501" i="6"/>
  <c r="P505" i="6"/>
  <c r="M505" i="6"/>
  <c r="M517" i="6"/>
  <c r="M521" i="6"/>
  <c r="M557" i="6"/>
  <c r="M254" i="6"/>
  <c r="M255" i="6"/>
  <c r="M268" i="6"/>
  <c r="M269" i="6"/>
  <c r="M272" i="6"/>
  <c r="M278" i="6"/>
  <c r="M283" i="6"/>
  <c r="S283" i="6" s="1"/>
  <c r="V283" i="6" s="1"/>
  <c r="M301" i="6"/>
  <c r="M302" i="6"/>
  <c r="M317" i="6"/>
  <c r="M328" i="6"/>
  <c r="M333" i="6"/>
  <c r="M341" i="6"/>
  <c r="M350" i="6"/>
  <c r="M355" i="6"/>
  <c r="M372" i="6"/>
  <c r="M398" i="6"/>
  <c r="M402" i="6"/>
  <c r="M413" i="6"/>
  <c r="M420" i="6"/>
  <c r="M428" i="6"/>
  <c r="M443" i="6"/>
  <c r="M445" i="6"/>
  <c r="M463" i="6"/>
  <c r="M475" i="6"/>
  <c r="M483" i="6"/>
  <c r="M484" i="6"/>
  <c r="M487" i="6"/>
  <c r="S487" i="6" s="1"/>
  <c r="V487" i="6" s="1"/>
  <c r="M488" i="6"/>
  <c r="M493" i="6"/>
  <c r="M497" i="6"/>
  <c r="M508" i="6"/>
  <c r="M509" i="6"/>
  <c r="M512" i="6"/>
  <c r="M519" i="6"/>
  <c r="M538" i="6"/>
  <c r="M539" i="6"/>
  <c r="P542" i="6"/>
  <c r="M543" i="6"/>
  <c r="M553" i="6"/>
  <c r="M554" i="6"/>
  <c r="M558" i="6"/>
  <c r="M652" i="6"/>
  <c r="M648" i="6"/>
  <c r="M324" i="6"/>
  <c r="M343" i="6"/>
  <c r="M347" i="6"/>
  <c r="M365" i="6"/>
  <c r="M369" i="6"/>
  <c r="M375" i="6"/>
  <c r="M382" i="6"/>
  <c r="M391" i="6"/>
  <c r="M394" i="6"/>
  <c r="M404" i="6"/>
  <c r="M409" i="6"/>
  <c r="M410" i="6"/>
  <c r="M451" i="6"/>
  <c r="M499" i="6"/>
  <c r="M500" i="6"/>
  <c r="M504" i="6"/>
  <c r="M525" i="6"/>
  <c r="M535" i="6"/>
  <c r="M546" i="6"/>
  <c r="M550" i="6"/>
  <c r="M566" i="6"/>
  <c r="M570" i="6"/>
  <c r="M574" i="6"/>
  <c r="M578" i="6"/>
  <c r="M582" i="6"/>
  <c r="M586" i="6"/>
  <c r="M590" i="6"/>
  <c r="M594" i="6"/>
  <c r="M598" i="6"/>
  <c r="S598" i="6" s="1"/>
  <c r="V598" i="6" s="1"/>
  <c r="M602" i="6"/>
  <c r="M606" i="6"/>
  <c r="M610" i="6"/>
  <c r="M614" i="6"/>
  <c r="M618" i="6"/>
  <c r="M661" i="6"/>
  <c r="M657" i="6"/>
  <c r="M653" i="6"/>
  <c r="M649" i="6"/>
  <c r="M645" i="6"/>
  <c r="M10" i="6"/>
  <c r="M14" i="6"/>
  <c r="M18" i="6"/>
  <c r="M22" i="6"/>
  <c r="M26" i="6"/>
  <c r="M41" i="6"/>
  <c r="M57" i="6"/>
  <c r="M74" i="6"/>
  <c r="M98" i="6"/>
  <c r="M110" i="6"/>
  <c r="M175" i="6"/>
  <c r="P502" i="6"/>
  <c r="M502" i="6"/>
  <c r="M540" i="6"/>
  <c r="P540" i="6"/>
  <c r="M33" i="6"/>
  <c r="M37" i="6"/>
  <c r="M53" i="6"/>
  <c r="M78" i="6"/>
  <c r="M94" i="6"/>
  <c r="M114" i="6"/>
  <c r="M162" i="6"/>
  <c r="M197" i="6"/>
  <c r="M205" i="6"/>
  <c r="M435" i="6"/>
  <c r="M481" i="6"/>
  <c r="P481" i="6"/>
  <c r="M43" i="6"/>
  <c r="M47" i="6"/>
  <c r="M51" i="6"/>
  <c r="M55" i="6"/>
  <c r="M59" i="6"/>
  <c r="M63" i="6"/>
  <c r="M67" i="6"/>
  <c r="M92" i="6"/>
  <c r="M96" i="6"/>
  <c r="M100" i="6"/>
  <c r="M104" i="6"/>
  <c r="M108" i="6"/>
  <c r="M112" i="6"/>
  <c r="M116" i="6"/>
  <c r="M120" i="6"/>
  <c r="M167" i="6"/>
  <c r="M182" i="6"/>
  <c r="M190" i="6"/>
  <c r="M193" i="6"/>
  <c r="M201" i="6"/>
  <c r="M247" i="6"/>
  <c r="M263" i="6"/>
  <c r="M308" i="6"/>
  <c r="M323" i="6"/>
  <c r="M327" i="6"/>
  <c r="M424" i="6"/>
  <c r="M432" i="6"/>
  <c r="M129" i="6"/>
  <c r="M133" i="6"/>
  <c r="M137" i="6"/>
  <c r="M184" i="6"/>
  <c r="M195" i="6"/>
  <c r="M203" i="6"/>
  <c r="M241" i="6"/>
  <c r="M249" i="6"/>
  <c r="M265" i="6"/>
  <c r="M310" i="6"/>
  <c r="M331" i="6"/>
  <c r="M336" i="6"/>
  <c r="S336" i="6" s="1"/>
  <c r="V336" i="6" s="1"/>
  <c r="M357" i="6"/>
  <c r="M417" i="6"/>
  <c r="M422" i="6"/>
  <c r="M430" i="6"/>
  <c r="M441" i="6"/>
  <c r="M461" i="6"/>
  <c r="M469" i="6"/>
  <c r="M477" i="6"/>
  <c r="P500" i="6"/>
  <c r="M541" i="6"/>
  <c r="M515" i="6"/>
  <c r="M563" i="6"/>
  <c r="M565" i="6"/>
  <c r="M567" i="6"/>
  <c r="M569" i="6"/>
  <c r="M571" i="6"/>
  <c r="M573" i="6"/>
  <c r="M575" i="6"/>
  <c r="M577" i="6"/>
  <c r="M579" i="6"/>
  <c r="M581" i="6"/>
  <c r="M583" i="6"/>
  <c r="M585" i="6"/>
  <c r="M587" i="6"/>
  <c r="M589" i="6"/>
  <c r="M591" i="6"/>
  <c r="M593" i="6"/>
  <c r="M595" i="6"/>
  <c r="M597" i="6"/>
  <c r="M599" i="6"/>
  <c r="M601" i="6"/>
  <c r="M603" i="6"/>
  <c r="M605" i="6"/>
  <c r="M607" i="6"/>
  <c r="M609" i="6"/>
  <c r="M611" i="6"/>
  <c r="M613" i="6"/>
  <c r="M615" i="6"/>
  <c r="M617" i="6"/>
  <c r="M619" i="6"/>
  <c r="M620" i="6"/>
  <c r="M621" i="6"/>
  <c r="M622" i="6"/>
  <c r="M624" i="6"/>
  <c r="M626" i="6"/>
  <c r="S626" i="6" s="1"/>
  <c r="M628" i="6"/>
  <c r="S628" i="6" s="1"/>
  <c r="M630" i="6"/>
  <c r="S630" i="6" s="1"/>
  <c r="M632" i="6"/>
  <c r="S632" i="6" s="1"/>
  <c r="M634" i="6"/>
  <c r="M636" i="6"/>
  <c r="M640" i="6"/>
  <c r="S640" i="6" s="1"/>
  <c r="V640" i="6" s="1"/>
  <c r="M642" i="6"/>
  <c r="V30" i="6" l="1"/>
  <c r="S542" i="6"/>
  <c r="V542" i="6" s="1"/>
  <c r="S575" i="6"/>
  <c r="V575" i="6" s="1"/>
  <c r="S481" i="6"/>
  <c r="V481" i="6" s="1"/>
  <c r="V628" i="6"/>
  <c r="S615" i="6"/>
  <c r="V615" i="6" s="1"/>
  <c r="S607" i="6"/>
  <c r="V607" i="6" s="1"/>
  <c r="S591" i="6"/>
  <c r="V591" i="6" s="1"/>
  <c r="S541" i="6"/>
  <c r="V541" i="6" s="1"/>
  <c r="S417" i="6"/>
  <c r="V417" i="6" s="1"/>
  <c r="V184" i="6"/>
  <c r="S308" i="6"/>
  <c r="V308" i="6" s="1"/>
  <c r="S193" i="6"/>
  <c r="V193" i="6" s="1"/>
  <c r="S104" i="6"/>
  <c r="V104" i="6" s="1"/>
  <c r="S67" i="6"/>
  <c r="V67" i="6" s="1"/>
  <c r="S51" i="6"/>
  <c r="S162" i="6"/>
  <c r="V162" i="6" s="1"/>
  <c r="S33" i="6"/>
  <c r="S26" i="6"/>
  <c r="S657" i="6"/>
  <c r="V657" i="6" s="1"/>
  <c r="S594" i="6"/>
  <c r="V594" i="6" s="1"/>
  <c r="S504" i="6"/>
  <c r="V504" i="6" s="1"/>
  <c r="S391" i="6"/>
  <c r="V391" i="6" s="1"/>
  <c r="S648" i="6"/>
  <c r="V648" i="6" s="1"/>
  <c r="S420" i="6"/>
  <c r="V420" i="6" s="1"/>
  <c r="S333" i="6"/>
  <c r="V333" i="6" s="1"/>
  <c r="S269" i="6"/>
  <c r="V269" i="6" s="1"/>
  <c r="S383" i="6"/>
  <c r="V383" i="6" s="1"/>
  <c r="S233" i="6"/>
  <c r="V233" i="6" s="1"/>
  <c r="S82" i="6"/>
  <c r="V82" i="6" s="1"/>
  <c r="S101" i="6"/>
  <c r="V101" i="6" s="1"/>
  <c r="S551" i="6"/>
  <c r="V551" i="6" s="1"/>
  <c r="S235" i="6"/>
  <c r="V235" i="6" s="1"/>
  <c r="S24" i="6"/>
  <c r="S221" i="6"/>
  <c r="V221" i="6" s="1"/>
  <c r="S34" i="6"/>
  <c r="S84" i="6"/>
  <c r="V84" i="6" s="1"/>
  <c r="S458" i="6"/>
  <c r="V458" i="6" s="1"/>
  <c r="S381" i="6"/>
  <c r="V381" i="6" s="1"/>
  <c r="S304" i="6"/>
  <c r="V304" i="6" s="1"/>
  <c r="S199" i="6"/>
  <c r="V199" i="6" s="1"/>
  <c r="S68" i="6"/>
  <c r="V68" i="6" s="1"/>
  <c r="S650" i="6"/>
  <c r="V650" i="6" s="1"/>
  <c r="V633" i="6"/>
  <c r="S442" i="6"/>
  <c r="V442" i="6" s="1"/>
  <c r="S359" i="6"/>
  <c r="V359" i="6" s="1"/>
  <c r="S319" i="6"/>
  <c r="V319" i="6" s="1"/>
  <c r="S80" i="6"/>
  <c r="V80" i="6" s="1"/>
  <c r="S17" i="6"/>
  <c r="S102" i="6"/>
  <c r="V102" i="6" s="1"/>
  <c r="S15" i="6"/>
  <c r="S454" i="6"/>
  <c r="V454" i="6" s="1"/>
  <c r="S403" i="6"/>
  <c r="V403" i="6" s="1"/>
  <c r="S303" i="6"/>
  <c r="V303" i="6" s="1"/>
  <c r="S274" i="6"/>
  <c r="V274" i="6" s="1"/>
  <c r="S211" i="6"/>
  <c r="V211" i="6" s="1"/>
  <c r="S157" i="6"/>
  <c r="V157" i="6" s="1"/>
  <c r="S89" i="6"/>
  <c r="V89" i="6" s="1"/>
  <c r="S564" i="6"/>
  <c r="V564" i="6" s="1"/>
  <c r="S654" i="6"/>
  <c r="V654" i="6" s="1"/>
  <c r="S239" i="6"/>
  <c r="V239" i="6" s="1"/>
  <c r="S150" i="6"/>
  <c r="V150" i="6" s="1"/>
  <c r="S103" i="6"/>
  <c r="V103" i="6" s="1"/>
  <c r="S273" i="6"/>
  <c r="V273" i="6" s="1"/>
  <c r="S219" i="6"/>
  <c r="V219" i="6" s="1"/>
  <c r="S282" i="6"/>
  <c r="V282" i="6" s="1"/>
  <c r="V627" i="6"/>
  <c r="S204" i="6"/>
  <c r="V204" i="6" s="1"/>
  <c r="S555" i="6"/>
  <c r="V555" i="6" s="1"/>
  <c r="S411" i="6"/>
  <c r="V411" i="6" s="1"/>
  <c r="S313" i="6"/>
  <c r="V313" i="6" s="1"/>
  <c r="S172" i="6"/>
  <c r="V172" i="6" s="1"/>
  <c r="S560" i="6"/>
  <c r="V560" i="6" s="1"/>
  <c r="S471" i="6"/>
  <c r="V471" i="6" s="1"/>
  <c r="S396" i="6"/>
  <c r="V396" i="6" s="1"/>
  <c r="S320" i="6"/>
  <c r="V320" i="6" s="1"/>
  <c r="V672" i="6"/>
  <c r="S533" i="6"/>
  <c r="V533" i="6" s="1"/>
  <c r="V669" i="6"/>
  <c r="S128" i="6"/>
  <c r="V128" i="6" s="1"/>
  <c r="S106" i="6"/>
  <c r="V106" i="6" s="1"/>
  <c r="S682" i="6"/>
  <c r="V682" i="6" s="1"/>
  <c r="S634" i="6"/>
  <c r="V634" i="6" s="1"/>
  <c r="S620" i="6"/>
  <c r="V620" i="6" s="1"/>
  <c r="S605" i="6"/>
  <c r="V605" i="6" s="1"/>
  <c r="S589" i="6"/>
  <c r="V589" i="6" s="1"/>
  <c r="S573" i="6"/>
  <c r="V573" i="6" s="1"/>
  <c r="S357" i="6"/>
  <c r="V357" i="6" s="1"/>
  <c r="S137" i="6"/>
  <c r="V137" i="6" s="1"/>
  <c r="S263" i="6"/>
  <c r="V263" i="6" s="1"/>
  <c r="S116" i="6"/>
  <c r="V116" i="6" s="1"/>
  <c r="S63" i="6"/>
  <c r="V63" i="6" s="1"/>
  <c r="S435" i="6"/>
  <c r="V435" i="6" s="1"/>
  <c r="S57" i="6"/>
  <c r="S661" i="6"/>
  <c r="V661" i="6" s="1"/>
  <c r="S590" i="6"/>
  <c r="V590" i="6" s="1"/>
  <c r="S500" i="6"/>
  <c r="V500" i="6" s="1"/>
  <c r="S382" i="6"/>
  <c r="V382" i="6" s="1"/>
  <c r="S652" i="6"/>
  <c r="V652" i="6" s="1"/>
  <c r="S543" i="6"/>
  <c r="V543" i="6" s="1"/>
  <c r="S497" i="6"/>
  <c r="V497" i="6" s="1"/>
  <c r="S445" i="6"/>
  <c r="V445" i="6" s="1"/>
  <c r="S501" i="6"/>
  <c r="V501" i="6" s="1"/>
  <c r="S448" i="6"/>
  <c r="V448" i="6" s="1"/>
  <c r="S380" i="6"/>
  <c r="V380" i="6" s="1"/>
  <c r="S215" i="6"/>
  <c r="V215" i="6" s="1"/>
  <c r="S113" i="6"/>
  <c r="V113" i="6" s="1"/>
  <c r="S38" i="6"/>
  <c r="S439" i="6"/>
  <c r="V439" i="6" s="1"/>
  <c r="S353" i="6"/>
  <c r="V353" i="6" s="1"/>
  <c r="S330" i="6"/>
  <c r="V330" i="6" s="1"/>
  <c r="S245" i="6"/>
  <c r="V245" i="6" s="1"/>
  <c r="S71" i="6"/>
  <c r="V71" i="6" s="1"/>
  <c r="S490" i="6"/>
  <c r="V490" i="6" s="1"/>
  <c r="S220" i="6"/>
  <c r="V220" i="6" s="1"/>
  <c r="S77" i="6"/>
  <c r="V77" i="6" s="1"/>
  <c r="S143" i="6"/>
  <c r="V143" i="6" s="1"/>
  <c r="S7" i="6"/>
  <c r="S529" i="6"/>
  <c r="V529" i="6" s="1"/>
  <c r="S395" i="6"/>
  <c r="V395" i="6" s="1"/>
  <c r="S358" i="6"/>
  <c r="V358" i="6" s="1"/>
  <c r="S186" i="6"/>
  <c r="V186" i="6" s="1"/>
  <c r="S46" i="6"/>
  <c r="V46" i="6" s="1"/>
  <c r="S300" i="6"/>
  <c r="V300" i="6" s="1"/>
  <c r="V629" i="6"/>
  <c r="S527" i="6"/>
  <c r="V527" i="6" s="1"/>
  <c r="S393" i="6"/>
  <c r="V393" i="6" s="1"/>
  <c r="S312" i="6"/>
  <c r="V312" i="6" s="1"/>
  <c r="S76" i="6"/>
  <c r="V76" i="6" s="1"/>
  <c r="S61" i="6"/>
  <c r="S384" i="6"/>
  <c r="V384" i="6" s="1"/>
  <c r="S189" i="6"/>
  <c r="V189" i="6" s="1"/>
  <c r="S93" i="6"/>
  <c r="V93" i="6" s="1"/>
  <c r="S130" i="6"/>
  <c r="V130" i="6" s="1"/>
  <c r="S237" i="6"/>
  <c r="V237" i="6" s="1"/>
  <c r="S647" i="6"/>
  <c r="V647" i="6" s="1"/>
  <c r="S482" i="6"/>
  <c r="V482" i="6" s="1"/>
  <c r="S450" i="6"/>
  <c r="V450" i="6" s="1"/>
  <c r="S367" i="6"/>
  <c r="V367" i="6" s="1"/>
  <c r="S285" i="6"/>
  <c r="V285" i="6" s="1"/>
  <c r="S226" i="6"/>
  <c r="V226" i="6" s="1"/>
  <c r="S176" i="6"/>
  <c r="V176" i="6" s="1"/>
  <c r="S147" i="6"/>
  <c r="V147" i="6" s="1"/>
  <c r="S576" i="6"/>
  <c r="V576" i="6" s="1"/>
  <c r="S552" i="6"/>
  <c r="V552" i="6" s="1"/>
  <c r="S596" i="6"/>
  <c r="V596" i="6" s="1"/>
  <c r="S520" i="6"/>
  <c r="V520" i="6" s="1"/>
  <c r="S229" i="6"/>
  <c r="V229" i="6" s="1"/>
  <c r="S28" i="6"/>
  <c r="V194" i="6"/>
  <c r="S447" i="6"/>
  <c r="V447" i="6" s="1"/>
  <c r="S266" i="6"/>
  <c r="V266" i="6" s="1"/>
  <c r="S206" i="6"/>
  <c r="V206" i="6" s="1"/>
  <c r="S105" i="6"/>
  <c r="V105" i="6" s="1"/>
  <c r="S639" i="6"/>
  <c r="V639" i="6" s="1"/>
  <c r="S99" i="6"/>
  <c r="V99" i="6" s="1"/>
  <c r="S531" i="6"/>
  <c r="V531" i="6" s="1"/>
  <c r="S476" i="6"/>
  <c r="V476" i="6" s="1"/>
  <c r="S351" i="6"/>
  <c r="V351" i="6" s="1"/>
  <c r="S264" i="6"/>
  <c r="V264" i="6" s="1"/>
  <c r="S119" i="6"/>
  <c r="V119" i="6" s="1"/>
  <c r="S141" i="6"/>
  <c r="V141" i="6" s="1"/>
  <c r="V671" i="6"/>
  <c r="S465" i="6"/>
  <c r="V465" i="6" s="1"/>
  <c r="S427" i="6"/>
  <c r="V427" i="6" s="1"/>
  <c r="S364" i="6"/>
  <c r="V364" i="6" s="1"/>
  <c r="S534" i="6"/>
  <c r="V534" i="6" s="1"/>
  <c r="V667" i="6"/>
  <c r="S125" i="6"/>
  <c r="V125" i="6" s="1"/>
  <c r="S624" i="6"/>
  <c r="V624" i="6" s="1"/>
  <c r="S611" i="6"/>
  <c r="V611" i="6" s="1"/>
  <c r="S603" i="6"/>
  <c r="V603" i="6" s="1"/>
  <c r="S587" i="6"/>
  <c r="V587" i="6" s="1"/>
  <c r="S571" i="6"/>
  <c r="V571" i="6" s="1"/>
  <c r="S477" i="6"/>
  <c r="V477" i="6" s="1"/>
  <c r="S203" i="6"/>
  <c r="V203" i="6" s="1"/>
  <c r="S133" i="6"/>
  <c r="V133" i="6" s="1"/>
  <c r="S182" i="6"/>
  <c r="V182" i="6" s="1"/>
  <c r="S96" i="6"/>
  <c r="V96" i="6" s="1"/>
  <c r="S59" i="6"/>
  <c r="S205" i="6"/>
  <c r="V205" i="6" s="1"/>
  <c r="S94" i="6"/>
  <c r="V94" i="6" s="1"/>
  <c r="S53" i="6"/>
  <c r="S110" i="6"/>
  <c r="V110" i="6" s="1"/>
  <c r="S18" i="6"/>
  <c r="S618" i="6"/>
  <c r="V618" i="6" s="1"/>
  <c r="S586" i="6"/>
  <c r="V586" i="6" s="1"/>
  <c r="S535" i="6"/>
  <c r="V535" i="6" s="1"/>
  <c r="S404" i="6"/>
  <c r="V404" i="6" s="1"/>
  <c r="S375" i="6"/>
  <c r="V375" i="6" s="1"/>
  <c r="S558" i="6"/>
  <c r="V558" i="6" s="1"/>
  <c r="S493" i="6"/>
  <c r="V493" i="6" s="1"/>
  <c r="S443" i="6"/>
  <c r="V443" i="6" s="1"/>
  <c r="S350" i="6"/>
  <c r="V350" i="6" s="1"/>
  <c r="S278" i="6"/>
  <c r="V278" i="6" s="1"/>
  <c r="S517" i="6"/>
  <c r="V517" i="6" s="1"/>
  <c r="S438" i="6"/>
  <c r="V438" i="6" s="1"/>
  <c r="S276" i="6"/>
  <c r="V276" i="6" s="1"/>
  <c r="S210" i="6"/>
  <c r="V210" i="6" s="1"/>
  <c r="S148" i="6"/>
  <c r="V148" i="6" s="1"/>
  <c r="S75" i="6"/>
  <c r="V75" i="6" s="1"/>
  <c r="S35" i="6"/>
  <c r="S511" i="6"/>
  <c r="V511" i="6" s="1"/>
  <c r="S433" i="6"/>
  <c r="V433" i="6" s="1"/>
  <c r="S348" i="6"/>
  <c r="V348" i="6" s="1"/>
  <c r="S325" i="6"/>
  <c r="V325" i="6" s="1"/>
  <c r="S287" i="6"/>
  <c r="V287" i="6" s="1"/>
  <c r="S164" i="6"/>
  <c r="V164" i="6" s="1"/>
  <c r="S60" i="6"/>
  <c r="S6" i="6"/>
  <c r="S536" i="6"/>
  <c r="V536" i="6" s="1"/>
  <c r="S290" i="6"/>
  <c r="V290" i="6" s="1"/>
  <c r="S187" i="6"/>
  <c r="V187" i="6" s="1"/>
  <c r="S62" i="6"/>
  <c r="S188" i="6"/>
  <c r="V188" i="6" s="1"/>
  <c r="S127" i="6"/>
  <c r="V127" i="6" s="1"/>
  <c r="S5" i="6"/>
  <c r="S434" i="6"/>
  <c r="V434" i="6" s="1"/>
  <c r="S659" i="6"/>
  <c r="V659" i="6" s="1"/>
  <c r="S513" i="6"/>
  <c r="V513" i="6" s="1"/>
  <c r="S449" i="6"/>
  <c r="V449" i="6" s="1"/>
  <c r="S388" i="6"/>
  <c r="V388" i="6" s="1"/>
  <c r="S371" i="6"/>
  <c r="V371" i="6" s="1"/>
  <c r="S286" i="6"/>
  <c r="V286" i="6" s="1"/>
  <c r="S209" i="6"/>
  <c r="V209" i="6" s="1"/>
  <c r="S178" i="6"/>
  <c r="V178" i="6" s="1"/>
  <c r="S121" i="6"/>
  <c r="V121" i="6" s="1"/>
  <c r="S12" i="6"/>
  <c r="S656" i="6"/>
  <c r="V656" i="6" s="1"/>
  <c r="S641" i="6"/>
  <c r="V641" i="6" s="1"/>
  <c r="S625" i="6"/>
  <c r="V625" i="6" s="1"/>
  <c r="S523" i="6"/>
  <c r="V523" i="6" s="1"/>
  <c r="S408" i="6"/>
  <c r="V408" i="6" s="1"/>
  <c r="S389" i="6"/>
  <c r="V389" i="6" s="1"/>
  <c r="S334" i="6"/>
  <c r="V334" i="6" s="1"/>
  <c r="S298" i="6"/>
  <c r="V298" i="6" s="1"/>
  <c r="S123" i="6"/>
  <c r="V123" i="6" s="1"/>
  <c r="S73" i="6"/>
  <c r="V73" i="6" s="1"/>
  <c r="S52" i="6"/>
  <c r="S9" i="6"/>
  <c r="S262" i="6"/>
  <c r="V262" i="6" s="1"/>
  <c r="S185" i="6"/>
  <c r="V185" i="6" s="1"/>
  <c r="S90" i="6"/>
  <c r="V90" i="6" s="1"/>
  <c r="S126" i="6"/>
  <c r="V126" i="6" s="1"/>
  <c r="S134" i="6"/>
  <c r="V134" i="6" s="1"/>
  <c r="S36" i="6"/>
  <c r="S651" i="6"/>
  <c r="V651" i="6" s="1"/>
  <c r="S498" i="6"/>
  <c r="V498" i="6" s="1"/>
  <c r="S467" i="6"/>
  <c r="V467" i="6" s="1"/>
  <c r="S446" i="6"/>
  <c r="V446" i="6" s="1"/>
  <c r="S418" i="6"/>
  <c r="V418" i="6" s="1"/>
  <c r="S390" i="6"/>
  <c r="V390" i="6" s="1"/>
  <c r="S335" i="6"/>
  <c r="V335" i="6" s="1"/>
  <c r="S295" i="6"/>
  <c r="V295" i="6" s="1"/>
  <c r="S284" i="6"/>
  <c r="V284" i="6" s="1"/>
  <c r="S270" i="6"/>
  <c r="V270" i="6" s="1"/>
  <c r="S218" i="6"/>
  <c r="V218" i="6" s="1"/>
  <c r="S196" i="6"/>
  <c r="V196" i="6" s="1"/>
  <c r="S165" i="6"/>
  <c r="V165" i="6" s="1"/>
  <c r="S142" i="6"/>
  <c r="V142" i="6" s="1"/>
  <c r="S58" i="6"/>
  <c r="S572" i="6"/>
  <c r="V572" i="6" s="1"/>
  <c r="S548" i="6"/>
  <c r="V548" i="6" s="1"/>
  <c r="S608" i="6"/>
  <c r="V608" i="6" s="1"/>
  <c r="S592" i="6"/>
  <c r="V592" i="6" s="1"/>
  <c r="S544" i="6"/>
  <c r="V544" i="6" s="1"/>
  <c r="S318" i="6"/>
  <c r="V318" i="6" s="1"/>
  <c r="S291" i="6"/>
  <c r="V291" i="6" s="1"/>
  <c r="S225" i="6"/>
  <c r="V225" i="6" s="1"/>
  <c r="S170" i="6"/>
  <c r="V170" i="6" s="1"/>
  <c r="S97" i="6"/>
  <c r="V97" i="6" s="1"/>
  <c r="S25" i="6"/>
  <c r="S362" i="6"/>
  <c r="V362" i="6" s="1"/>
  <c r="S662" i="6"/>
  <c r="V662" i="6" s="1"/>
  <c r="S460" i="6"/>
  <c r="V460" i="6" s="1"/>
  <c r="S363" i="6"/>
  <c r="V363" i="6" s="1"/>
  <c r="S342" i="6"/>
  <c r="V342" i="6" s="1"/>
  <c r="S244" i="6"/>
  <c r="V244" i="6" s="1"/>
  <c r="S227" i="6"/>
  <c r="V227" i="6" s="1"/>
  <c r="S202" i="6"/>
  <c r="V202" i="6" s="1"/>
  <c r="S45" i="6"/>
  <c r="V45" i="6" s="1"/>
  <c r="S56" i="6"/>
  <c r="S635" i="6"/>
  <c r="V635" i="6" s="1"/>
  <c r="S250" i="6"/>
  <c r="V250" i="6" s="1"/>
  <c r="S42" i="6"/>
  <c r="S50" i="6"/>
  <c r="S503" i="6"/>
  <c r="V503" i="6" s="1"/>
  <c r="S466" i="6"/>
  <c r="V466" i="6" s="1"/>
  <c r="S387" i="6"/>
  <c r="V387" i="6" s="1"/>
  <c r="S340" i="6"/>
  <c r="V340" i="6" s="1"/>
  <c r="S296" i="6"/>
  <c r="V296" i="6" s="1"/>
  <c r="S260" i="6"/>
  <c r="V260" i="6" s="1"/>
  <c r="S151" i="6"/>
  <c r="V151" i="6" s="1"/>
  <c r="S111" i="6"/>
  <c r="V111" i="6" s="1"/>
  <c r="S180" i="6"/>
  <c r="V180" i="6" s="1"/>
  <c r="S40" i="6"/>
  <c r="V668" i="6"/>
  <c r="S518" i="6"/>
  <c r="V518" i="6" s="1"/>
  <c r="S495" i="6"/>
  <c r="V495" i="6" s="1"/>
  <c r="S457" i="6"/>
  <c r="V457" i="6" s="1"/>
  <c r="S423" i="6"/>
  <c r="V423" i="6" s="1"/>
  <c r="S386" i="6"/>
  <c r="V386" i="6" s="1"/>
  <c r="S361" i="6"/>
  <c r="V361" i="6" s="1"/>
  <c r="S253" i="6"/>
  <c r="V253" i="6" s="1"/>
  <c r="S530" i="6"/>
  <c r="V530" i="6" s="1"/>
  <c r="V673" i="6"/>
  <c r="S679" i="6"/>
  <c r="V679" i="6" s="1"/>
  <c r="S136" i="6"/>
  <c r="V136" i="6" s="1"/>
  <c r="S122" i="6"/>
  <c r="V122" i="6" s="1"/>
  <c r="V674" i="6"/>
  <c r="S636" i="6"/>
  <c r="V636" i="6" s="1"/>
  <c r="S621" i="6"/>
  <c r="V621" i="6" s="1"/>
  <c r="S599" i="6"/>
  <c r="V599" i="6" s="1"/>
  <c r="S583" i="6"/>
  <c r="V583" i="6" s="1"/>
  <c r="S567" i="6"/>
  <c r="V567" i="6" s="1"/>
  <c r="S461" i="6"/>
  <c r="V461" i="6" s="1"/>
  <c r="S249" i="6"/>
  <c r="V249" i="6" s="1"/>
  <c r="S432" i="6"/>
  <c r="V432" i="6" s="1"/>
  <c r="S120" i="6"/>
  <c r="V120" i="6" s="1"/>
  <c r="S78" i="6"/>
  <c r="V78" i="6" s="1"/>
  <c r="S74" i="6"/>
  <c r="V74" i="6" s="1"/>
  <c r="S10" i="6"/>
  <c r="S610" i="6"/>
  <c r="V610" i="6" s="1"/>
  <c r="S578" i="6"/>
  <c r="V578" i="6" s="1"/>
  <c r="S550" i="6"/>
  <c r="V550" i="6" s="1"/>
  <c r="S410" i="6"/>
  <c r="V410" i="6" s="1"/>
  <c r="S365" i="6"/>
  <c r="V365" i="6" s="1"/>
  <c r="S553" i="6"/>
  <c r="V553" i="6" s="1"/>
  <c r="S538" i="6"/>
  <c r="V538" i="6" s="1"/>
  <c r="S508" i="6"/>
  <c r="V508" i="6" s="1"/>
  <c r="S463" i="6"/>
  <c r="V463" i="6" s="1"/>
  <c r="S372" i="6"/>
  <c r="V372" i="6" s="1"/>
  <c r="S301" i="6"/>
  <c r="V301" i="6" s="1"/>
  <c r="S557" i="6"/>
  <c r="V557" i="6" s="1"/>
  <c r="S452" i="6"/>
  <c r="V452" i="6" s="1"/>
  <c r="S305" i="6"/>
  <c r="V305" i="6" s="1"/>
  <c r="S160" i="6"/>
  <c r="V160" i="6" s="1"/>
  <c r="S135" i="6"/>
  <c r="V135" i="6" s="1"/>
  <c r="S44" i="6"/>
  <c r="V44" i="6" s="1"/>
  <c r="S526" i="6"/>
  <c r="V526" i="6" s="1"/>
  <c r="S473" i="6"/>
  <c r="V473" i="6" s="1"/>
  <c r="S406" i="6"/>
  <c r="V406" i="6" s="1"/>
  <c r="S339" i="6"/>
  <c r="V339" i="6" s="1"/>
  <c r="S252" i="6"/>
  <c r="V252" i="6" s="1"/>
  <c r="S181" i="6"/>
  <c r="V181" i="6" s="1"/>
  <c r="S23" i="6"/>
  <c r="S516" i="6"/>
  <c r="V516" i="6" s="1"/>
  <c r="S139" i="6"/>
  <c r="V139" i="6" s="1"/>
  <c r="S158" i="6"/>
  <c r="V158" i="6" s="1"/>
  <c r="S612" i="6"/>
  <c r="V612" i="6" s="1"/>
  <c r="S436" i="6"/>
  <c r="V436" i="6" s="1"/>
  <c r="S366" i="6"/>
  <c r="V366" i="6" s="1"/>
  <c r="S246" i="6"/>
  <c r="V246" i="6" s="1"/>
  <c r="S154" i="6"/>
  <c r="V154" i="6" s="1"/>
  <c r="S486" i="6"/>
  <c r="V486" i="6" s="1"/>
  <c r="S545" i="6"/>
  <c r="V545" i="6" s="1"/>
  <c r="S397" i="6"/>
  <c r="V397" i="6" s="1"/>
  <c r="S248" i="6"/>
  <c r="V248" i="6" s="1"/>
  <c r="S65" i="6"/>
  <c r="V65" i="6" s="1"/>
  <c r="S2" i="6"/>
  <c r="S646" i="6"/>
  <c r="V646" i="6" s="1"/>
  <c r="S166" i="6"/>
  <c r="V166" i="6" s="1"/>
  <c r="S485" i="6"/>
  <c r="V485" i="6" s="1"/>
  <c r="S425" i="6"/>
  <c r="V425" i="6" s="1"/>
  <c r="S374" i="6"/>
  <c r="V374" i="6" s="1"/>
  <c r="S288" i="6"/>
  <c r="V288" i="6" s="1"/>
  <c r="S258" i="6"/>
  <c r="V258" i="6" s="1"/>
  <c r="S179" i="6"/>
  <c r="V179" i="6" s="1"/>
  <c r="S27" i="6"/>
  <c r="V600" i="6"/>
  <c r="S584" i="6"/>
  <c r="V584" i="6" s="1"/>
  <c r="S307" i="6"/>
  <c r="V307" i="6" s="1"/>
  <c r="S212" i="6"/>
  <c r="V212" i="6" s="1"/>
  <c r="S39" i="6"/>
  <c r="S228" i="6"/>
  <c r="V228" i="6" s="1"/>
  <c r="S474" i="6"/>
  <c r="V474" i="6" s="1"/>
  <c r="S356" i="6"/>
  <c r="V356" i="6" s="1"/>
  <c r="S234" i="6"/>
  <c r="V234" i="6" s="1"/>
  <c r="S109" i="6"/>
  <c r="V109" i="6" s="1"/>
  <c r="S643" i="6"/>
  <c r="V643" i="6" s="1"/>
  <c r="S216" i="6"/>
  <c r="V216" i="6" s="1"/>
  <c r="S480" i="6"/>
  <c r="V480" i="6" s="1"/>
  <c r="S354" i="6"/>
  <c r="V354" i="6" s="1"/>
  <c r="S289" i="6"/>
  <c r="V289" i="6" s="1"/>
  <c r="S140" i="6"/>
  <c r="V140" i="6" s="1"/>
  <c r="S155" i="6"/>
  <c r="V155" i="6" s="1"/>
  <c r="V666" i="6"/>
  <c r="S510" i="6"/>
  <c r="V510" i="6" s="1"/>
  <c r="S431" i="6"/>
  <c r="V431" i="6" s="1"/>
  <c r="S368" i="6"/>
  <c r="V368" i="6" s="1"/>
  <c r="S663" i="6"/>
  <c r="V663" i="6" s="1"/>
  <c r="S642" i="6"/>
  <c r="V642" i="6" s="1"/>
  <c r="V626" i="6"/>
  <c r="S613" i="6"/>
  <c r="V613" i="6" s="1"/>
  <c r="S597" i="6"/>
  <c r="V597" i="6" s="1"/>
  <c r="S581" i="6"/>
  <c r="V581" i="6" s="1"/>
  <c r="S565" i="6"/>
  <c r="V565" i="6" s="1"/>
  <c r="S441" i="6"/>
  <c r="V441" i="6" s="1"/>
  <c r="S331" i="6"/>
  <c r="V331" i="6" s="1"/>
  <c r="S241" i="6"/>
  <c r="V241" i="6" s="1"/>
  <c r="S424" i="6"/>
  <c r="V424" i="6" s="1"/>
  <c r="S190" i="6"/>
  <c r="V190" i="6" s="1"/>
  <c r="S100" i="6"/>
  <c r="V100" i="6" s="1"/>
  <c r="S47" i="6"/>
  <c r="V47" i="6" s="1"/>
  <c r="S114" i="6"/>
  <c r="V114" i="6" s="1"/>
  <c r="S175" i="6"/>
  <c r="V175" i="6" s="1"/>
  <c r="S22" i="6"/>
  <c r="S645" i="6"/>
  <c r="V645" i="6" s="1"/>
  <c r="S606" i="6"/>
  <c r="V606" i="6" s="1"/>
  <c r="S574" i="6"/>
  <c r="V574" i="6" s="1"/>
  <c r="S546" i="6"/>
  <c r="V546" i="6" s="1"/>
  <c r="S409" i="6"/>
  <c r="V409" i="6" s="1"/>
  <c r="S347" i="6"/>
  <c r="V347" i="6" s="1"/>
  <c r="S519" i="6"/>
  <c r="V519" i="6" s="1"/>
  <c r="S484" i="6"/>
  <c r="V484" i="6" s="1"/>
  <c r="S413" i="6"/>
  <c r="V413" i="6" s="1"/>
  <c r="S355" i="6"/>
  <c r="V355" i="6" s="1"/>
  <c r="S328" i="6"/>
  <c r="V328" i="6" s="1"/>
  <c r="S268" i="6"/>
  <c r="V268" i="6" s="1"/>
  <c r="S521" i="6"/>
  <c r="V521" i="6" s="1"/>
  <c r="S279" i="6"/>
  <c r="V279" i="6" s="1"/>
  <c r="S152" i="6"/>
  <c r="V152" i="6" s="1"/>
  <c r="S79" i="6"/>
  <c r="V79" i="6" s="1"/>
  <c r="S522" i="6"/>
  <c r="V522" i="6" s="1"/>
  <c r="S177" i="6"/>
  <c r="V177" i="6" s="1"/>
  <c r="S16" i="6"/>
  <c r="S547" i="6"/>
  <c r="V547" i="6" s="1"/>
  <c r="S115" i="6"/>
  <c r="V115" i="6" s="1"/>
  <c r="S207" i="6"/>
  <c r="V207" i="6" s="1"/>
  <c r="S470" i="6"/>
  <c r="V470" i="6" s="1"/>
  <c r="S453" i="6"/>
  <c r="V453" i="6" s="1"/>
  <c r="S379" i="6"/>
  <c r="V379" i="6" s="1"/>
  <c r="S297" i="6"/>
  <c r="V297" i="6" s="1"/>
  <c r="S224" i="6"/>
  <c r="V224" i="6" s="1"/>
  <c r="S131" i="6"/>
  <c r="V131" i="6" s="1"/>
  <c r="S658" i="6"/>
  <c r="V658" i="6" s="1"/>
  <c r="V412" i="6"/>
  <c r="S345" i="6"/>
  <c r="V345" i="6" s="1"/>
  <c r="S222" i="6"/>
  <c r="V222" i="6" s="1"/>
  <c r="S13" i="6"/>
  <c r="S468" i="6"/>
  <c r="V468" i="6" s="1"/>
  <c r="S421" i="6"/>
  <c r="V421" i="6" s="1"/>
  <c r="S399" i="6"/>
  <c r="V399" i="6" s="1"/>
  <c r="S299" i="6"/>
  <c r="V299" i="6" s="1"/>
  <c r="S271" i="6"/>
  <c r="V271" i="6" s="1"/>
  <c r="S200" i="6"/>
  <c r="V200" i="6" s="1"/>
  <c r="S66" i="6"/>
  <c r="V66" i="6" s="1"/>
  <c r="S644" i="6"/>
  <c r="V644" i="6" s="1"/>
  <c r="S580" i="6"/>
  <c r="V580" i="6" s="1"/>
  <c r="S294" i="6"/>
  <c r="V294" i="6" s="1"/>
  <c r="S192" i="6"/>
  <c r="V192" i="6" s="1"/>
  <c r="S146" i="6"/>
  <c r="V146" i="6" s="1"/>
  <c r="S462" i="6"/>
  <c r="V462" i="6" s="1"/>
  <c r="S464" i="6"/>
  <c r="V464" i="6" s="1"/>
  <c r="S349" i="6"/>
  <c r="V349" i="6" s="1"/>
  <c r="S231" i="6"/>
  <c r="V231" i="6" s="1"/>
  <c r="S64" i="6"/>
  <c r="V64" i="6" s="1"/>
  <c r="S623" i="6"/>
  <c r="V623" i="6" s="1"/>
  <c r="S153" i="6"/>
  <c r="V153" i="6" s="1"/>
  <c r="S407" i="6"/>
  <c r="V407" i="6" s="1"/>
  <c r="S309" i="6"/>
  <c r="V309" i="6" s="1"/>
  <c r="S168" i="6"/>
  <c r="V168" i="6" s="1"/>
  <c r="S183" i="6"/>
  <c r="V183" i="6" s="1"/>
  <c r="S664" i="6"/>
  <c r="V664" i="6" s="1"/>
  <c r="S506" i="6"/>
  <c r="V506" i="6" s="1"/>
  <c r="S392" i="6"/>
  <c r="V392" i="6" s="1"/>
  <c r="S256" i="6"/>
  <c r="V256" i="6" s="1"/>
  <c r="S677" i="6"/>
  <c r="V677" i="6" s="1"/>
  <c r="S680" i="6"/>
  <c r="V680" i="6" s="1"/>
  <c r="S681" i="6"/>
  <c r="V681" i="6" s="1"/>
  <c r="V632" i="6"/>
  <c r="S619" i="6"/>
  <c r="V619" i="6" s="1"/>
  <c r="S595" i="6"/>
  <c r="V595" i="6" s="1"/>
  <c r="S579" i="6"/>
  <c r="V579" i="6" s="1"/>
  <c r="S563" i="6"/>
  <c r="V563" i="6" s="1"/>
  <c r="S430" i="6"/>
  <c r="V430" i="6" s="1"/>
  <c r="S310" i="6"/>
  <c r="V310" i="6" s="1"/>
  <c r="S327" i="6"/>
  <c r="V327" i="6" s="1"/>
  <c r="S247" i="6"/>
  <c r="V247" i="6" s="1"/>
  <c r="S112" i="6"/>
  <c r="V112" i="6" s="1"/>
  <c r="S43" i="6"/>
  <c r="S540" i="6"/>
  <c r="V540" i="6" s="1"/>
  <c r="S41" i="6"/>
  <c r="S649" i="6"/>
  <c r="V649" i="6" s="1"/>
  <c r="S602" i="6"/>
  <c r="V602" i="6" s="1"/>
  <c r="S570" i="6"/>
  <c r="V570" i="6" s="1"/>
  <c r="S499" i="6"/>
  <c r="V499" i="6" s="1"/>
  <c r="S343" i="6"/>
  <c r="V343" i="6" s="1"/>
  <c r="S512" i="6"/>
  <c r="V512" i="6" s="1"/>
  <c r="S483" i="6"/>
  <c r="V483" i="6" s="1"/>
  <c r="S402" i="6"/>
  <c r="V402" i="6" s="1"/>
  <c r="S317" i="6"/>
  <c r="V317" i="6" s="1"/>
  <c r="S255" i="6"/>
  <c r="V255" i="6" s="1"/>
  <c r="S491" i="6"/>
  <c r="V491" i="6" s="1"/>
  <c r="S321" i="6"/>
  <c r="V321" i="6" s="1"/>
  <c r="S88" i="6"/>
  <c r="V88" i="6" s="1"/>
  <c r="S638" i="6"/>
  <c r="V638" i="6" s="1"/>
  <c r="V630" i="6"/>
  <c r="S622" i="6"/>
  <c r="V622" i="6" s="1"/>
  <c r="S617" i="6"/>
  <c r="V617" i="6" s="1"/>
  <c r="S609" i="6"/>
  <c r="V609" i="6" s="1"/>
  <c r="S601" i="6"/>
  <c r="V601" i="6" s="1"/>
  <c r="S593" i="6"/>
  <c r="V593" i="6" s="1"/>
  <c r="S585" i="6"/>
  <c r="V585" i="6" s="1"/>
  <c r="S577" i="6"/>
  <c r="V577" i="6" s="1"/>
  <c r="S569" i="6"/>
  <c r="V569" i="6" s="1"/>
  <c r="S515" i="6"/>
  <c r="V515" i="6" s="1"/>
  <c r="S469" i="6"/>
  <c r="V469" i="6" s="1"/>
  <c r="S422" i="6"/>
  <c r="V422" i="6" s="1"/>
  <c r="S265" i="6"/>
  <c r="V265" i="6" s="1"/>
  <c r="S195" i="6"/>
  <c r="V195" i="6" s="1"/>
  <c r="S129" i="6"/>
  <c r="V129" i="6" s="1"/>
  <c r="S323" i="6"/>
  <c r="V323" i="6" s="1"/>
  <c r="S201" i="6"/>
  <c r="V201" i="6" s="1"/>
  <c r="S167" i="6"/>
  <c r="V167" i="6" s="1"/>
  <c r="S108" i="6"/>
  <c r="V108" i="6" s="1"/>
  <c r="S92" i="6"/>
  <c r="V92" i="6" s="1"/>
  <c r="S55" i="6"/>
  <c r="S197" i="6"/>
  <c r="V197" i="6" s="1"/>
  <c r="S37" i="6"/>
  <c r="S502" i="6"/>
  <c r="V502" i="6" s="1"/>
  <c r="S98" i="6"/>
  <c r="V98" i="6" s="1"/>
  <c r="S14" i="6"/>
  <c r="S653" i="6"/>
  <c r="V653" i="6" s="1"/>
  <c r="S614" i="6"/>
  <c r="V614" i="6" s="1"/>
  <c r="S582" i="6"/>
  <c r="V582" i="6" s="1"/>
  <c r="S566" i="6"/>
  <c r="V566" i="6" s="1"/>
  <c r="S525" i="6"/>
  <c r="V525" i="6" s="1"/>
  <c r="S451" i="6"/>
  <c r="V451" i="6" s="1"/>
  <c r="S394" i="6"/>
  <c r="V394" i="6" s="1"/>
  <c r="S369" i="6"/>
  <c r="V369" i="6" s="1"/>
  <c r="S324" i="6"/>
  <c r="V324" i="6" s="1"/>
  <c r="S554" i="6"/>
  <c r="V554" i="6" s="1"/>
  <c r="S539" i="6"/>
  <c r="V539" i="6" s="1"/>
  <c r="S509" i="6"/>
  <c r="V509" i="6" s="1"/>
  <c r="S488" i="6"/>
  <c r="V488" i="6" s="1"/>
  <c r="S475" i="6"/>
  <c r="V475" i="6" s="1"/>
  <c r="S428" i="6"/>
  <c r="V428" i="6" s="1"/>
  <c r="S398" i="6"/>
  <c r="V398" i="6" s="1"/>
  <c r="S341" i="6"/>
  <c r="V341" i="6" s="1"/>
  <c r="S302" i="6"/>
  <c r="V302" i="6" s="1"/>
  <c r="S272" i="6"/>
  <c r="V272" i="6" s="1"/>
  <c r="S254" i="6"/>
  <c r="V254" i="6" s="1"/>
  <c r="S505" i="6"/>
  <c r="V505" i="6" s="1"/>
  <c r="S472" i="6"/>
  <c r="V472" i="6" s="1"/>
  <c r="S426" i="6"/>
  <c r="V426" i="6" s="1"/>
  <c r="S314" i="6"/>
  <c r="V314" i="6" s="1"/>
  <c r="S243" i="6"/>
  <c r="V243" i="6" s="1"/>
  <c r="S173" i="6"/>
  <c r="V173" i="6" s="1"/>
  <c r="S145" i="6"/>
  <c r="V145" i="6" s="1"/>
  <c r="S85" i="6"/>
  <c r="V85" i="6" s="1"/>
  <c r="S49" i="6"/>
  <c r="S20" i="6"/>
  <c r="S507" i="6"/>
  <c r="V507" i="6" s="1"/>
  <c r="S416" i="6"/>
  <c r="V416" i="6" s="1"/>
  <c r="S344" i="6"/>
  <c r="V344" i="6" s="1"/>
  <c r="S280" i="6"/>
  <c r="V280" i="6" s="1"/>
  <c r="S230" i="6"/>
  <c r="V230" i="6" s="1"/>
  <c r="S138" i="6"/>
  <c r="V138" i="6" s="1"/>
  <c r="S31" i="6"/>
  <c r="S556" i="6"/>
  <c r="V556" i="6" s="1"/>
  <c r="S532" i="6"/>
  <c r="V532" i="6" s="1"/>
  <c r="S275" i="6"/>
  <c r="V275" i="6" s="1"/>
  <c r="S169" i="6"/>
  <c r="V169" i="6" s="1"/>
  <c r="S29" i="6"/>
  <c r="S236" i="6"/>
  <c r="V236" i="6" s="1"/>
  <c r="S171" i="6"/>
  <c r="V171" i="6" s="1"/>
  <c r="S95" i="6"/>
  <c r="V95" i="6" s="1"/>
  <c r="S4" i="6"/>
  <c r="S214" i="6"/>
  <c r="V214" i="6" s="1"/>
  <c r="S616" i="6"/>
  <c r="V616" i="6" s="1"/>
  <c r="S478" i="6"/>
  <c r="V478" i="6" s="1"/>
  <c r="S385" i="6"/>
  <c r="V385" i="6" s="1"/>
  <c r="S370" i="6"/>
  <c r="V370" i="6" s="1"/>
  <c r="S311" i="6"/>
  <c r="V311" i="6" s="1"/>
  <c r="S251" i="6"/>
  <c r="V251" i="6" s="1"/>
  <c r="S208" i="6"/>
  <c r="V208" i="6" s="1"/>
  <c r="S163" i="6"/>
  <c r="V163" i="6" s="1"/>
  <c r="S87" i="6"/>
  <c r="V87" i="6" s="1"/>
  <c r="S8" i="6"/>
  <c r="S660" i="6"/>
  <c r="V660" i="6" s="1"/>
  <c r="S637" i="6"/>
  <c r="V637" i="6" s="1"/>
  <c r="S549" i="6"/>
  <c r="V549" i="6" s="1"/>
  <c r="S494" i="6"/>
  <c r="V494" i="6" s="1"/>
  <c r="S401" i="6"/>
  <c r="V401" i="6" s="1"/>
  <c r="S377" i="6"/>
  <c r="V377" i="6" s="1"/>
  <c r="S332" i="6"/>
  <c r="V332" i="6" s="1"/>
  <c r="S277" i="6"/>
  <c r="V277" i="6" s="1"/>
  <c r="S83" i="6"/>
  <c r="V83" i="6" s="1"/>
  <c r="S72" i="6"/>
  <c r="V72" i="6" s="1"/>
  <c r="S48" i="6"/>
  <c r="S3" i="6"/>
  <c r="S419" i="6"/>
  <c r="V419" i="6" s="1"/>
  <c r="S149" i="6"/>
  <c r="V149" i="6" s="1"/>
  <c r="S70" i="6"/>
  <c r="V70" i="6" s="1"/>
  <c r="S19" i="6"/>
  <c r="S11" i="6"/>
  <c r="S655" i="6"/>
  <c r="V655" i="6" s="1"/>
  <c r="S489" i="6"/>
  <c r="V489" i="6" s="1"/>
  <c r="S459" i="6"/>
  <c r="V459" i="6" s="1"/>
  <c r="S444" i="6"/>
  <c r="V444" i="6" s="1"/>
  <c r="S405" i="6"/>
  <c r="V405" i="6" s="1"/>
  <c r="S378" i="6"/>
  <c r="V378" i="6" s="1"/>
  <c r="S329" i="6"/>
  <c r="V329" i="6" s="1"/>
  <c r="S292" i="6"/>
  <c r="V292" i="6" s="1"/>
  <c r="S281" i="6"/>
  <c r="V281" i="6" s="1"/>
  <c r="S267" i="6"/>
  <c r="V267" i="6" s="1"/>
  <c r="S213" i="6"/>
  <c r="V213" i="6" s="1"/>
  <c r="S191" i="6"/>
  <c r="V191" i="6" s="1"/>
  <c r="S161" i="6"/>
  <c r="V161" i="6" s="1"/>
  <c r="S117" i="6"/>
  <c r="V117" i="6" s="1"/>
  <c r="S54" i="6"/>
  <c r="S568" i="6"/>
  <c r="V568" i="6" s="1"/>
  <c r="S496" i="6"/>
  <c r="V496" i="6" s="1"/>
  <c r="S604" i="6"/>
  <c r="V604" i="6" s="1"/>
  <c r="S588" i="6"/>
  <c r="V588" i="6" s="1"/>
  <c r="S528" i="6"/>
  <c r="V528" i="6" s="1"/>
  <c r="S315" i="6"/>
  <c r="V315" i="6" s="1"/>
  <c r="S261" i="6"/>
  <c r="V261" i="6" s="1"/>
  <c r="S217" i="6"/>
  <c r="V217" i="6" s="1"/>
  <c r="S156" i="6"/>
  <c r="V156" i="6" s="1"/>
  <c r="S86" i="6"/>
  <c r="V86" i="6" s="1"/>
  <c r="S232" i="6"/>
  <c r="V232" i="6" s="1"/>
  <c r="S561" i="6"/>
  <c r="V561" i="6" s="1"/>
  <c r="S456" i="6"/>
  <c r="V456" i="6" s="1"/>
  <c r="S360" i="6"/>
  <c r="V360" i="6" s="1"/>
  <c r="S326" i="6"/>
  <c r="V326" i="6" s="1"/>
  <c r="S240" i="6"/>
  <c r="V240" i="6" s="1"/>
  <c r="S223" i="6"/>
  <c r="V223" i="6" s="1"/>
  <c r="S198" i="6"/>
  <c r="V198" i="6" s="1"/>
  <c r="S429" i="6"/>
  <c r="V429" i="6" s="1"/>
  <c r="S21" i="6"/>
  <c r="V631" i="6"/>
  <c r="S242" i="6"/>
  <c r="V242" i="6" s="1"/>
  <c r="S316" i="6"/>
  <c r="V316" i="6" s="1"/>
  <c r="S492" i="6"/>
  <c r="V492" i="6" s="1"/>
  <c r="S415" i="6"/>
  <c r="V415" i="6" s="1"/>
  <c r="S373" i="6"/>
  <c r="V373" i="6" s="1"/>
  <c r="S337" i="6"/>
  <c r="V337" i="6" s="1"/>
  <c r="S257" i="6"/>
  <c r="V257" i="6" s="1"/>
  <c r="S144" i="6"/>
  <c r="V144" i="6" s="1"/>
  <c r="S107" i="6"/>
  <c r="V107" i="6" s="1"/>
  <c r="S159" i="6"/>
  <c r="V159" i="6" s="1"/>
  <c r="S32" i="6"/>
  <c r="S174" i="6"/>
  <c r="V174" i="6" s="1"/>
  <c r="S514" i="6"/>
  <c r="V514" i="6" s="1"/>
  <c r="S479" i="6"/>
  <c r="V479" i="6" s="1"/>
  <c r="S437" i="6"/>
  <c r="V437" i="6" s="1"/>
  <c r="S400" i="6"/>
  <c r="V400" i="6" s="1"/>
  <c r="S376" i="6"/>
  <c r="V376" i="6" s="1"/>
  <c r="S346" i="6"/>
  <c r="V346" i="6" s="1"/>
  <c r="S676" i="6"/>
  <c r="V676" i="6" s="1"/>
  <c r="S678" i="6"/>
  <c r="V678" i="6" s="1"/>
  <c r="S665" i="6"/>
  <c r="V665" i="6" s="1"/>
  <c r="S537" i="6"/>
  <c r="V537" i="6" s="1"/>
  <c r="S132" i="6"/>
  <c r="V132" i="6" s="1"/>
  <c r="S118" i="6"/>
  <c r="V118" i="6" s="1"/>
  <c r="V670" i="6"/>
  <c r="O562" i="6"/>
  <c r="S562" i="6" s="1"/>
  <c r="V562" i="6" s="1"/>
  <c r="V43" i="6" l="1"/>
  <c r="V48" i="6"/>
  <c r="V52" i="6"/>
  <c r="V55" i="6"/>
  <c r="V56" i="6"/>
  <c r="V62" i="6"/>
  <c r="V61" i="6"/>
  <c r="V60" i="6"/>
  <c r="V53" i="6"/>
  <c r="V50" i="6"/>
  <c r="V57" i="6"/>
  <c r="V58" i="6"/>
  <c r="V54" i="6"/>
  <c r="V49" i="6"/>
  <c r="V59" i="6"/>
  <c r="V51" i="6"/>
  <c r="V14" i="6"/>
  <c r="V41" i="6"/>
  <c r="V22" i="6"/>
  <c r="V23" i="6"/>
  <c r="V36" i="6"/>
  <c r="V6" i="6"/>
  <c r="V7" i="6"/>
  <c r="V24" i="6"/>
  <c r="V29" i="6"/>
  <c r="V27" i="6"/>
  <c r="V42" i="6"/>
  <c r="V5" i="6"/>
  <c r="V18" i="6"/>
  <c r="V28" i="6"/>
  <c r="V17" i="6"/>
  <c r="V15" i="6"/>
  <c r="V26" i="6"/>
  <c r="V16" i="6"/>
  <c r="V39" i="6"/>
  <c r="V10" i="6"/>
  <c r="V35" i="6"/>
  <c r="V33" i="6"/>
  <c r="V11" i="6"/>
  <c r="V4" i="6"/>
  <c r="V20" i="6"/>
  <c r="V32" i="6"/>
  <c r="V21" i="6"/>
  <c r="V19" i="6"/>
  <c r="V3" i="6"/>
  <c r="V8" i="6"/>
  <c r="V31" i="6"/>
  <c r="V37" i="6"/>
  <c r="V13" i="6"/>
  <c r="V2" i="6"/>
  <c r="V40" i="6"/>
  <c r="V25" i="6"/>
  <c r="V9" i="6"/>
  <c r="V12" i="6"/>
  <c r="V38" i="6"/>
  <c r="V34" i="6"/>
  <c r="S886" i="6"/>
  <c r="V886" i="6" s="1"/>
  <c r="S885" i="6"/>
  <c r="V885" i="6" s="1"/>
</calcChain>
</file>

<file path=xl/sharedStrings.xml><?xml version="1.0" encoding="utf-8"?>
<sst xmlns="http://schemas.openxmlformats.org/spreadsheetml/2006/main" count="9609" uniqueCount="1472">
  <si>
    <t>Invoice Date</t>
  </si>
  <si>
    <t>Invoice No</t>
  </si>
  <si>
    <t>Party Name</t>
  </si>
  <si>
    <t>Party GST No.</t>
  </si>
  <si>
    <t>Site Location</t>
  </si>
  <si>
    <t>Service</t>
  </si>
  <si>
    <t>HSN</t>
  </si>
  <si>
    <t xml:space="preserve">GST 18% </t>
  </si>
  <si>
    <t>Taxable Amount</t>
  </si>
  <si>
    <t>SGST</t>
  </si>
  <si>
    <t>CGST</t>
  </si>
  <si>
    <t>IGST</t>
  </si>
  <si>
    <t>Invoice Amount</t>
  </si>
  <si>
    <t>TDS</t>
  </si>
  <si>
    <t>RTN</t>
  </si>
  <si>
    <t>RECIVED AMOUNT</t>
  </si>
  <si>
    <t>DATE</t>
  </si>
  <si>
    <t>GST FILED</t>
  </si>
  <si>
    <t>BALANCE</t>
  </si>
  <si>
    <t>RECIVED AMOUNT2</t>
  </si>
  <si>
    <t>DATE2</t>
  </si>
  <si>
    <t>BALANCE2</t>
  </si>
  <si>
    <t>SPM/01/22-23</t>
  </si>
  <si>
    <t>RSP UNITED INFRASTRUCTURE PVT. LTD</t>
  </si>
  <si>
    <t>27AAFCR2625G1ZH</t>
  </si>
  <si>
    <t>KANDIVALI</t>
  </si>
  <si>
    <t>PC</t>
  </si>
  <si>
    <t>16.09.2022</t>
  </si>
  <si>
    <t>DEC--22</t>
  </si>
  <si>
    <t>SPM/02/PC/22-23</t>
  </si>
  <si>
    <t>SMILE SHELTER</t>
  </si>
  <si>
    <t>27ACIFS4489F1ZN</t>
  </si>
  <si>
    <t>CR8 (31-3-24)</t>
  </si>
  <si>
    <t>SPM/01ATT/2022</t>
  </si>
  <si>
    <t>P R LANDMARK LLP</t>
  </si>
  <si>
    <t>27AASFP716G12U</t>
  </si>
  <si>
    <t>SANTACRUZ</t>
  </si>
  <si>
    <t>ATT</t>
  </si>
  <si>
    <t>06.10.2022</t>
  </si>
  <si>
    <t>SPM/01/PC/22-23</t>
  </si>
  <si>
    <t>18.10.2022</t>
  </si>
  <si>
    <t>SSC-RA-01-22/23</t>
  </si>
  <si>
    <t>AHLUWALIA CONTRACTS INDIA LTD</t>
  </si>
  <si>
    <t>27AABCA304K1ZX</t>
  </si>
  <si>
    <t>VASAI</t>
  </si>
  <si>
    <t xml:space="preserve"> PC</t>
  </si>
  <si>
    <t>SPM/0/PC/2022</t>
  </si>
  <si>
    <t>WHEEL BUILDWELL</t>
  </si>
  <si>
    <t>27AABFW0936E1ZC</t>
  </si>
  <si>
    <t>CR5 (30-6-23)</t>
  </si>
  <si>
    <t>SPM/ /PC/22</t>
  </si>
  <si>
    <t>03.02.2023</t>
  </si>
  <si>
    <t>SSC-RA-02-22/23</t>
  </si>
  <si>
    <t>SPM/PC/2022</t>
  </si>
  <si>
    <t>GST REFUND</t>
  </si>
  <si>
    <t>CR6 (30-6-23)</t>
  </si>
  <si>
    <t>SPM/RA01/2022</t>
  </si>
  <si>
    <t>CR4 (30-6-23)</t>
  </si>
  <si>
    <t>SPM/RA-1/2022</t>
  </si>
  <si>
    <t>ANDHERI</t>
  </si>
  <si>
    <t>SPM/RA-1/ATT/22</t>
  </si>
  <si>
    <t>27AAKFS7230G1Z2</t>
  </si>
  <si>
    <t>BORIVALI</t>
  </si>
  <si>
    <t>17.01.2023</t>
  </si>
  <si>
    <t>SPM/RA-01/ATT/22</t>
  </si>
  <si>
    <t>ROYAL CONSTRUCTION</t>
  </si>
  <si>
    <t>27AKGPK1004N1Z9</t>
  </si>
  <si>
    <t>THANE</t>
  </si>
  <si>
    <t>SSC-RA-03-22/23</t>
  </si>
  <si>
    <t>MAR--23</t>
  </si>
  <si>
    <t>SPM/06/2023</t>
  </si>
  <si>
    <t>SPM/RA-2/2023</t>
  </si>
  <si>
    <t>04.02.2023</t>
  </si>
  <si>
    <t>SPM/RA01/22-23</t>
  </si>
  <si>
    <t>SSC-RA-04-22/23</t>
  </si>
  <si>
    <t>SPM/12/ATT/23</t>
  </si>
  <si>
    <t>VAIBHAV PROPERTIES</t>
  </si>
  <si>
    <t>27AACV2772K1Z1</t>
  </si>
  <si>
    <t>CHEMBUR</t>
  </si>
  <si>
    <t>07.02.2023</t>
  </si>
  <si>
    <t>SPM/07/PC/23</t>
  </si>
  <si>
    <t>27AACCG3337R1Z5</t>
  </si>
  <si>
    <t>SPM/11/ATT/2023</t>
  </si>
  <si>
    <t>VARAD VINAYAK</t>
  </si>
  <si>
    <t>27AACCV5848E1Z5</t>
  </si>
  <si>
    <t>GOREGAON</t>
  </si>
  <si>
    <t>SPM/13/ATT/23</t>
  </si>
  <si>
    <t>PUSPA REALTY &amp; SUPPLIERS LLP</t>
  </si>
  <si>
    <t>27AAIFJ8322J1Z3</t>
  </si>
  <si>
    <t>JOGESHWARI</t>
  </si>
  <si>
    <t>SPM/09/PC/23</t>
  </si>
  <si>
    <t>ROOFSOL ENERGY</t>
  </si>
  <si>
    <t>27AABCE8539Q1ZW</t>
  </si>
  <si>
    <t>SSC-RA-05-22/23</t>
  </si>
  <si>
    <t>SPM/12/PC/23</t>
  </si>
  <si>
    <t>SPM/11/PC/23</t>
  </si>
  <si>
    <t>AISHWARYA AVANT BUILDERS PVT LTD</t>
  </si>
  <si>
    <t>27AAWCA2611A1ZZ</t>
  </si>
  <si>
    <t>SPM/12/PC/2023</t>
  </si>
  <si>
    <t>CR7 (30-6-23)</t>
  </si>
  <si>
    <t>SPM/14/PC/23</t>
  </si>
  <si>
    <t>CST</t>
  </si>
  <si>
    <t>SPM/13/PC/23</t>
  </si>
  <si>
    <t>INDIAN SCHOOL</t>
  </si>
  <si>
    <t>27AAACC6586G1ZH</t>
  </si>
  <si>
    <t>SPM/RA-01/2023</t>
  </si>
  <si>
    <t>P D ASSOCIATE</t>
  </si>
  <si>
    <t>27AAOFP5380L1ZJ</t>
  </si>
  <si>
    <t>18.04.2023</t>
  </si>
  <si>
    <t>SPM/16/PC/23</t>
  </si>
  <si>
    <t xml:space="preserve"> 27AAFCR2625G1ZH</t>
  </si>
  <si>
    <t>08.05.2023</t>
  </si>
  <si>
    <t>SSC-RA-06-22/23</t>
  </si>
  <si>
    <t>SPM/16/RA6/ATT/23</t>
  </si>
  <si>
    <t>CR1 (1-4-24)</t>
  </si>
  <si>
    <t>SPM/18/PC/23</t>
  </si>
  <si>
    <t>DRN INFRA PROJECT PVT. LTD</t>
  </si>
  <si>
    <t>27AAHCD2154N1ZE</t>
  </si>
  <si>
    <t>20.04.2024</t>
  </si>
  <si>
    <t xml:space="preserve"> JUNE - 23</t>
  </si>
  <si>
    <t>SPM/17/PC/23</t>
  </si>
  <si>
    <t>SPM/19/PC/23</t>
  </si>
  <si>
    <t>SPM/20/PC/23</t>
  </si>
  <si>
    <t>SSC-RA-07-22/23</t>
  </si>
  <si>
    <t>SPM/21/PC/23</t>
  </si>
  <si>
    <t>07.07.2023</t>
  </si>
  <si>
    <t>SPM/22/2023</t>
  </si>
  <si>
    <t>SSC-RA-08-22/23</t>
  </si>
  <si>
    <t>SPM/23/PC/23</t>
  </si>
  <si>
    <t>27.06.2023</t>
  </si>
  <si>
    <t>SPM/24/PC/23</t>
  </si>
  <si>
    <t>SPM/25/PC/23</t>
  </si>
  <si>
    <t>SPM/26/2023</t>
  </si>
  <si>
    <t>SSC-RA-09-22/23</t>
  </si>
  <si>
    <t>SEPT--23</t>
  </si>
  <si>
    <t>SSC/RA09/23</t>
  </si>
  <si>
    <t>CR2 (31-3-24)</t>
  </si>
  <si>
    <t>SPM/28/PC/23</t>
  </si>
  <si>
    <t>31.07.2023</t>
  </si>
  <si>
    <t>SPM/27/PC/23</t>
  </si>
  <si>
    <t xml:space="preserve"> SPM/18/RA02/23</t>
  </si>
  <si>
    <t>17/ATT/RA01/23</t>
  </si>
  <si>
    <t>EVERSTONE INFRA</t>
  </si>
  <si>
    <t xml:space="preserve">27AAFFE7829J1Z1 </t>
  </si>
  <si>
    <t>10.08.2023</t>
  </si>
  <si>
    <t>SPM/RA-02/2023</t>
  </si>
  <si>
    <t>17.08.2023</t>
  </si>
  <si>
    <t>SSC-RA-10-22/23</t>
  </si>
  <si>
    <t xml:space="preserve"> JUNE - 24</t>
  </si>
  <si>
    <t>SPM/34/PC/23</t>
  </si>
  <si>
    <t>SPM/30/PC/23</t>
  </si>
  <si>
    <t>28.08.2023</t>
  </si>
  <si>
    <t>SPM/32/2023</t>
  </si>
  <si>
    <t>03.05.2023</t>
  </si>
  <si>
    <t>SPM/29/PC/23</t>
  </si>
  <si>
    <t>SPM/33/PC/23</t>
  </si>
  <si>
    <t>SPM/35/PC/2023</t>
  </si>
  <si>
    <t xml:space="preserve">SHRIM BHANU CONSTRUCTION PVT LTD      </t>
  </si>
  <si>
    <t xml:space="preserve"> 27AAPCS6963E1ZT</t>
  </si>
  <si>
    <t>KALYAN</t>
  </si>
  <si>
    <t>15.12.2023</t>
  </si>
  <si>
    <t>SSC-RA-11-22/23</t>
  </si>
  <si>
    <t>TMC/RA-01/23-24</t>
  </si>
  <si>
    <t>TATA</t>
  </si>
  <si>
    <t>SSC/RA/11/23-24</t>
  </si>
  <si>
    <t>CR3 (31-3-24)</t>
  </si>
  <si>
    <t>SPM/36/PC/23</t>
  </si>
  <si>
    <t>SPM37/PC/23</t>
  </si>
  <si>
    <t>SPM/38/PC/23</t>
  </si>
  <si>
    <t>PAID</t>
  </si>
  <si>
    <t>SPM/39/PC/23</t>
  </si>
  <si>
    <t>18.11.2023</t>
  </si>
  <si>
    <t>SPM/40/2023</t>
  </si>
  <si>
    <t>JPV REALTORS PVT LTD</t>
  </si>
  <si>
    <t>27AACCJ0783G1ZL</t>
  </si>
  <si>
    <t>MALAD</t>
  </si>
  <si>
    <t>SPM/41/PC/23</t>
  </si>
  <si>
    <t>RASHMI CONSTRUCTION</t>
  </si>
  <si>
    <t>27AAMFR7746Q1Z3</t>
  </si>
  <si>
    <t>SSC-RA-12-22/23</t>
  </si>
  <si>
    <t>TMC/RA-02/23-24</t>
  </si>
  <si>
    <t>SPM/42/PC/23</t>
  </si>
  <si>
    <t>KUBIK  INDIA</t>
  </si>
  <si>
    <t>27AAPFK0658P1ZK</t>
  </si>
  <si>
    <t>SPM/45/PC/23</t>
  </si>
  <si>
    <t xml:space="preserve">  DEC-23</t>
  </si>
  <si>
    <t>SPM/46/PC/23</t>
  </si>
  <si>
    <t>10.11.2023</t>
  </si>
  <si>
    <t>SPM/43/PC/23</t>
  </si>
  <si>
    <t>SPM/44/PC/23</t>
  </si>
  <si>
    <t>SPM/44/PC/2023</t>
  </si>
  <si>
    <t>CR9 (31-3-24)</t>
  </si>
  <si>
    <t>SPM/47/PC/23</t>
  </si>
  <si>
    <t>WRONG GST REFUND</t>
  </si>
  <si>
    <t>SSC-RA-13-22/23</t>
  </si>
  <si>
    <t>TMC/RA-03/23-24</t>
  </si>
  <si>
    <t>SPM/52/PC/23</t>
  </si>
  <si>
    <t>SPM/51/PC/23</t>
  </si>
  <si>
    <t>05.02.2024</t>
  </si>
  <si>
    <t xml:space="preserve"> SPM/50/2023</t>
  </si>
  <si>
    <t>SPM/48/PC/23</t>
  </si>
  <si>
    <t>SPM/49/PC/23</t>
  </si>
  <si>
    <t>SPM/49/PC/2023</t>
  </si>
  <si>
    <t>CR11 (31-3-24)</t>
  </si>
  <si>
    <t>SPM/30/RA01/ATT</t>
  </si>
  <si>
    <t>27AAECR0425M1ZB</t>
  </si>
  <si>
    <t>GHATKOPAR</t>
  </si>
  <si>
    <t>SPM/28/RA01/ATT23</t>
  </si>
  <si>
    <t>SHANTI PROCON LLP</t>
  </si>
  <si>
    <t>26AAHFS4027J1Z3</t>
  </si>
  <si>
    <t>DAMAN</t>
  </si>
  <si>
    <t>SSC-RA-14-22/23</t>
  </si>
  <si>
    <t>TMC/RA-04/23-24</t>
  </si>
  <si>
    <t>SPM/53/PC/23</t>
  </si>
  <si>
    <t>SPM/55/PC/23</t>
  </si>
  <si>
    <t>SPM/54/PC/23</t>
  </si>
  <si>
    <t>SPM/29/RA01/ATT/23</t>
  </si>
  <si>
    <t>CR10 (31-3-24)</t>
  </si>
  <si>
    <t>SPM/56/PC/23</t>
  </si>
  <si>
    <t>MAR--24</t>
  </si>
  <si>
    <t>SPM/56/PC/24</t>
  </si>
  <si>
    <t>SPM/29/RA2/23</t>
  </si>
  <si>
    <t>SPM/59/PC/23</t>
  </si>
  <si>
    <t>SPM/57/PC/23</t>
  </si>
  <si>
    <t>SPM/58/PC/23</t>
  </si>
  <si>
    <t>SSC-RA-15-22/23</t>
  </si>
  <si>
    <t>TMC/RA-05/23-24</t>
  </si>
  <si>
    <t>SPM/60/PC/24</t>
  </si>
  <si>
    <t>SPM/RA01/32/24</t>
  </si>
  <si>
    <t>SPM/31/RA-1/24</t>
  </si>
  <si>
    <t>ANSH INFRATECH PRIVATE LIMITED</t>
  </si>
  <si>
    <t>27AABCH9906N1Z2</t>
  </si>
  <si>
    <t>MULUND</t>
  </si>
  <si>
    <t>SPM/62/PC/2024</t>
  </si>
  <si>
    <t>VEERMATA JIJABAI TECHNOLOGICAL INSTITUTE</t>
  </si>
  <si>
    <t>27AAATV2693J1Z0</t>
  </si>
  <si>
    <t>MATUNGA</t>
  </si>
  <si>
    <t>SPM/61-A/PC/24</t>
  </si>
  <si>
    <t xml:space="preserve"> MAY - 24</t>
  </si>
  <si>
    <t>SPM/61-B/PC/24</t>
  </si>
  <si>
    <t>SPM/63/PC/24</t>
  </si>
  <si>
    <t>M CUBE PROJECT</t>
  </si>
  <si>
    <t>27AALCM7983L1ZI</t>
  </si>
  <si>
    <t>CANSELD</t>
  </si>
  <si>
    <t>SPM/61-C/PC/24</t>
  </si>
  <si>
    <t>SPM/61-D/PC/24</t>
  </si>
  <si>
    <t>SPM/61-E/PC/24</t>
  </si>
  <si>
    <t>SSC-RA-16-22/23</t>
  </si>
  <si>
    <t>TMC/RA-06/23-24</t>
  </si>
  <si>
    <t>SPM/68/PC/23</t>
  </si>
  <si>
    <t>SPM/66/PC/23</t>
  </si>
  <si>
    <t>07.03.2024</t>
  </si>
  <si>
    <t>SPM/67/PC/24</t>
  </si>
  <si>
    <t>SPM/69/PC/24</t>
  </si>
  <si>
    <t>SPM/71/PC/23</t>
  </si>
  <si>
    <t>SPM/36/RA02/24</t>
  </si>
  <si>
    <t>SPM/73/PC/24</t>
  </si>
  <si>
    <t>SPM/72/PC/2024</t>
  </si>
  <si>
    <t>SHAPOORJI PALLONJI &amp; COMPANY PRIVATE LTD</t>
  </si>
  <si>
    <t>27AAACS6994C1Z5</t>
  </si>
  <si>
    <t>VIRAR</t>
  </si>
  <si>
    <t>SSC-RA-17-22/23</t>
  </si>
  <si>
    <t>TMC/RA-07/23-24</t>
  </si>
  <si>
    <t>SPM/77/PC/23</t>
  </si>
  <si>
    <t>SPM/76/PC/23</t>
  </si>
  <si>
    <t>SPM/75/PC/24</t>
  </si>
  <si>
    <t>SPM/74/PC/24</t>
  </si>
  <si>
    <t>TMC/RA-08/23-24</t>
  </si>
  <si>
    <t>SPM/75/PC/2024</t>
  </si>
  <si>
    <t>SPM/78/PC/24</t>
  </si>
  <si>
    <t>FORTUNE MARKETING</t>
  </si>
  <si>
    <t>27AAACF1978P2ZO</t>
  </si>
  <si>
    <t>GRANT ROAD</t>
  </si>
  <si>
    <t>SPM/82/PC/23</t>
  </si>
  <si>
    <t>SPM/84/PC/23</t>
  </si>
  <si>
    <t>SPM/83/PC/24</t>
  </si>
  <si>
    <t>SPM/80/PC/24</t>
  </si>
  <si>
    <t>SSC-RA-18-22/23</t>
  </si>
  <si>
    <t>SPM/85/PC/24</t>
  </si>
  <si>
    <t>SPM/88/PC/2024</t>
  </si>
  <si>
    <t>SPM/86/2024</t>
  </si>
  <si>
    <t>SSC-RA-19-22/23</t>
  </si>
  <si>
    <t>TMC/RA-09/24-25</t>
  </si>
  <si>
    <t>SPM/91/PC/23</t>
  </si>
  <si>
    <t>SPM/90/PC/23</t>
  </si>
  <si>
    <t>05.06.2024</t>
  </si>
  <si>
    <t>SPM/87/24</t>
  </si>
  <si>
    <t>SPM/81/PC/2024</t>
  </si>
  <si>
    <t>SPM/92/2024</t>
  </si>
  <si>
    <t>SPM/94/2024</t>
  </si>
  <si>
    <t>SRK VRINDAVAN</t>
  </si>
  <si>
    <t>27ADYFS5038B1ZQ</t>
  </si>
  <si>
    <t>SPM/89/PC/2024</t>
  </si>
  <si>
    <t>ARIF MOHMAD</t>
  </si>
  <si>
    <t>27AJRPM0259R1ZB</t>
  </si>
  <si>
    <t>KHOPOLI</t>
  </si>
  <si>
    <t>SPM/40/RA3/24</t>
  </si>
  <si>
    <t>SPM/97/2024</t>
  </si>
  <si>
    <t>ALDEL SALES CORPORATION</t>
  </si>
  <si>
    <t>27AAACPD3061E1ZB</t>
  </si>
  <si>
    <t>SPM/39/RA-1/24</t>
  </si>
  <si>
    <t>SAHU CONSTRUCTION</t>
  </si>
  <si>
    <t>27BGFPS6839B1Z6</t>
  </si>
  <si>
    <t>GHANSOLI</t>
  </si>
  <si>
    <t>SPM/93/2024</t>
  </si>
  <si>
    <t>SPM/PC/001</t>
  </si>
  <si>
    <t>TMC/RA-10/24-25</t>
  </si>
  <si>
    <t>SSC/RA-01/24-25</t>
  </si>
  <si>
    <t>TMC/RA-01/24-25</t>
  </si>
  <si>
    <t xml:space="preserve"> SPM/2024/03</t>
  </si>
  <si>
    <t>SPM/2024/04</t>
  </si>
  <si>
    <t xml:space="preserve"> JULY - 24</t>
  </si>
  <si>
    <t>SPM/2024/05</t>
  </si>
  <si>
    <t xml:space="preserve"> OCT- 24</t>
  </si>
  <si>
    <t>SPM/2024/06</t>
  </si>
  <si>
    <t>SPM/2024/09</t>
  </si>
  <si>
    <t>SPM/2024/10</t>
  </si>
  <si>
    <t>SPM/2024/11</t>
  </si>
  <si>
    <t xml:space="preserve"> SPM/2024/12</t>
  </si>
  <si>
    <t>KEC INTERNATIONAL LIMITED</t>
  </si>
  <si>
    <t>27AACCK5599H1Z2</t>
  </si>
  <si>
    <t xml:space="preserve"> SPM/2024/13</t>
  </si>
  <si>
    <t>SPM/2024/02</t>
  </si>
  <si>
    <t>SPM/2024/08</t>
  </si>
  <si>
    <t>SPM/2024/14</t>
  </si>
  <si>
    <t>TMC/RA-11/24-25</t>
  </si>
  <si>
    <t>SSC/RA-02/24-25</t>
  </si>
  <si>
    <t>SPM/15/2024</t>
  </si>
  <si>
    <t>SPM/16/2024</t>
  </si>
  <si>
    <t>SPM/17/2024</t>
  </si>
  <si>
    <t>SPM/18/2024</t>
  </si>
  <si>
    <t>DOWNTOWN LIFE SPACE LLP</t>
  </si>
  <si>
    <t>27AAQFD6897G1ZO</t>
  </si>
  <si>
    <t xml:space="preserve"> AUG - 24</t>
  </si>
  <si>
    <t>SPM/19/2024</t>
  </si>
  <si>
    <t>SPM/20/2024</t>
  </si>
  <si>
    <t>SPM/21/2024</t>
  </si>
  <si>
    <t>UNWAL INFRA PVT LTD</t>
  </si>
  <si>
    <t>27AACCU4704A1ZT</t>
  </si>
  <si>
    <t>BHAYANDAR</t>
  </si>
  <si>
    <t>SPM/22/2024</t>
  </si>
  <si>
    <t>SPM/23/2024</t>
  </si>
  <si>
    <t>UNIVERSAL MEP PROJECT</t>
  </si>
  <si>
    <t>27AAACR5512K1ZD</t>
  </si>
  <si>
    <t>SPM/24/2024</t>
  </si>
  <si>
    <t>SPM/25/2024</t>
  </si>
  <si>
    <t>SPM/26/2024</t>
  </si>
  <si>
    <t>CONNECTION DIRECT INDIA PVT LTD</t>
  </si>
  <si>
    <t>27AAICA6643A1ZX</t>
  </si>
  <si>
    <t xml:space="preserve"> NOV - 24</t>
  </si>
  <si>
    <t>SPM/27/2024</t>
  </si>
  <si>
    <t>SPM/28/2024</t>
  </si>
  <si>
    <t>SPM/29/2024</t>
  </si>
  <si>
    <t>SPM/30/2024</t>
  </si>
  <si>
    <t>SPM/31/2024</t>
  </si>
  <si>
    <t>SPM/32/2024</t>
  </si>
  <si>
    <t xml:space="preserve"> SEPT - 24</t>
  </si>
  <si>
    <t>SPM/33/2024</t>
  </si>
  <si>
    <t>SPM/34/2024</t>
  </si>
  <si>
    <t>SPM/35/2024</t>
  </si>
  <si>
    <t>SPM/36/2024</t>
  </si>
  <si>
    <t>SPM/37/2024</t>
  </si>
  <si>
    <t>SPM/38/2024</t>
  </si>
  <si>
    <t>SSC/RA-03/24-25</t>
  </si>
  <si>
    <t>TMC/RA-03/24-25</t>
  </si>
  <si>
    <t>SPM/39/2024</t>
  </si>
  <si>
    <t>SPM/40/2024</t>
  </si>
  <si>
    <t>SPM/41/2024</t>
  </si>
  <si>
    <t>SPM/42/2024</t>
  </si>
  <si>
    <t>BHAIRAV SMILE INFRAPROJECT</t>
  </si>
  <si>
    <t>27AAZFB8050G1ZO</t>
  </si>
  <si>
    <t>SPM/43/2024</t>
  </si>
  <si>
    <t>SANCTUM INFRATECH</t>
  </si>
  <si>
    <t>27ACEF4845H1ZV</t>
  </si>
  <si>
    <t>DAHISAR</t>
  </si>
  <si>
    <t>SPM/44/2024</t>
  </si>
  <si>
    <t>SPM/45/2024</t>
  </si>
  <si>
    <t>SPM/46/2024</t>
  </si>
  <si>
    <t>SPM/47/2024</t>
  </si>
  <si>
    <t>SPM/48/2024</t>
  </si>
  <si>
    <t>SPM/49/2024</t>
  </si>
  <si>
    <t>SPM/50/2024</t>
  </si>
  <si>
    <t>SPM/51/2024</t>
  </si>
  <si>
    <t>SPM/52/2024</t>
  </si>
  <si>
    <t>SPM/53/2024</t>
  </si>
  <si>
    <t xml:space="preserve"> DEC- 24</t>
  </si>
  <si>
    <t>SSC/RA-04/24-25</t>
  </si>
  <si>
    <t>TMC/RA-04/24-25</t>
  </si>
  <si>
    <t>SPM/54/2024</t>
  </si>
  <si>
    <t>SPM/55/2024</t>
  </si>
  <si>
    <t>JOYVILLE SHAPOORJI HSG PVT LTD</t>
  </si>
  <si>
    <t>27AACCD9800E1ZV</t>
  </si>
  <si>
    <t>SPM/56/2024</t>
  </si>
  <si>
    <t>SPM/57/2024</t>
  </si>
  <si>
    <t>SPM/58/2024</t>
  </si>
  <si>
    <t>SPM/59/2024</t>
  </si>
  <si>
    <t>JSB HOMEMAKERS PVT LTD</t>
  </si>
  <si>
    <t>27AACCJ2381E3ZP</t>
  </si>
  <si>
    <t>NALASOPARA</t>
  </si>
  <si>
    <t>SPM/60/2024</t>
  </si>
  <si>
    <t>SPM/61/2024</t>
  </si>
  <si>
    <t>SPM/62/2024</t>
  </si>
  <si>
    <t>SPM/63/2024</t>
  </si>
  <si>
    <t>SPM/64/2024</t>
  </si>
  <si>
    <t>SPM/65/2024</t>
  </si>
  <si>
    <t>SPM/66/2024</t>
  </si>
  <si>
    <t>RAC IT SOLUTION PVT LTD</t>
  </si>
  <si>
    <t>24AADCR9546E1ZB</t>
  </si>
  <si>
    <t>AHMEDABAD</t>
  </si>
  <si>
    <t>SPM/67/2024</t>
  </si>
  <si>
    <t>SPM/68/2024</t>
  </si>
  <si>
    <t>SPM/69/2024</t>
  </si>
  <si>
    <t>SPM/70/2024</t>
  </si>
  <si>
    <t>JUNE--25</t>
  </si>
  <si>
    <t>SPM/71/2024</t>
  </si>
  <si>
    <t>SPM/72/2024</t>
  </si>
  <si>
    <t>SPM/73/2024</t>
  </si>
  <si>
    <t>SPM/74/2024</t>
  </si>
  <si>
    <t>SPM/75/2024</t>
  </si>
  <si>
    <t>SSC/RA-05/24-25</t>
  </si>
  <si>
    <t>TMC/RA-05/24-25</t>
  </si>
  <si>
    <t>SPM/76/2024</t>
  </si>
  <si>
    <t>SPM/77/2024</t>
  </si>
  <si>
    <t>SPM/78/2024</t>
  </si>
  <si>
    <t>SPM/79/2024</t>
  </si>
  <si>
    <t>SPM/80/2024</t>
  </si>
  <si>
    <t>SPM/81/2024</t>
  </si>
  <si>
    <t>SPM/82/2024</t>
  </si>
  <si>
    <t>SPM/83/2024</t>
  </si>
  <si>
    <t>SPM/84/2024</t>
  </si>
  <si>
    <t>SPM/85/2024</t>
  </si>
  <si>
    <t>JAN--25</t>
  </si>
  <si>
    <t>SPM/87/2024</t>
  </si>
  <si>
    <t>SPM/88/2024</t>
  </si>
  <si>
    <t>P</t>
  </si>
  <si>
    <t>SPM/89/2024</t>
  </si>
  <si>
    <t>SPM/90/2024</t>
  </si>
  <si>
    <t>SPM/91/2024</t>
  </si>
  <si>
    <t>SPM/94A/2024</t>
  </si>
  <si>
    <t>SSC/RA-06/24-25</t>
  </si>
  <si>
    <t>TMC/RA-06/24-25</t>
  </si>
  <si>
    <t>SPM/2024/07</t>
  </si>
  <si>
    <t>SPM/95/2024</t>
  </si>
  <si>
    <t>SPM/96/2024</t>
  </si>
  <si>
    <t>WEST BEST BUILDCON</t>
  </si>
  <si>
    <t>27AACFW0576F1Z5</t>
  </si>
  <si>
    <t>SPM/97A/2024</t>
  </si>
  <si>
    <t>CR01/24-25</t>
  </si>
  <si>
    <t>SPM/98/2024</t>
  </si>
  <si>
    <t>SPM/99/2024</t>
  </si>
  <si>
    <t>SPM/100/2024</t>
  </si>
  <si>
    <t>SPM/101/2024</t>
  </si>
  <si>
    <t>SPM/102/2024</t>
  </si>
  <si>
    <t>SPM/103/2024</t>
  </si>
  <si>
    <t>SPM/104/2024</t>
  </si>
  <si>
    <t>SPM/105/2024</t>
  </si>
  <si>
    <t>SPM/106/2024</t>
  </si>
  <si>
    <t>SPM/107/2024</t>
  </si>
  <si>
    <t>SPM/108/2024</t>
  </si>
  <si>
    <t>SPM/109/2024</t>
  </si>
  <si>
    <t>SPM/110/2024</t>
  </si>
  <si>
    <t>SPM/111/2024</t>
  </si>
  <si>
    <t>SPM/112/2024</t>
  </si>
  <si>
    <t>SPM/113/2024</t>
  </si>
  <si>
    <t>SPM/114/2024</t>
  </si>
  <si>
    <t>SPM/115/2024</t>
  </si>
  <si>
    <t>SPM/116/2024</t>
  </si>
  <si>
    <t>SSC/RA-07/24-25</t>
  </si>
  <si>
    <t>TMC/RA-07/24-25</t>
  </si>
  <si>
    <t>SPM/117/2024</t>
  </si>
  <si>
    <t>CAPACITE INFRAPROJECTS LTD</t>
  </si>
  <si>
    <t>27AAECC9463G1ZF</t>
  </si>
  <si>
    <t>MAHALAXMI</t>
  </si>
  <si>
    <t>MAR--25</t>
  </si>
  <si>
    <t>SPM/118/2024</t>
  </si>
  <si>
    <t>MAROTHON OMEGA</t>
  </si>
  <si>
    <t>27AABAM3949C2ZO</t>
  </si>
  <si>
    <t>LOWER PAREL</t>
  </si>
  <si>
    <t>SPM/119/2024</t>
  </si>
  <si>
    <t>SPM/120/2024</t>
  </si>
  <si>
    <t>SARTHAK INDUSTRIAL LTD</t>
  </si>
  <si>
    <t>23AABCA3214A2ZQ</t>
  </si>
  <si>
    <t>PANVEL</t>
  </si>
  <si>
    <t>SPM/121/2024</t>
  </si>
  <si>
    <t>SPM/122/2024</t>
  </si>
  <si>
    <t>SPM/123/2024</t>
  </si>
  <si>
    <t>SPM/124/2024</t>
  </si>
  <si>
    <t>SPM/125/2024</t>
  </si>
  <si>
    <t>SPM/126/2024</t>
  </si>
  <si>
    <t>SPM/127/2024</t>
  </si>
  <si>
    <t xml:space="preserve">LOTUS LOGISTICS &amp; DEVELOPES </t>
  </si>
  <si>
    <t>27AABCL1198G1ZH</t>
  </si>
  <si>
    <t>FEB--25</t>
  </si>
  <si>
    <t>SPM/128/2024</t>
  </si>
  <si>
    <t>SPM/129/2024</t>
  </si>
  <si>
    <t>SPM/130/2024</t>
  </si>
  <si>
    <t>SPM/131/2024</t>
  </si>
  <si>
    <t>SPM/132/2024</t>
  </si>
  <si>
    <t>SPM/133/2024</t>
  </si>
  <si>
    <t>SPM/136/2024</t>
  </si>
  <si>
    <t>SPM/137/2024</t>
  </si>
  <si>
    <t>SPM/138/2024</t>
  </si>
  <si>
    <t>SPM/139/2024</t>
  </si>
  <si>
    <t>SPM/140/2024</t>
  </si>
  <si>
    <t>SPM/141/2024</t>
  </si>
  <si>
    <t>SPM/142/2024</t>
  </si>
  <si>
    <t>SSC/RA-08/24-25</t>
  </si>
  <si>
    <t>TMC/RA-08/24-25</t>
  </si>
  <si>
    <t>SPM/134/2024</t>
  </si>
  <si>
    <t>SPM/135/2024</t>
  </si>
  <si>
    <t>SPM/143/2025</t>
  </si>
  <si>
    <t>YASH FLOW CONTROLS</t>
  </si>
  <si>
    <t>27AESPD2886B1ZE</t>
  </si>
  <si>
    <t>SEWREE</t>
  </si>
  <si>
    <t>SPM/144/2025</t>
  </si>
  <si>
    <t>BHANDUP</t>
  </si>
  <si>
    <t>SPM/145/2025</t>
  </si>
  <si>
    <t>SPM/146/2025</t>
  </si>
  <si>
    <t>YES REALTY</t>
  </si>
  <si>
    <t>27AACFY7669R1ZY</t>
  </si>
  <si>
    <t>MUMBRA</t>
  </si>
  <si>
    <t>SPM/147/2025</t>
  </si>
  <si>
    <t>SPM/148/2025</t>
  </si>
  <si>
    <t>THOTE MILK CENTRE</t>
  </si>
  <si>
    <t>DADAR</t>
  </si>
  <si>
    <t>SPM/149/2025</t>
  </si>
  <si>
    <t>SPM/150/2025</t>
  </si>
  <si>
    <t>SPM/151/2025</t>
  </si>
  <si>
    <t>SPM/152/2025</t>
  </si>
  <si>
    <t>SPM/153/2025</t>
  </si>
  <si>
    <t>SPM/154/2025</t>
  </si>
  <si>
    <t>SPM/155/2025</t>
  </si>
  <si>
    <t>SPM/156/2025</t>
  </si>
  <si>
    <t>SPM/157/2025</t>
  </si>
  <si>
    <t>SPM/158/2025</t>
  </si>
  <si>
    <t>SPM/159/2025</t>
  </si>
  <si>
    <t>SPM/160/2025</t>
  </si>
  <si>
    <t>SPM/161/2025</t>
  </si>
  <si>
    <t>SPM/162/2025</t>
  </si>
  <si>
    <t>SSC/RA-09/24-25</t>
  </si>
  <si>
    <t>SPM/163/2025</t>
  </si>
  <si>
    <t>APR--25</t>
  </si>
  <si>
    <t>SPM/164/2025</t>
  </si>
  <si>
    <t>SPM/165/2025</t>
  </si>
  <si>
    <t>SPM/166/2025</t>
  </si>
  <si>
    <t>SPM/167/2025</t>
  </si>
  <si>
    <t>SPM/168/2025</t>
  </si>
  <si>
    <t>SPM/169/2025</t>
  </si>
  <si>
    <t>SPM/170/2025</t>
  </si>
  <si>
    <t>SPM/171/2025</t>
  </si>
  <si>
    <t>SPM/172/2025</t>
  </si>
  <si>
    <t>SPM/173/2025</t>
  </si>
  <si>
    <t>SPM/174/2025</t>
  </si>
  <si>
    <t>SPM/175/2025</t>
  </si>
  <si>
    <t>SPM/176/2025</t>
  </si>
  <si>
    <t>SPM/177/2025</t>
  </si>
  <si>
    <t>S G ENTERPRISES</t>
  </si>
  <si>
    <t>VIKROLI</t>
  </si>
  <si>
    <t>HOLD</t>
  </si>
  <si>
    <t>SPM/178/2025</t>
  </si>
  <si>
    <t>BB</t>
  </si>
  <si>
    <t>SPM/179/2025</t>
  </si>
  <si>
    <t>SSC/RA-10/24-25</t>
  </si>
  <si>
    <t>SPM/180/2025</t>
  </si>
  <si>
    <t>SPM/181/2025</t>
  </si>
  <si>
    <t>SPM/182/2025</t>
  </si>
  <si>
    <t>SPM/183/2025</t>
  </si>
  <si>
    <t>MINERVA DEALERS PVT LTD</t>
  </si>
  <si>
    <t>27AAACM2694M2ZO</t>
  </si>
  <si>
    <t>SPM/184/2025</t>
  </si>
  <si>
    <t>SPM/185/2025</t>
  </si>
  <si>
    <t>SPM/186/2025</t>
  </si>
  <si>
    <t>SPM/187/2025</t>
  </si>
  <si>
    <t>SPM/188/2025</t>
  </si>
  <si>
    <t>SPM/189/2025</t>
  </si>
  <si>
    <t>ELPRO INTERNATIONAL LTD</t>
  </si>
  <si>
    <t>27AAACE2506L1ZS</t>
  </si>
  <si>
    <t>WORLI</t>
  </si>
  <si>
    <t>SPM/192/2025</t>
  </si>
  <si>
    <t>SPM/190/2025</t>
  </si>
  <si>
    <t>CANCELLED</t>
  </si>
  <si>
    <t>SPM/191/2025</t>
  </si>
  <si>
    <t>SPM/193/2025</t>
  </si>
  <si>
    <t>SPM/194/2025</t>
  </si>
  <si>
    <t>SPM/195/2025</t>
  </si>
  <si>
    <t>SPM/196/2025</t>
  </si>
  <si>
    <t>SPM/197/2025</t>
  </si>
  <si>
    <t>SPM/198/2025</t>
  </si>
  <si>
    <t>SPM/199/2025</t>
  </si>
  <si>
    <t>SPM/200/2025</t>
  </si>
  <si>
    <t>SPM/201/2025</t>
  </si>
  <si>
    <t>SPM/202/2025</t>
  </si>
  <si>
    <t>SPM/203/2025</t>
  </si>
  <si>
    <t>SPM/205/2025</t>
  </si>
  <si>
    <t>SPM/206/2025</t>
  </si>
  <si>
    <t>JADHWANI INFRASTRUCTURE LLP</t>
  </si>
  <si>
    <t>27AANFJ3343C1ZI</t>
  </si>
  <si>
    <t>SSC/RA-11/24-25</t>
  </si>
  <si>
    <t>SPM/207/2025</t>
  </si>
  <si>
    <t>SPM/204/2025</t>
  </si>
  <si>
    <t>MITSUBISHI CHEMICALS INDIA LTD</t>
  </si>
  <si>
    <t>27AAFCM4502P1Z7</t>
  </si>
  <si>
    <t>BHIVANDI</t>
  </si>
  <si>
    <t>SPM/208/2025</t>
  </si>
  <si>
    <t>AAPTI PROJECT SOLUTION PVT LTD</t>
  </si>
  <si>
    <t>27AAZCA2601F1ZO</t>
  </si>
  <si>
    <t>SPM/209/2025</t>
  </si>
  <si>
    <t>SKIPPING STONES ENTERTAINMENT</t>
  </si>
  <si>
    <t>27AATCS2874A1Z3</t>
  </si>
  <si>
    <t>SPM/211/2025</t>
  </si>
  <si>
    <t>SPM/212/2025</t>
  </si>
  <si>
    <t>SPM/213/2025</t>
  </si>
  <si>
    <t>SPM/210/2025</t>
  </si>
  <si>
    <t>MAY--25</t>
  </si>
  <si>
    <t>SPM/214/2025</t>
  </si>
  <si>
    <t>SPM/215/2025</t>
  </si>
  <si>
    <t>SPM/216/2025</t>
  </si>
  <si>
    <t>SPM/217/2025</t>
  </si>
  <si>
    <t>SPM/218/2025</t>
  </si>
  <si>
    <t>SPM/219/2025</t>
  </si>
  <si>
    <t>SPM/220/2025</t>
  </si>
  <si>
    <t>SPM/221/2025</t>
  </si>
  <si>
    <t>SPM/222/2025</t>
  </si>
  <si>
    <t>SPM/223/2025</t>
  </si>
  <si>
    <t>SPM/224/2025</t>
  </si>
  <si>
    <t>SPM/226/2025</t>
  </si>
  <si>
    <t>SPM/227/2025</t>
  </si>
  <si>
    <t>SPM/228/2025</t>
  </si>
  <si>
    <t>SPM/229/2025</t>
  </si>
  <si>
    <t>BANDRA</t>
  </si>
  <si>
    <t>SPM/230/2025</t>
  </si>
  <si>
    <t>SPM/231/2025</t>
  </si>
  <si>
    <t>WADI BANDAR</t>
  </si>
  <si>
    <t>SPM/232/2025</t>
  </si>
  <si>
    <t>HO</t>
  </si>
  <si>
    <t>TMC/RA-12/25-26</t>
  </si>
  <si>
    <t>TMC/RA-01/25-26</t>
  </si>
  <si>
    <t>AHLUWALIA CONSTRUCTION GROUP</t>
  </si>
  <si>
    <t>27AAEPA8644E1ZX</t>
  </si>
  <si>
    <t>SSC/RA-12/25-26</t>
  </si>
  <si>
    <t>SPM/225/2025</t>
  </si>
  <si>
    <t>SPM/233/2025</t>
  </si>
  <si>
    <t>WOODFIELD SYSTEMS INTERNATIONAL</t>
  </si>
  <si>
    <t>27AAACW3635Q1ZS</t>
  </si>
  <si>
    <t>SPM/234/2025</t>
  </si>
  <si>
    <t>SPM/235/2025</t>
  </si>
  <si>
    <t>SPM/236/2025</t>
  </si>
  <si>
    <t>SPAN HEALTHCARE CONSULTANCY</t>
  </si>
  <si>
    <t>27AAXCS1950M1ZJ</t>
  </si>
  <si>
    <t>SPM/237/2025</t>
  </si>
  <si>
    <t>SPM/238/2025</t>
  </si>
  <si>
    <t>SPM/239/2025</t>
  </si>
  <si>
    <t>SPM/240/2025</t>
  </si>
  <si>
    <t>SPM/240A/2025</t>
  </si>
  <si>
    <t>SPM/241/2025</t>
  </si>
  <si>
    <t>SPM/242/2025</t>
  </si>
  <si>
    <t>SPM/243/2025</t>
  </si>
  <si>
    <t>SPM/244/2025</t>
  </si>
  <si>
    <t>SPM/245/2025</t>
  </si>
  <si>
    <t>SPM/246/2025</t>
  </si>
  <si>
    <t>SPM/247/2025</t>
  </si>
  <si>
    <t>SPM/248/2025</t>
  </si>
  <si>
    <t>SPM/249/2025</t>
  </si>
  <si>
    <t>SPM/251/2025</t>
  </si>
  <si>
    <t>SPM/252/2025</t>
  </si>
  <si>
    <t>SPM/253/2025</t>
  </si>
  <si>
    <t>SPM/254/2025</t>
  </si>
  <si>
    <t>SPM/255/2025</t>
  </si>
  <si>
    <t>SPM/256/2025</t>
  </si>
  <si>
    <t>SPM/257/2025</t>
  </si>
  <si>
    <t>SSC/RA-13/25-26</t>
  </si>
  <si>
    <t>TMC/RA-13/25-26</t>
  </si>
  <si>
    <t>SPM/250/2025</t>
  </si>
  <si>
    <t>SPM/258/2025</t>
  </si>
  <si>
    <t>SENGHANI CREATORS PVT LTD</t>
  </si>
  <si>
    <t>27AATCS4950P1ZB</t>
  </si>
  <si>
    <t>DELTA</t>
  </si>
  <si>
    <t>SPM/259/2025</t>
  </si>
  <si>
    <t>LAKHANI</t>
  </si>
  <si>
    <t>SPM/260/2025</t>
  </si>
  <si>
    <t>OBERAI</t>
  </si>
  <si>
    <t>SPM/261/2025</t>
  </si>
  <si>
    <t>SPM/262/2025</t>
  </si>
  <si>
    <t>SPM/263/2025</t>
  </si>
  <si>
    <t>TEJUKAYA</t>
  </si>
  <si>
    <t>SPM/264/2025</t>
  </si>
  <si>
    <t>SPM/265/2025</t>
  </si>
  <si>
    <t>SPM/266/2025</t>
  </si>
  <si>
    <t>SPM/267/2025</t>
  </si>
  <si>
    <t>SPM/268/2025</t>
  </si>
  <si>
    <t>SPM/269/2025</t>
  </si>
  <si>
    <t>SPM/270/2025</t>
  </si>
  <si>
    <t>SPM/271/2025</t>
  </si>
  <si>
    <t>SPM/272/2025</t>
  </si>
  <si>
    <t>SPM/273/2025</t>
  </si>
  <si>
    <t>SPM/274/2025</t>
  </si>
  <si>
    <t>SPM/275/2025</t>
  </si>
  <si>
    <t>SPM/276/2025</t>
  </si>
  <si>
    <t>SPM/277/2025</t>
  </si>
  <si>
    <t>SPM/278/2025</t>
  </si>
  <si>
    <t>SPM/279/2025</t>
  </si>
  <si>
    <t>SPM/280/2025</t>
  </si>
  <si>
    <t>SPM/281/2025</t>
  </si>
  <si>
    <t>SPM/282/2025</t>
  </si>
  <si>
    <t>SPM/283/2025</t>
  </si>
  <si>
    <t>SPM/284/2025</t>
  </si>
  <si>
    <t>SPM/285/2025</t>
  </si>
  <si>
    <t>SPM/286/2025</t>
  </si>
  <si>
    <t>JULY--25</t>
  </si>
  <si>
    <t>SPM/287/2025</t>
  </si>
  <si>
    <t>SPM/288/2025</t>
  </si>
  <si>
    <t>SPM/289/2025</t>
  </si>
  <si>
    <t>SPM/290/2025</t>
  </si>
  <si>
    <t>SPM/291/2025</t>
  </si>
  <si>
    <t>RUNWAL FOREST</t>
  </si>
  <si>
    <t>SPM/292/2025</t>
  </si>
  <si>
    <t>LEELA</t>
  </si>
  <si>
    <t>SPM/293/2025</t>
  </si>
  <si>
    <t>P B BLOBAL</t>
  </si>
  <si>
    <t>SPM/294/2025</t>
  </si>
  <si>
    <t>PAWAR PATKAR CONSTRUCTION PVT LTD</t>
  </si>
  <si>
    <t>27AAIFP9352Q1ZB</t>
  </si>
  <si>
    <t>BELAPUR</t>
  </si>
  <si>
    <t>SPM/295/2025</t>
  </si>
  <si>
    <t>SPM/296/2025</t>
  </si>
  <si>
    <t>SPM/297/2025</t>
  </si>
  <si>
    <t>SPM/298/2025</t>
  </si>
  <si>
    <t>SPM/299/2025</t>
  </si>
  <si>
    <t>SPM/300/2025</t>
  </si>
  <si>
    <t>SPM/301/2025</t>
  </si>
  <si>
    <t>27AABCA4304K1ZX</t>
  </si>
  <si>
    <t>SPM/302/2025</t>
  </si>
  <si>
    <t>SPM/303/2025</t>
  </si>
  <si>
    <t>SPM/304/2025</t>
  </si>
  <si>
    <t>SPM/305/2025</t>
  </si>
  <si>
    <t>SPM/306/2025</t>
  </si>
  <si>
    <t>SPM/307/2025</t>
  </si>
  <si>
    <t>SPM/308/2025</t>
  </si>
  <si>
    <t>SPM/309/2025</t>
  </si>
  <si>
    <t>SPM/310/2025</t>
  </si>
  <si>
    <t>SPM/311/2025</t>
  </si>
  <si>
    <t>SPM/312/2025</t>
  </si>
  <si>
    <t>SPM/313/2025</t>
  </si>
  <si>
    <t>SPM/314/2025</t>
  </si>
  <si>
    <t>SPM/315/2025</t>
  </si>
  <si>
    <t>SPM/316/2025</t>
  </si>
  <si>
    <t>SPM/317/2025</t>
  </si>
  <si>
    <t>SPM/318/2025</t>
  </si>
  <si>
    <t>SPM/319/2025</t>
  </si>
  <si>
    <t>SPM/320/2025</t>
  </si>
  <si>
    <t>KHARGHAR</t>
  </si>
  <si>
    <t>SPM/321/2025</t>
  </si>
  <si>
    <t>AUG--25</t>
  </si>
  <si>
    <t>SPM/322/2025</t>
  </si>
  <si>
    <t>SPM/323/2025</t>
  </si>
  <si>
    <t>SPM/324/2025</t>
  </si>
  <si>
    <t>SPM/325/2025</t>
  </si>
  <si>
    <t>SPM/326/2025</t>
  </si>
  <si>
    <t>SPM/327/2025</t>
  </si>
  <si>
    <t>SPM/328/2025</t>
  </si>
  <si>
    <t>SPM/329/2025</t>
  </si>
  <si>
    <t>SPM/330/2025</t>
  </si>
  <si>
    <t>M A K K &amp; CO</t>
  </si>
  <si>
    <t>27AADFR5434L2ZW</t>
  </si>
  <si>
    <t>SPM/331/2025</t>
  </si>
  <si>
    <t>PARTH ENTERPRISES</t>
  </si>
  <si>
    <t>27AACFP2590C1ZG</t>
  </si>
  <si>
    <t>SPM/332/2025</t>
  </si>
  <si>
    <t>27AACPD3061E1ZB</t>
  </si>
  <si>
    <t>SPM/333/2025</t>
  </si>
  <si>
    <t>SPM/334/2025</t>
  </si>
  <si>
    <t>SPM/336/2025</t>
  </si>
  <si>
    <t>SPM/335/2025</t>
  </si>
  <si>
    <t>SPM/337/2025</t>
  </si>
  <si>
    <t>SPM/338/2025</t>
  </si>
  <si>
    <t>SPM/339/2025</t>
  </si>
  <si>
    <t>SPM/340/2025</t>
  </si>
  <si>
    <t>SPM/341/2025</t>
  </si>
  <si>
    <t>SPM/342/2025</t>
  </si>
  <si>
    <t>SPM/343/2025</t>
  </si>
  <si>
    <t>SPM/344/2025</t>
  </si>
  <si>
    <t>SPM/345/2025</t>
  </si>
  <si>
    <t>DRN INFRASTRUCTURE PVT LTD</t>
  </si>
  <si>
    <t>SPM/346/2025</t>
  </si>
  <si>
    <t>SPM/347/2025</t>
  </si>
  <si>
    <t>SPM/348/2025</t>
  </si>
  <si>
    <t>SPM/349/2025</t>
  </si>
  <si>
    <t>SPM/350/2025</t>
  </si>
  <si>
    <t>SPM/351/2025</t>
  </si>
  <si>
    <t>SPM/352/2025</t>
  </si>
  <si>
    <t>SPM/353/2025</t>
  </si>
  <si>
    <t>SPM/354/2025</t>
  </si>
  <si>
    <t>RRC VENTURE PVT LTD</t>
  </si>
  <si>
    <t>SPM/355/2025</t>
  </si>
  <si>
    <t>27ACEFS4845H1ZV</t>
  </si>
  <si>
    <t>SPM/356/2025</t>
  </si>
  <si>
    <t>SPM/357/2025</t>
  </si>
  <si>
    <t>SPM/358/2025</t>
  </si>
  <si>
    <t>SPM/359/2025</t>
  </si>
  <si>
    <t>SPM/360/2025</t>
  </si>
  <si>
    <t>QUIDICH INNOVATION LABS PVT LTD</t>
  </si>
  <si>
    <t>27AAACQ3944L1Z4</t>
  </si>
  <si>
    <t>SPM/361/2025</t>
  </si>
  <si>
    <t>SPM/362/2025</t>
  </si>
  <si>
    <t>SPM/363/2025</t>
  </si>
  <si>
    <t>SPM/364/2025</t>
  </si>
  <si>
    <t>SPM/365/2025</t>
  </si>
  <si>
    <t>SPM/366/2025</t>
  </si>
  <si>
    <t>SPM/367/2025</t>
  </si>
  <si>
    <t>SPM/368/2025</t>
  </si>
  <si>
    <t>SPM/369/2025</t>
  </si>
  <si>
    <t>P B GLOBAL</t>
  </si>
  <si>
    <t>SPM/370/2025</t>
  </si>
  <si>
    <t>RUNWAL AVENUE</t>
  </si>
  <si>
    <t>SPM/371/2025</t>
  </si>
  <si>
    <t>VEENA INSIGNIA</t>
  </si>
  <si>
    <t>SPM/372/2025</t>
  </si>
  <si>
    <t>SPM/373/2025</t>
  </si>
  <si>
    <t>SPM/374/2025</t>
  </si>
  <si>
    <t>SPM/375/2025</t>
  </si>
  <si>
    <t>SPM/376/2025</t>
  </si>
  <si>
    <t>SPM/377/2025</t>
  </si>
  <si>
    <t>SPM/378/2025</t>
  </si>
  <si>
    <t>SPM/379/2025</t>
  </si>
  <si>
    <t>SPM/380/2025</t>
  </si>
  <si>
    <t>SPM/381/2025</t>
  </si>
  <si>
    <t>SPM/382/2025</t>
  </si>
  <si>
    <t>SPM/383/2025</t>
  </si>
  <si>
    <t>SPM/384/2025</t>
  </si>
  <si>
    <t>SPM/385/2025</t>
  </si>
  <si>
    <t>SPM/386/2025</t>
  </si>
  <si>
    <t>SPM/387/2025</t>
  </si>
  <si>
    <t>SPM/388/2025</t>
  </si>
  <si>
    <t>SPM/389/2025</t>
  </si>
  <si>
    <t>SPM/390/2025</t>
  </si>
  <si>
    <t>SPM/391/2025</t>
  </si>
  <si>
    <t>SPM/392/2025</t>
  </si>
  <si>
    <t>SPM/393/2025</t>
  </si>
  <si>
    <t>SPM/394/2025</t>
  </si>
  <si>
    <t>SPM/395/2025</t>
  </si>
  <si>
    <t>BB, MS</t>
  </si>
  <si>
    <t>SPM/396/2025</t>
  </si>
  <si>
    <t>SPM/397/2025</t>
  </si>
  <si>
    <t>SPM/398/2025</t>
  </si>
  <si>
    <t>SPM/399/2025</t>
  </si>
  <si>
    <t>SPM/400/2025</t>
  </si>
  <si>
    <t>SPM/401/2025</t>
  </si>
  <si>
    <t>SPM/402/2025</t>
  </si>
  <si>
    <t>SPM/403/2025</t>
  </si>
  <si>
    <t>SPM/404/2025</t>
  </si>
  <si>
    <t>SPM/405/2025</t>
  </si>
  <si>
    <t>SPM/406/2025</t>
  </si>
  <si>
    <t>BPO CONVERGENCE PRIVATE LIMITED</t>
  </si>
  <si>
    <t>27AAGCB0824J1ZS</t>
  </si>
  <si>
    <t>SPM/407/2025</t>
  </si>
  <si>
    <t>SPM/409/2025</t>
  </si>
  <si>
    <t>SPM/408/2025</t>
  </si>
  <si>
    <t>SPM/410/2025</t>
  </si>
  <si>
    <t>SPM/411/2025</t>
  </si>
  <si>
    <t>SPM/412/2025</t>
  </si>
  <si>
    <t>SPM/413/2025</t>
  </si>
  <si>
    <t>SPM/414/2025</t>
  </si>
  <si>
    <t>SPM/415/2025</t>
  </si>
  <si>
    <t>SPM/416/2025</t>
  </si>
  <si>
    <t>SPM/417/2025</t>
  </si>
  <si>
    <t>SPM/418/2025</t>
  </si>
  <si>
    <t>SPM/419/2025</t>
  </si>
  <si>
    <t>SPM/420/2025</t>
  </si>
  <si>
    <t>SPM/421/2025</t>
  </si>
  <si>
    <t>SPM/422/2025</t>
  </si>
  <si>
    <t>SPM/423/2025</t>
  </si>
  <si>
    <t>SPM/424/2025</t>
  </si>
  <si>
    <t>SPM/425/2025</t>
  </si>
  <si>
    <t>SPM/426/2025</t>
  </si>
  <si>
    <t>SPM/427/2025</t>
  </si>
  <si>
    <t>SPM/428/2025</t>
  </si>
  <si>
    <t>SPM/429/2025</t>
  </si>
  <si>
    <t>SPM/430/2025</t>
  </si>
  <si>
    <t>GLOSHIPPING &amp; LOGISTICS PRIVATE LIMITED</t>
  </si>
  <si>
    <t>SEP--25</t>
  </si>
  <si>
    <t>27AAPCS6963E1ZT</t>
  </si>
  <si>
    <t>VIDYAVIHAR</t>
  </si>
  <si>
    <t>OCT--25</t>
  </si>
  <si>
    <t>RAGHVENDRA CONSTRUCTION COMPANY PVT LTD</t>
  </si>
  <si>
    <t>27AACCR7371Q1ZM</t>
  </si>
  <si>
    <t>EPSILON CONSTRUCTIONS LLP</t>
  </si>
  <si>
    <t>27AAMFE1994M1ZQ</t>
  </si>
  <si>
    <t>ORACURA SOLUTIONS PVT LTD</t>
  </si>
  <si>
    <t>27AACCO6852F1ZC</t>
  </si>
  <si>
    <t>SPM/431/2025</t>
  </si>
  <si>
    <t>SPM/432/2025</t>
  </si>
  <si>
    <t>SPM/433/2025</t>
  </si>
  <si>
    <t>SPM/434/2025</t>
  </si>
  <si>
    <t>SPM/435/2025</t>
  </si>
  <si>
    <t>SPM/436/2025</t>
  </si>
  <si>
    <t>SPM/437/2025</t>
  </si>
  <si>
    <t>SPM/438/2025</t>
  </si>
  <si>
    <t>SPM/439/2025</t>
  </si>
  <si>
    <t>SPM/440/2025</t>
  </si>
  <si>
    <t>SPM/441/2025</t>
  </si>
  <si>
    <t>SPM/442/2025</t>
  </si>
  <si>
    <t>SPM/443/2025</t>
  </si>
  <si>
    <t>SPM/444/2025</t>
  </si>
  <si>
    <t>SPM/445/2025</t>
  </si>
  <si>
    <t>SPM/446/2025</t>
  </si>
  <si>
    <t>SPM/447/2025</t>
  </si>
  <si>
    <t>SPM/448/2025</t>
  </si>
  <si>
    <t>SPM/449/2025</t>
  </si>
  <si>
    <t>SPM/450/2025</t>
  </si>
  <si>
    <t>SPM/451/2025</t>
  </si>
  <si>
    <t>SPM/452/2025</t>
  </si>
  <si>
    <t>SPM/453/2025</t>
  </si>
  <si>
    <t>SPM/454/2025</t>
  </si>
  <si>
    <t>SPM/455/2025</t>
  </si>
  <si>
    <t>SPM/456/2025</t>
  </si>
  <si>
    <t>SPM/457/2025</t>
  </si>
  <si>
    <t>SPM/458/2025</t>
  </si>
  <si>
    <t>SPM/459/2025</t>
  </si>
  <si>
    <t>SPM/460/2025</t>
  </si>
  <si>
    <t>SPM/461/2025</t>
  </si>
  <si>
    <t>SPM/462/2025</t>
  </si>
  <si>
    <t>SPM/463/2025</t>
  </si>
  <si>
    <t>SPM/464/2025</t>
  </si>
  <si>
    <t>SPM/465/2025</t>
  </si>
  <si>
    <t>SPM/466/2025</t>
  </si>
  <si>
    <t>SPM/467/2025</t>
  </si>
  <si>
    <t>SPM/468/2025</t>
  </si>
  <si>
    <t>SPM/469/2025</t>
  </si>
  <si>
    <t>SPM/470/2025</t>
  </si>
  <si>
    <t>SPM/471/2025</t>
  </si>
  <si>
    <t>SPM/472/2025</t>
  </si>
  <si>
    <t>SPM/473/2025</t>
  </si>
  <si>
    <t>SPM/474/2025</t>
  </si>
  <si>
    <t>SPM/475/2025</t>
  </si>
  <si>
    <t>SPM/476/2025</t>
  </si>
  <si>
    <t>SPM/477/2025</t>
  </si>
  <si>
    <t>SPM/478/2025</t>
  </si>
  <si>
    <t>SPM/479/2025</t>
  </si>
  <si>
    <t>SPM/480/2025</t>
  </si>
  <si>
    <t>SPM/481/2025</t>
  </si>
  <si>
    <t>SPM/482/2025</t>
  </si>
  <si>
    <t>SPM/483/2025</t>
  </si>
  <si>
    <t>SPM/484/2025</t>
  </si>
  <si>
    <t>SPM/485/2025</t>
  </si>
  <si>
    <t>SPM/486/2025</t>
  </si>
  <si>
    <t>SPM/487/2025</t>
  </si>
  <si>
    <t>SPM/488/2025</t>
  </si>
  <si>
    <t>SPM/489/2025</t>
  </si>
  <si>
    <t>SPM/490/2025</t>
  </si>
  <si>
    <t>SPM/491/2025</t>
  </si>
  <si>
    <t>SPM/492/2025</t>
  </si>
  <si>
    <t>SPM/493/2025</t>
  </si>
  <si>
    <t>SPM/494/2025</t>
  </si>
  <si>
    <t xml:space="preserve">WADI BANDAR </t>
  </si>
  <si>
    <t>SHREE KRISHNA SAI DEVLOPMENT CORP</t>
  </si>
  <si>
    <t>RRC VENTURE PRIVETE LIMITED</t>
  </si>
  <si>
    <t>FOREST</t>
  </si>
  <si>
    <t>RUNWAL</t>
  </si>
  <si>
    <t>AMAN CONSTRUCTION</t>
  </si>
  <si>
    <t>NOV--25</t>
  </si>
  <si>
    <t>CREAST TOWER</t>
  </si>
  <si>
    <t>ROSES AND ROCKS INFRA PVT LTD</t>
  </si>
  <si>
    <t>27AALCR5798L1ZC</t>
  </si>
  <si>
    <t>EVERSTONE INFRASTRUCTURE</t>
  </si>
  <si>
    <t>LEADING FRONTIER PVT LTD</t>
  </si>
  <si>
    <t>27AADCL2382G1ZJ</t>
  </si>
  <si>
    <t>ADHISH ENTERPRISES</t>
  </si>
  <si>
    <t>27ABRFA0802C1ZV</t>
  </si>
  <si>
    <t>AMBERNATH</t>
  </si>
  <si>
    <t>27ABFFA9816L1Z0</t>
  </si>
  <si>
    <t>SPM/495/2025</t>
  </si>
  <si>
    <t>ARICIA CONSTRUCTION</t>
  </si>
  <si>
    <t>27AAOFA9504F1ZD</t>
  </si>
  <si>
    <t>TOTAL</t>
  </si>
  <si>
    <t>SPM/496/2025</t>
  </si>
  <si>
    <t>SPM/497/2025</t>
  </si>
  <si>
    <t>SPM/498/2025</t>
  </si>
  <si>
    <t>SPM/499/2025</t>
  </si>
  <si>
    <t>SPM/500/2025</t>
  </si>
  <si>
    <t>SPM/501/2025</t>
  </si>
  <si>
    <t>SPM/502/2025</t>
  </si>
  <si>
    <t>AMAR  TEA  PVT  LTD</t>
  </si>
  <si>
    <t>27AAACA3927D2Z1</t>
  </si>
  <si>
    <t>VASHI</t>
  </si>
  <si>
    <t>SPM/503/2025</t>
  </si>
  <si>
    <t>SPM/504/2025</t>
  </si>
  <si>
    <t>SPM/505/2025</t>
  </si>
  <si>
    <t>SPM/506/2025</t>
  </si>
  <si>
    <t>SPM/507/2025</t>
  </si>
  <si>
    <t>SPM/508/2025</t>
  </si>
  <si>
    <t>VIKHROLI</t>
  </si>
  <si>
    <t>AIRPORT</t>
  </si>
  <si>
    <t>JUHU</t>
  </si>
  <si>
    <t>SPM/509/2025</t>
  </si>
  <si>
    <t>SPM/510/2025</t>
  </si>
  <si>
    <t>SPM/511/2025</t>
  </si>
  <si>
    <t>SPM/512/2025</t>
  </si>
  <si>
    <t>SPM/513/2025</t>
  </si>
  <si>
    <t>SPM/514/2025</t>
  </si>
  <si>
    <t>SPM/515/2025</t>
  </si>
  <si>
    <t>SPM/516/2025</t>
  </si>
  <si>
    <t>SPM/517/2025</t>
  </si>
  <si>
    <t>SPM/518/2025</t>
  </si>
  <si>
    <t>SPM/519/2025</t>
  </si>
  <si>
    <t>SPM/520/2025</t>
  </si>
  <si>
    <t>SPM/521/2025</t>
  </si>
  <si>
    <t>SPM/522/2025</t>
  </si>
  <si>
    <t>SPM/523/2025</t>
  </si>
  <si>
    <t>SPM/524/2025</t>
  </si>
  <si>
    <t>SPM/525/2025</t>
  </si>
  <si>
    <t>SPM/526/2025</t>
  </si>
  <si>
    <t>SPM/527/2025</t>
  </si>
  <si>
    <t>SPM/528/2025</t>
  </si>
  <si>
    <t>SPM/529/2025</t>
  </si>
  <si>
    <t>SPM/530/2025</t>
  </si>
  <si>
    <t>SPM/531/2025</t>
  </si>
  <si>
    <t>SPM/532/2025</t>
  </si>
  <si>
    <t>SPM/533/2025</t>
  </si>
  <si>
    <t>SPM/534/2025</t>
  </si>
  <si>
    <t>SPM/535/2025</t>
  </si>
  <si>
    <t>SPM/536/2025</t>
  </si>
  <si>
    <t>SPM/537/2025</t>
  </si>
  <si>
    <t>SPM/538/2025</t>
  </si>
  <si>
    <t>SPM/539/2025</t>
  </si>
  <si>
    <t>SPM/540/2025</t>
  </si>
  <si>
    <t>VILE PARLE</t>
  </si>
  <si>
    <t>SPM/541/2025</t>
  </si>
  <si>
    <t>SPM/542/2025</t>
  </si>
  <si>
    <t>SPM/543/2025</t>
  </si>
  <si>
    <t>SPM/544/2025</t>
  </si>
  <si>
    <t>SPM/545/2025</t>
  </si>
  <si>
    <t>SPM/546/2025</t>
  </si>
  <si>
    <t>SPM/547/2025</t>
  </si>
  <si>
    <t>SPM/548/2025</t>
  </si>
  <si>
    <t>SPM/549/2025</t>
  </si>
  <si>
    <t>SPM/550/2025</t>
  </si>
  <si>
    <t>KOTIAN REALTORS LLP</t>
  </si>
  <si>
    <t>27AAXFK5982A1ZU</t>
  </si>
  <si>
    <t>COMPONIX INDIA PVT LTD</t>
  </si>
  <si>
    <t>27AAICC4314N1ZG</t>
  </si>
  <si>
    <t>TARDEO</t>
  </si>
  <si>
    <t>TEX YEAR INDUSTRIAL ADHESIVES PVT. LTD.</t>
  </si>
  <si>
    <t xml:space="preserve">27AABCI9489B1ZC  </t>
  </si>
  <si>
    <t>NAVKAR LOGISTICS PVT. LTD.</t>
  </si>
  <si>
    <t>27AABCN9273A1ZJ</t>
  </si>
  <si>
    <t>SPM/551/2025</t>
  </si>
  <si>
    <t>SPM/552/2025</t>
  </si>
  <si>
    <t>SPM/553/2025</t>
  </si>
  <si>
    <t>SPM/554/2025</t>
  </si>
  <si>
    <t>SPM/555/2025</t>
  </si>
  <si>
    <t>SPM/556/2025</t>
  </si>
  <si>
    <t>SPM/557/2O25</t>
  </si>
  <si>
    <t>SPM/558/2025</t>
  </si>
  <si>
    <t>PAREL</t>
  </si>
  <si>
    <t>SPM/559/2025</t>
  </si>
  <si>
    <t>SPM/560/2025</t>
  </si>
  <si>
    <t>SPM/561/2025</t>
  </si>
  <si>
    <t>SPM/562/2025</t>
  </si>
  <si>
    <t>SPM/563/2025</t>
  </si>
  <si>
    <t>SPM/564/2025</t>
  </si>
  <si>
    <t>SPM/565/2025</t>
  </si>
  <si>
    <t>SPM/566/2025</t>
  </si>
  <si>
    <t>SPM/567/2025</t>
  </si>
  <si>
    <t>SPM/568/2025</t>
  </si>
  <si>
    <t>SPM/569/2025</t>
  </si>
  <si>
    <t>SPM/570/2025</t>
  </si>
  <si>
    <t>SPM/571/2025</t>
  </si>
  <si>
    <t>SPM/572/2025</t>
  </si>
  <si>
    <t>SPM/573/2025</t>
  </si>
  <si>
    <t>SPM/574/2025</t>
  </si>
  <si>
    <t>SPM/575/2025</t>
  </si>
  <si>
    <t>SPM/576/2025</t>
  </si>
  <si>
    <t>SPM/577/2025</t>
  </si>
  <si>
    <t>SPM/578/2025</t>
  </si>
  <si>
    <t>SPM/579/2025</t>
  </si>
  <si>
    <t>SPM/580/2025</t>
  </si>
  <si>
    <t>SPM/581/2025</t>
  </si>
  <si>
    <t>SPM/582/2025</t>
  </si>
  <si>
    <t>SPM/583/2025</t>
  </si>
  <si>
    <t>SPM/584/2025</t>
  </si>
  <si>
    <t>SPM/585/2025</t>
  </si>
  <si>
    <t>SPM/586/2025</t>
  </si>
  <si>
    <t>SPM/587/2025</t>
  </si>
  <si>
    <t>SPM/588/2025</t>
  </si>
  <si>
    <t>SPM/589/2025</t>
  </si>
  <si>
    <t>SPM/590/2025</t>
  </si>
  <si>
    <t>SPM/591/2025</t>
  </si>
  <si>
    <t>SPM/592/2025</t>
  </si>
  <si>
    <t>SPM/593/2025</t>
  </si>
  <si>
    <t>SPM/594/2025</t>
  </si>
  <si>
    <t>SPM/595/2025</t>
  </si>
  <si>
    <t>SPM/596/2025</t>
  </si>
  <si>
    <t>SPM/597/2025</t>
  </si>
  <si>
    <t>SPM/598/2025</t>
  </si>
  <si>
    <t>SPM/599/2025</t>
  </si>
  <si>
    <t>SPM/600/2025</t>
  </si>
  <si>
    <t>SPM/601/2025</t>
  </si>
  <si>
    <t>SPM/602/2025</t>
  </si>
  <si>
    <t>SPM/603/2025</t>
  </si>
  <si>
    <t>SPM/604/2025</t>
  </si>
  <si>
    <t>SPM/605/2025</t>
  </si>
  <si>
    <t>SPM/606/2025</t>
  </si>
  <si>
    <t>LLOYDS ENGINEERING WORKS LTD.</t>
  </si>
  <si>
    <t>27AAACE9285C1ZL</t>
  </si>
  <si>
    <t>SPM/607/2025</t>
  </si>
  <si>
    <t>WADALA</t>
  </si>
  <si>
    <t>SPM/608/2025</t>
  </si>
  <si>
    <t>SPM/609/2025</t>
  </si>
  <si>
    <t>SPM/610/2025</t>
  </si>
  <si>
    <t>SPM/611/2025</t>
  </si>
  <si>
    <t>SPM/612/2025</t>
  </si>
  <si>
    <t>SPM/613/2025</t>
  </si>
  <si>
    <t>SPM/614/2025</t>
  </si>
  <si>
    <t>SPM/615/2025</t>
  </si>
  <si>
    <t>SPM/616/2025</t>
  </si>
  <si>
    <t>SPM/617/2025</t>
  </si>
  <si>
    <t>SPM/618/2025</t>
  </si>
  <si>
    <t>SPM/619/2025</t>
  </si>
  <si>
    <t>SPM/620/2025</t>
  </si>
  <si>
    <t>SPM/621/2025</t>
  </si>
  <si>
    <t>SPM/622/2025</t>
  </si>
  <si>
    <t>SPM/623/2025</t>
  </si>
  <si>
    <t>SPM/624/2025</t>
  </si>
  <si>
    <t>SPM/625/2025</t>
  </si>
  <si>
    <t>SPM/626/2025</t>
  </si>
  <si>
    <t>SPM/627/2025</t>
  </si>
  <si>
    <t>SPM/628/2025</t>
  </si>
  <si>
    <t>SPM/629/2025</t>
  </si>
  <si>
    <t>SPM/630/2025</t>
  </si>
  <si>
    <t>SPM/631/2025</t>
  </si>
  <si>
    <t>SPM/632/2025</t>
  </si>
  <si>
    <t>SPM/633/2025</t>
  </si>
  <si>
    <t>SPM/634/2025</t>
  </si>
  <si>
    <t>SPM/635/2025</t>
  </si>
  <si>
    <t>SPM/636/2025</t>
  </si>
  <si>
    <t>SPM/637/2025</t>
  </si>
  <si>
    <t>SPM/638/2025</t>
  </si>
  <si>
    <t>SPM/639/2025</t>
  </si>
  <si>
    <t>SPM/640/2025</t>
  </si>
  <si>
    <t>SPM/641/2025</t>
  </si>
  <si>
    <t>SPM/642/2025</t>
  </si>
  <si>
    <t>SPM/643/2025</t>
  </si>
  <si>
    <t>SPM/644/2025</t>
  </si>
  <si>
    <t>SPM/645/2025</t>
  </si>
  <si>
    <t>SPM/646/2025</t>
  </si>
  <si>
    <t>SPM/647/2025</t>
  </si>
  <si>
    <t>SPM/648/2025</t>
  </si>
  <si>
    <t>SPM/649/2025</t>
  </si>
  <si>
    <t>SPM/650/2025</t>
  </si>
  <si>
    <t>SPM/651/2025</t>
  </si>
  <si>
    <t>SPM/652/2025</t>
  </si>
  <si>
    <t>SPM/653/2025</t>
  </si>
  <si>
    <t>SPM/654/2025</t>
  </si>
  <si>
    <t>SPM/655/2025</t>
  </si>
  <si>
    <t>SPM/656/2025</t>
  </si>
  <si>
    <t>SPM/657/2025</t>
  </si>
  <si>
    <t>SPM/658/2025</t>
  </si>
  <si>
    <t>SPM/659/2025</t>
  </si>
  <si>
    <t>SPM/660/2025</t>
  </si>
  <si>
    <t>SPM/661/2025</t>
  </si>
  <si>
    <t>DEC--25</t>
  </si>
  <si>
    <t>JAN--26</t>
  </si>
  <si>
    <t>FEB--26</t>
  </si>
  <si>
    <t>27AACC06852F1ZC</t>
  </si>
  <si>
    <t>NERUL</t>
  </si>
  <si>
    <t>00-01-26</t>
  </si>
  <si>
    <t>RECIVED</t>
  </si>
  <si>
    <t>SPM/662/2025</t>
  </si>
  <si>
    <t>SPM/663/2025</t>
  </si>
  <si>
    <t>SPM/664/2025</t>
  </si>
  <si>
    <t>SPM/665/2025</t>
  </si>
  <si>
    <t>SPM/666/2025</t>
  </si>
  <si>
    <t>SPM/667/2025</t>
  </si>
  <si>
    <t>SPM/668/2025</t>
  </si>
  <si>
    <t>SPM/669/2025</t>
  </si>
  <si>
    <t>SPM/670/2025</t>
  </si>
  <si>
    <t>SPM/671/2025</t>
  </si>
  <si>
    <t>SPM/672/2025</t>
  </si>
  <si>
    <t>SPM/673/2025</t>
  </si>
  <si>
    <t>SPM/674/2025</t>
  </si>
  <si>
    <t>SPM/675/2025</t>
  </si>
  <si>
    <t>SPM/676/2025</t>
  </si>
  <si>
    <t>SPM/677/2025</t>
  </si>
  <si>
    <t>SPM/678/2025</t>
  </si>
  <si>
    <t>SPM/679/2025</t>
  </si>
  <si>
    <t>KEAN CONSTRUCTION PVT LTD</t>
  </si>
  <si>
    <t>27AALCK0070G1ZN</t>
  </si>
  <si>
    <t>SID HOSPITALITY PVT LTD</t>
  </si>
  <si>
    <t>27AALCS3715Q1ZO</t>
  </si>
  <si>
    <r>
      <t xml:space="preserve">                                                                        </t>
    </r>
    <r>
      <rPr>
        <b/>
        <sz val="14"/>
        <color theme="1"/>
        <rFont val="Calibri Light"/>
        <family val="2"/>
        <scheme val="major"/>
      </rPr>
      <t xml:space="preserve"> WEST BEST BUILDCON</t>
    </r>
  </si>
  <si>
    <t xml:space="preserve">RECIVED </t>
  </si>
  <si>
    <r>
      <t xml:space="preserve">       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GST REFUND</t>
    </r>
  </si>
  <si>
    <t>ok</t>
  </si>
  <si>
    <t>PENDING</t>
  </si>
  <si>
    <t>CLEAR</t>
  </si>
  <si>
    <t>ONLY GST PENDING</t>
  </si>
  <si>
    <t>BALANCE3</t>
  </si>
  <si>
    <t>SPM/001/2026-27</t>
  </si>
  <si>
    <t>SPM/002/2026-27</t>
  </si>
  <si>
    <t>SPM/003/2026-27</t>
  </si>
  <si>
    <t>SPM/004/2026-27</t>
  </si>
  <si>
    <t>SPM/005/2026-27</t>
  </si>
  <si>
    <t>SPM/006/2026-27</t>
  </si>
  <si>
    <t>SPM/007/2026-27</t>
  </si>
  <si>
    <t>SPM/008/2026-27</t>
  </si>
  <si>
    <t>SPM/009/2026-27</t>
  </si>
  <si>
    <t>SPM/010/2026-27</t>
  </si>
  <si>
    <t>SPM/011/2026-27</t>
  </si>
  <si>
    <t>SPM/012/2026-27</t>
  </si>
  <si>
    <t>SPM/013/2026-27</t>
  </si>
  <si>
    <t>SPM/014/2026-27</t>
  </si>
  <si>
    <t>SPM/015/2026-27</t>
  </si>
  <si>
    <t>SPM/016/2026-27</t>
  </si>
  <si>
    <t>SPM/017/2026-27</t>
  </si>
  <si>
    <t>SPM/018/2026-27</t>
  </si>
  <si>
    <t>SPM/019/2026-27</t>
  </si>
  <si>
    <t>SPM/020/2026-27</t>
  </si>
  <si>
    <t>SPM/021/2026-27</t>
  </si>
  <si>
    <t>SPM/030/2026-27</t>
  </si>
  <si>
    <t>SPM/031/2026-27</t>
  </si>
  <si>
    <t>SPM/011A/2026-27</t>
  </si>
  <si>
    <t>SPM/022/2026-27</t>
  </si>
  <si>
    <t>SPM/023/2026-27</t>
  </si>
  <si>
    <t>SPM/024/2026-27</t>
  </si>
  <si>
    <t>SPM/025/2026-27</t>
  </si>
  <si>
    <t>SPM/026/2026-27</t>
  </si>
  <si>
    <t>SPM/027/2026-27</t>
  </si>
  <si>
    <t>SPM/028/2026-27</t>
  </si>
  <si>
    <t>SPM/029/2026-27</t>
  </si>
  <si>
    <t>SPM/032/2026-27</t>
  </si>
  <si>
    <t>SPM/033/2026-27</t>
  </si>
  <si>
    <t>SPM/034/2026-27</t>
  </si>
  <si>
    <t>SPM/035/2026-27</t>
  </si>
  <si>
    <t>SPM/036/2026-27</t>
  </si>
  <si>
    <t>SPM/037/2026-27</t>
  </si>
  <si>
    <t>SPM/038/2026-27</t>
  </si>
  <si>
    <t>SPM/039/2026-27</t>
  </si>
  <si>
    <t>SPM/040/2026-27</t>
  </si>
  <si>
    <t>SPM/041/2026-27</t>
  </si>
  <si>
    <t>SPM/042/2026-27</t>
  </si>
  <si>
    <t>SPM/043/2026-27</t>
  </si>
  <si>
    <t>SPM/044/2026-27</t>
  </si>
  <si>
    <t>SPM/045/2026-27</t>
  </si>
  <si>
    <t>SPM/046/2026-27</t>
  </si>
  <si>
    <t>SPM/047/2026-27</t>
  </si>
  <si>
    <t>SPM/048/2026-27</t>
  </si>
  <si>
    <t>SPM/049/2026-27</t>
  </si>
  <si>
    <t>SPM/050/2026-27</t>
  </si>
  <si>
    <t>CANCEL</t>
  </si>
  <si>
    <t>SPM/051/2026-27</t>
  </si>
  <si>
    <t>SPM/052/2026-27</t>
  </si>
  <si>
    <t>SPM/053/2026-27</t>
  </si>
  <si>
    <t>SPM/054/2026-27</t>
  </si>
  <si>
    <t>SPM/055/2026-27</t>
  </si>
  <si>
    <t>SPM/056/2026-27</t>
  </si>
  <si>
    <t>SPM/057/2026-27</t>
  </si>
  <si>
    <t>SPM/059/2026-27</t>
  </si>
  <si>
    <r>
      <t>SPM/04</t>
    </r>
    <r>
      <rPr>
        <b/>
        <sz val="11"/>
        <color theme="1"/>
        <rFont val="Calibri Light"/>
        <family val="2"/>
      </rPr>
      <t>6</t>
    </r>
    <r>
      <rPr>
        <sz val="11"/>
        <color theme="1"/>
        <rFont val="Calibri Light"/>
        <family val="2"/>
      </rPr>
      <t>/2026-27</t>
    </r>
  </si>
  <si>
    <t>NEFT CR-MAHB0000972-AHLUWALIA CONTRACTS I LTD-SAMARTH PEST MANAGEMENT-MAHBN62025111431264783</t>
  </si>
  <si>
    <t>BALANCE4</t>
  </si>
  <si>
    <t>BALANCE5</t>
  </si>
  <si>
    <t>NEFT CR-ICIC0SF0002-AHLUWALIA CONTRACTS (INDIA) LIMITED-SAMARTHPESTMANAGEMENT-ICICN42025082657378888</t>
  </si>
  <si>
    <t>NEFT CR-INDB0000006-AHLUWALIA CONTRACTS (INDIA) LIMITED-SAMARTH PEST MANAGEMENT-INDBN52025092001875099</t>
  </si>
  <si>
    <t>MAR--26</t>
  </si>
  <si>
    <t>APR--26</t>
  </si>
  <si>
    <t>AVENUE</t>
  </si>
  <si>
    <t>SPM/060/2026-27</t>
  </si>
  <si>
    <t>BALANCE PAYMENT LIST - UP TO   18/05/2026</t>
  </si>
  <si>
    <t>CASH</t>
  </si>
  <si>
    <t>SPM/049A/2026-27</t>
  </si>
  <si>
    <t>SPM/061/2026-27</t>
  </si>
  <si>
    <t>SPM/062/2026-27</t>
  </si>
  <si>
    <t>SPM/063/2026-27</t>
  </si>
  <si>
    <t>SPM/064/2026-27</t>
  </si>
  <si>
    <t>SPM/065/2026-27</t>
  </si>
  <si>
    <t>SPM/066/2026-27</t>
  </si>
  <si>
    <t>SPM/067/2026-27</t>
  </si>
  <si>
    <t>SPM/068/2026-27</t>
  </si>
  <si>
    <t>SPM/069/2026-27</t>
  </si>
  <si>
    <t>SPM/070/2026-27</t>
  </si>
  <si>
    <t>SPM/071/2026-27</t>
  </si>
  <si>
    <t>SPM/072/2026-27</t>
  </si>
  <si>
    <t>SPM/073/2026-27</t>
  </si>
  <si>
    <t>SPM/074/2026-27</t>
  </si>
  <si>
    <t>SPM/075/2026-27</t>
  </si>
  <si>
    <t>SPM/076/2026-27</t>
  </si>
  <si>
    <t>SPM/077/2026-27</t>
  </si>
  <si>
    <t>SPM/078/2026-27</t>
  </si>
  <si>
    <t>SPM/079/2026-27</t>
  </si>
  <si>
    <t>SPM/080/2026-27</t>
  </si>
  <si>
    <t>SPM/081/2026-27</t>
  </si>
  <si>
    <t>SPM/082/2026-27</t>
  </si>
  <si>
    <t>SPM/083/2026-27</t>
  </si>
  <si>
    <t>SPM/084/2026-27</t>
  </si>
  <si>
    <t>SPM/085/2026-27</t>
  </si>
  <si>
    <t>SPM/086/2026-27</t>
  </si>
  <si>
    <t>SPM/087/2026-27</t>
  </si>
  <si>
    <t>SPM/088/2026-27</t>
  </si>
  <si>
    <t>SPM/089/2026-27</t>
  </si>
  <si>
    <t>SPM/090/2026-27</t>
  </si>
  <si>
    <t>SPM/091/2026-27</t>
  </si>
  <si>
    <t>SPM/092/2026-27</t>
  </si>
  <si>
    <t>SPM/093/2026-27</t>
  </si>
  <si>
    <t>SPM/094/2026-27</t>
  </si>
  <si>
    <t>SPM/095/2026-27</t>
  </si>
  <si>
    <t>SPM/096/2026-27</t>
  </si>
  <si>
    <t>SPM/097/2026-27</t>
  </si>
  <si>
    <t>SPM/098/2026-27</t>
  </si>
  <si>
    <t>SPM/099/2026-27</t>
  </si>
  <si>
    <t>SPM/100/2026-27</t>
  </si>
  <si>
    <t>SPM/101/2026-27</t>
  </si>
  <si>
    <t>SPM/102/2026-27</t>
  </si>
  <si>
    <t>SPM/103/2026-27</t>
  </si>
  <si>
    <t>SPM/104/2026-27</t>
  </si>
  <si>
    <t>SPM/105/2026-27</t>
  </si>
  <si>
    <t>SPM/106/2026-27</t>
  </si>
  <si>
    <t>SPM/107/2026-27</t>
  </si>
  <si>
    <t>SPM/108/2026-27</t>
  </si>
  <si>
    <t>SPM/109/2026-27</t>
  </si>
  <si>
    <t>SPM/110/2026-27</t>
  </si>
  <si>
    <t>SPM/111/2026-27</t>
  </si>
  <si>
    <t>SPM/112/2026-27</t>
  </si>
  <si>
    <t>SPM/113/2026-27</t>
  </si>
  <si>
    <t>SPM/114/2026-27</t>
  </si>
  <si>
    <t>SPM/115/2026-27</t>
  </si>
  <si>
    <t>SPM/116/2026-27</t>
  </si>
  <si>
    <t>SPM/117/2026-27</t>
  </si>
  <si>
    <t>SPM/118/2026-27</t>
  </si>
  <si>
    <t>SPM/119/2026-27</t>
  </si>
  <si>
    <t>SPM/120/2026-27</t>
  </si>
  <si>
    <t>SPM/058/2026-27</t>
  </si>
  <si>
    <t>MIRA ROAD</t>
  </si>
  <si>
    <t>GST  REFUND  TO  DO</t>
  </si>
  <si>
    <t>GET REFUND</t>
  </si>
  <si>
    <t>APRIL--26</t>
  </si>
  <si>
    <t>REMARK</t>
  </si>
  <si>
    <t>RECEIVED</t>
  </si>
  <si>
    <t>INVOICE  NO</t>
  </si>
  <si>
    <t>LOCATION</t>
  </si>
  <si>
    <t>INVOICE AMT</t>
  </si>
  <si>
    <t xml:space="preserve">VEENA </t>
  </si>
  <si>
    <t>SPM/113A/2026-27</t>
  </si>
  <si>
    <t>MAY--26</t>
  </si>
  <si>
    <t>2-7=26</t>
  </si>
  <si>
    <t>SPM/121/2026-27</t>
  </si>
  <si>
    <t>SPM/122/2026-27</t>
  </si>
  <si>
    <t>SPM/123/2026-27</t>
  </si>
  <si>
    <t>SPM/124/2026-27</t>
  </si>
  <si>
    <t>SPM/125/2026-27</t>
  </si>
  <si>
    <t>SPM/126/2026-27</t>
  </si>
  <si>
    <t>SPM/127/2026-27</t>
  </si>
  <si>
    <t>SPM/128/2026-27</t>
  </si>
  <si>
    <t>SPM/129/2026-27</t>
  </si>
  <si>
    <t>SPM/130/2026-27</t>
  </si>
  <si>
    <t>SPM/131/2026-27</t>
  </si>
  <si>
    <t>SPM/132/2026-27</t>
  </si>
  <si>
    <t>SPM/133/2026-27</t>
  </si>
  <si>
    <t>SPM/134/2026-27</t>
  </si>
  <si>
    <t>SPM/135/2026-27</t>
  </si>
  <si>
    <t>SPM/136/2026-27</t>
  </si>
  <si>
    <t>SPM/137/2026-27</t>
  </si>
  <si>
    <t>SPM/138/2026-27</t>
  </si>
  <si>
    <t>SPM/139/2026-27</t>
  </si>
  <si>
    <t>SPM/140/2026-27</t>
  </si>
  <si>
    <t>SPM/141/2026-27</t>
  </si>
  <si>
    <t>SPM/142/2026-27</t>
  </si>
  <si>
    <t>SPM/143/2026-27</t>
  </si>
  <si>
    <t>SPM/144/2026-27</t>
  </si>
  <si>
    <t>SPM/145/2026-27</t>
  </si>
  <si>
    <t>SPM/146/2026-27</t>
  </si>
  <si>
    <t>SPM/147/2026-27</t>
  </si>
  <si>
    <t>SPM/148/2026-27</t>
  </si>
  <si>
    <t>SPM/149/2026-27</t>
  </si>
  <si>
    <t>SPM/150/2026-27</t>
  </si>
  <si>
    <t>SPM/151/2026-27</t>
  </si>
  <si>
    <t>SPM/152/2026-27</t>
  </si>
  <si>
    <t>SPM/153/2026-27</t>
  </si>
  <si>
    <t>SPM/154/2026-27</t>
  </si>
  <si>
    <t>SPM/155/2026-27</t>
  </si>
  <si>
    <t>SPM/156/2026-27</t>
  </si>
  <si>
    <t>SPM/157/2026-27</t>
  </si>
  <si>
    <t>SPM/158/2026-27</t>
  </si>
  <si>
    <t>SPM/159/2026-27</t>
  </si>
  <si>
    <t>SPM/160/2026-27</t>
  </si>
  <si>
    <t>SPM/161/2026-27</t>
  </si>
  <si>
    <t>SPM/162/2026-27</t>
  </si>
  <si>
    <t>SPM/163/2026-27</t>
  </si>
  <si>
    <t>SPM/164/2026-27</t>
  </si>
  <si>
    <t>SPM/165/2026-27</t>
  </si>
  <si>
    <t>SPM/166/2026-27</t>
  </si>
  <si>
    <t>SPM/167/2026-27</t>
  </si>
  <si>
    <t>SPM/168/2026-27</t>
  </si>
  <si>
    <t>SPM/169/2026-27</t>
  </si>
  <si>
    <t>SPM/170/2026-27</t>
  </si>
  <si>
    <t>SPM/171/2026-27</t>
  </si>
  <si>
    <t>SPM/172/2026-27</t>
  </si>
  <si>
    <t>SPM/173/2026-27</t>
  </si>
  <si>
    <t>SPM/174/2026-27</t>
  </si>
  <si>
    <t>SPM/175/2026-27</t>
  </si>
  <si>
    <t>SPM/176/2026-27</t>
  </si>
  <si>
    <t>SPM/177/2026-27</t>
  </si>
  <si>
    <t>TOTAL BALANCE</t>
  </si>
  <si>
    <r>
      <t xml:space="preserve">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 BALANCE PAYMENT DETAILS</t>
    </r>
  </si>
  <si>
    <t>812.00 Balance</t>
  </si>
  <si>
    <t>previous BALANCE</t>
  </si>
  <si>
    <t>Total</t>
  </si>
  <si>
    <t>JUN--26</t>
  </si>
  <si>
    <t>JUL--26</t>
  </si>
  <si>
    <t>SENGHANI CREATORS PVT LTD(DELTA)</t>
  </si>
  <si>
    <t>NAVI MUMBAI</t>
  </si>
  <si>
    <t>SENGHANI CREATORS PVT LTD(LAKHANI)</t>
  </si>
  <si>
    <t>MUMBAI</t>
  </si>
  <si>
    <t>SENGHANI CREATORS PVT LTD(TEJUKAYA)</t>
  </si>
  <si>
    <t>LALBAUG</t>
  </si>
  <si>
    <t>SENGHANI CREATORS PVT LTD(RUNWAL FOREST)</t>
  </si>
  <si>
    <t>SENGHANI CREATORS PVT LTD(LEELA)</t>
  </si>
  <si>
    <t>SENGHANI CREATORS PVT LTD(P.B. GLOBAL)</t>
  </si>
  <si>
    <t>GHODBUNDER</t>
  </si>
  <si>
    <t>SENGHANI CREATORS PVT LTD(RUNWAL AVENUE COOMON PRJ-PH)</t>
  </si>
  <si>
    <t>KANJURMARG</t>
  </si>
  <si>
    <t>SENGHANI CREATORS PVT LTD(VEENA INSIGNIA)</t>
  </si>
  <si>
    <t>SENGHANI CREATORS PVT LTD(KOLSHET)</t>
  </si>
  <si>
    <t>SENGHANI CREATORS PVT LTD(CCI)</t>
  </si>
  <si>
    <t>RBH BUILDTECH</t>
  </si>
  <si>
    <t>19ADHPH1218H1ZS</t>
  </si>
  <si>
    <t>POWAI</t>
  </si>
  <si>
    <t>SENGHANI CREATORS PVT LTD (DELTA)</t>
  </si>
  <si>
    <t>SENGHANI CREATORS PVT LTD (LAKHANI)</t>
  </si>
  <si>
    <t>SENGHANI CREATORS PVT LTD (TEJUKAYA)</t>
  </si>
  <si>
    <t>SENGHANI CREATORS PVT LTD (RUNWAL FOREST)</t>
  </si>
  <si>
    <t>SENGHANI CREATORS PVT LTD (LEELA)</t>
  </si>
  <si>
    <t>SENGHANI CREATORS PVT LTD (P.B.GLOBAL)</t>
  </si>
  <si>
    <t>SENGHANI CREATORS PVT LTD (RUNWAL AVENUE)</t>
  </si>
  <si>
    <t>SENGHANI CREATORS PVT LTD (VEENA)</t>
  </si>
  <si>
    <t>SENGHANI CREATORS PVT LTD (KOLSHET)</t>
  </si>
  <si>
    <t>SENGHANI CREATORS PVT LTD (CCI)</t>
  </si>
  <si>
    <t>KOLTE PATIL DEVELOPERS LTD.</t>
  </si>
  <si>
    <t>27AAACK7310G1ZT</t>
  </si>
  <si>
    <t>KABIR CONSTRUCTION</t>
  </si>
  <si>
    <t>27CGIPC1869H1ZA</t>
  </si>
  <si>
    <t>KOLSHET</t>
  </si>
  <si>
    <t>RIVALI PARK</t>
  </si>
  <si>
    <t>SPM/178/2026-27</t>
  </si>
  <si>
    <t>SPM/179/2026-27</t>
  </si>
  <si>
    <t>SPM/180/2026-27</t>
  </si>
  <si>
    <t>M S K A &amp; CO</t>
  </si>
  <si>
    <t>27AAYFM1588K1ZC</t>
  </si>
  <si>
    <t>SPM/181/2026-27</t>
  </si>
  <si>
    <t>SPM/182/2026-27</t>
  </si>
  <si>
    <t>SPM/183/2026-27</t>
  </si>
  <si>
    <t>SPM/184/2026-27</t>
  </si>
  <si>
    <t>SPM/185/2026-27</t>
  </si>
  <si>
    <t>SPM/186/2026-27</t>
  </si>
  <si>
    <t>SPM/187/2026-27</t>
  </si>
  <si>
    <t>SPM/188/2026-27</t>
  </si>
  <si>
    <t>SPM/189/2026-27</t>
  </si>
  <si>
    <t>SPM/190/2026-27</t>
  </si>
  <si>
    <t>SPM/191/2026-27</t>
  </si>
  <si>
    <t>SPM/184 B/2026-27</t>
  </si>
  <si>
    <t>SPM/184 A/2026-27</t>
  </si>
  <si>
    <t>SPM/192/2026-27</t>
  </si>
  <si>
    <t>SPM/193/2026-27</t>
  </si>
  <si>
    <t>SPM/194/2026-27</t>
  </si>
  <si>
    <t>SPM/195/2026-27</t>
  </si>
  <si>
    <t>SPM/196/2026-27</t>
  </si>
  <si>
    <t>SPM/197/2026-27</t>
  </si>
  <si>
    <t>SPM/198/2026-27</t>
  </si>
  <si>
    <t>SPM/199/2026-27</t>
  </si>
  <si>
    <t>SPM/200/2026-27</t>
  </si>
  <si>
    <t>AUG--26</t>
  </si>
  <si>
    <t xml:space="preserve">SENGHANI CREATORS PVT LTD </t>
  </si>
  <si>
    <t>SPM/184 C/2026-27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</si>
</sst>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C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4" tint="-0.499984740745262"/>
      <name val="Calibri Light"/>
      <family val="2"/>
      <scheme val="major"/>
    </font>
    <font>
      <sz val="1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4" tint="-0.49998474074526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rgb="FFFFFF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C00000"/>
      <name val="Calibri Light"/>
      <family val="2"/>
      <scheme val="major"/>
    </font>
    <font>
      <sz val="10"/>
      <color rgb="FFC00000"/>
      <name val="Calibri Light"/>
      <family val="2"/>
      <scheme val="major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sz val="8"/>
      <name val="Calibri"/>
      <family val="2"/>
      <scheme val="min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</font>
    <font>
      <b/>
      <sz val="14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Calibri Light"/>
      <family val="2"/>
    </font>
    <font>
      <sz val="10"/>
      <color theme="0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sz val="11"/>
      <color theme="1"/>
      <name val="Calibri Light"/>
      <family val="2"/>
      <charset val="134"/>
      <scheme val="major"/>
    </font>
    <font>
      <b/>
      <sz val="12"/>
      <color theme="1"/>
      <name val="Calibri Light"/>
      <family val="2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</font>
    <font>
      <b/>
      <sz val="16"/>
      <color theme="1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8"/>
      </top>
      <bottom/>
      <diagonal/>
    </border>
  </borders>
  <cellStyleXfs count="1">
    <xf numFmtId="0" fontId="0" fillId="0" borderId="0"/>
  </cellStyleXfs>
  <cellXfs count="54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0" borderId="2" xfId="0" applyFont="1" applyBorder="1" applyAlignment="1">
      <alignment horizontal="left"/>
    </xf>
    <xf numFmtId="164" fontId="5" fillId="0" borderId="1" xfId="0" applyNumberFormat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5" borderId="0" xfId="0" applyFill="1"/>
    <xf numFmtId="0" fontId="0" fillId="6" borderId="1" xfId="0" applyFill="1" applyBorder="1"/>
    <xf numFmtId="0" fontId="0" fillId="5" borderId="1" xfId="0" applyFill="1" applyBorder="1"/>
    <xf numFmtId="0" fontId="0" fillId="7" borderId="0" xfId="0" applyFill="1"/>
    <xf numFmtId="0" fontId="6" fillId="5" borderId="0" xfId="0" applyFont="1" applyFill="1"/>
    <xf numFmtId="0" fontId="0" fillId="6" borderId="0" xfId="0" applyFill="1"/>
    <xf numFmtId="0" fontId="0" fillId="8" borderId="0" xfId="0" applyFill="1"/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4" xfId="0" applyFont="1" applyFill="1" applyBorder="1"/>
    <xf numFmtId="0" fontId="5" fillId="7" borderId="1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7" fontId="5" fillId="7" borderId="1" xfId="0" applyNumberFormat="1" applyFont="1" applyFill="1" applyBorder="1" applyAlignment="1">
      <alignment horizontal="left"/>
    </xf>
    <xf numFmtId="1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5" fillId="5" borderId="4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7" borderId="1" xfId="0" applyNumberFormat="1" applyFont="1" applyFill="1" applyBorder="1"/>
    <xf numFmtId="164" fontId="5" fillId="7" borderId="3" xfId="0" applyNumberFormat="1" applyFont="1" applyFill="1" applyBorder="1"/>
    <xf numFmtId="164" fontId="5" fillId="7" borderId="5" xfId="0" applyNumberFormat="1" applyFont="1" applyFill="1" applyBorder="1"/>
    <xf numFmtId="164" fontId="5" fillId="0" borderId="3" xfId="0" applyNumberFormat="1" applyFont="1" applyBorder="1"/>
    <xf numFmtId="164" fontId="5" fillId="5" borderId="1" xfId="0" applyNumberFormat="1" applyFont="1" applyFill="1" applyBorder="1"/>
    <xf numFmtId="164" fontId="5" fillId="5" borderId="3" xfId="0" applyNumberFormat="1" applyFont="1" applyFill="1" applyBorder="1"/>
    <xf numFmtId="164" fontId="5" fillId="5" borderId="5" xfId="0" applyNumberFormat="1" applyFont="1" applyFill="1" applyBorder="1"/>
    <xf numFmtId="164" fontId="9" fillId="0" borderId="3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5" fillId="0" borderId="5" xfId="0" applyFont="1" applyBorder="1"/>
    <xf numFmtId="0" fontId="5" fillId="0" borderId="0" xfId="0" applyFont="1"/>
    <xf numFmtId="14" fontId="9" fillId="7" borderId="1" xfId="0" applyNumberFormat="1" applyFont="1" applyFill="1" applyBorder="1" applyAlignment="1">
      <alignment horizontal="center"/>
    </xf>
    <xf numFmtId="0" fontId="5" fillId="7" borderId="3" xfId="0" applyFont="1" applyFill="1" applyBorder="1"/>
    <xf numFmtId="0" fontId="13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0" fontId="5" fillId="0" borderId="3" xfId="0" applyFont="1" applyBorder="1"/>
    <xf numFmtId="0" fontId="1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7" fontId="5" fillId="0" borderId="3" xfId="0" applyNumberFormat="1" applyFont="1" applyBorder="1"/>
    <xf numFmtId="17" fontId="5" fillId="0" borderId="1" xfId="0" applyNumberFormat="1" applyFont="1" applyBorder="1"/>
    <xf numFmtId="14" fontId="12" fillId="5" borderId="1" xfId="0" applyNumberFormat="1" applyFont="1" applyFill="1" applyBorder="1" applyAlignment="1">
      <alignment horizontal="center"/>
    </xf>
    <xf numFmtId="0" fontId="5" fillId="5" borderId="3" xfId="0" applyFont="1" applyFill="1" applyBorder="1"/>
    <xf numFmtId="14" fontId="14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64" fontId="5" fillId="3" borderId="1" xfId="0" applyNumberFormat="1" applyFont="1" applyFill="1" applyBorder="1"/>
    <xf numFmtId="164" fontId="5" fillId="3" borderId="3" xfId="0" applyNumberFormat="1" applyFont="1" applyFill="1" applyBorder="1"/>
    <xf numFmtId="0" fontId="5" fillId="0" borderId="4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/>
    </xf>
    <xf numFmtId="14" fontId="5" fillId="0" borderId="1" xfId="0" applyNumberFormat="1" applyFont="1" applyBorder="1"/>
    <xf numFmtId="14" fontId="7" fillId="3" borderId="1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4" fontId="5" fillId="5" borderId="8" xfId="0" applyNumberFormat="1" applyFont="1" applyFill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64" fontId="5" fillId="0" borderId="0" xfId="0" applyNumberFormat="1" applyFont="1"/>
    <xf numFmtId="14" fontId="19" fillId="4" borderId="1" xfId="0" applyNumberFormat="1" applyFont="1" applyFill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14" fontId="5" fillId="3" borderId="8" xfId="0" applyNumberFormat="1" applyFont="1" applyFill="1" applyBorder="1" applyAlignment="1">
      <alignment horizontal="center"/>
    </xf>
    <xf numFmtId="0" fontId="5" fillId="3" borderId="10" xfId="0" applyFont="1" applyFill="1" applyBorder="1"/>
    <xf numFmtId="0" fontId="5" fillId="3" borderId="10" xfId="0" applyFont="1" applyFill="1" applyBorder="1" applyAlignment="1">
      <alignment horizontal="left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0" fillId="0" borderId="4" xfId="0" applyFont="1" applyBorder="1" applyAlignment="1">
      <alignment vertical="center"/>
    </xf>
    <xf numFmtId="14" fontId="5" fillId="3" borderId="1" xfId="0" applyNumberFormat="1" applyFont="1" applyFill="1" applyBorder="1" applyAlignment="1">
      <alignment horizontal="center"/>
    </xf>
    <xf numFmtId="164" fontId="5" fillId="3" borderId="4" xfId="0" applyNumberFormat="1" applyFont="1" applyFill="1" applyBorder="1"/>
    <xf numFmtId="164" fontId="5" fillId="3" borderId="5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4" fontId="9" fillId="3" borderId="1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5" fillId="3" borderId="3" xfId="0" applyFont="1" applyFill="1" applyBorder="1"/>
    <xf numFmtId="0" fontId="5" fillId="3" borderId="9" xfId="0" applyFont="1" applyFill="1" applyBorder="1"/>
    <xf numFmtId="0" fontId="9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4" fontId="21" fillId="5" borderId="8" xfId="0" applyNumberFormat="1" applyFont="1" applyFill="1" applyBorder="1" applyAlignment="1">
      <alignment horizontal="center"/>
    </xf>
    <xf numFmtId="0" fontId="21" fillId="5" borderId="1" xfId="0" applyFont="1" applyFill="1" applyBorder="1"/>
    <xf numFmtId="0" fontId="21" fillId="5" borderId="4" xfId="0" applyFont="1" applyFill="1" applyBorder="1"/>
    <xf numFmtId="0" fontId="21" fillId="5" borderId="1" xfId="0" applyFont="1" applyFill="1" applyBorder="1" applyAlignment="1">
      <alignment horizontal="left"/>
    </xf>
    <xf numFmtId="164" fontId="21" fillId="5" borderId="1" xfId="0" applyNumberFormat="1" applyFont="1" applyFill="1" applyBorder="1"/>
    <xf numFmtId="164" fontId="21" fillId="5" borderId="3" xfId="0" applyNumberFormat="1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1" fillId="5" borderId="3" xfId="0" applyFont="1" applyFill="1" applyBorder="1"/>
    <xf numFmtId="0" fontId="5" fillId="0" borderId="8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7" fontId="5" fillId="0" borderId="8" xfId="0" applyNumberFormat="1" applyFont="1" applyBorder="1" applyAlignment="1">
      <alignment horizontal="center"/>
    </xf>
    <xf numFmtId="14" fontId="23" fillId="0" borderId="8" xfId="0" applyNumberFormat="1" applyFont="1" applyBorder="1" applyAlignment="1">
      <alignment horizontal="center"/>
    </xf>
    <xf numFmtId="0" fontId="23" fillId="3" borderId="1" xfId="0" applyFont="1" applyFill="1" applyBorder="1"/>
    <xf numFmtId="0" fontId="23" fillId="3" borderId="1" xfId="0" applyFont="1" applyFill="1" applyBorder="1" applyAlignment="1">
      <alignment horizontal="left"/>
    </xf>
    <xf numFmtId="164" fontId="23" fillId="0" borderId="1" xfId="0" applyNumberFormat="1" applyFont="1" applyBorder="1"/>
    <xf numFmtId="164" fontId="23" fillId="0" borderId="3" xfId="0" applyNumberFormat="1" applyFont="1" applyBorder="1"/>
    <xf numFmtId="0" fontId="23" fillId="0" borderId="1" xfId="0" applyFont="1" applyBorder="1"/>
    <xf numFmtId="0" fontId="23" fillId="0" borderId="8" xfId="0" applyFont="1" applyBorder="1" applyAlignment="1">
      <alignment horizontal="center"/>
    </xf>
    <xf numFmtId="14" fontId="25" fillId="0" borderId="8" xfId="0" applyNumberFormat="1" applyFont="1" applyBorder="1" applyAlignment="1">
      <alignment horizontal="center"/>
    </xf>
    <xf numFmtId="164" fontId="25" fillId="0" borderId="1" xfId="0" applyNumberFormat="1" applyFont="1" applyBorder="1"/>
    <xf numFmtId="164" fontId="25" fillId="0" borderId="3" xfId="0" applyNumberFormat="1" applyFont="1" applyBorder="1"/>
    <xf numFmtId="0" fontId="25" fillId="0" borderId="1" xfId="0" applyFont="1" applyBorder="1"/>
    <xf numFmtId="0" fontId="25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164" fontId="5" fillId="5" borderId="4" xfId="0" applyNumberFormat="1" applyFont="1" applyFill="1" applyBorder="1"/>
    <xf numFmtId="0" fontId="5" fillId="0" borderId="6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5" borderId="9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3" borderId="1" xfId="0" applyFont="1" applyFill="1" applyBorder="1"/>
    <xf numFmtId="14" fontId="25" fillId="0" borderId="12" xfId="0" applyNumberFormat="1" applyFont="1" applyBorder="1" applyAlignment="1">
      <alignment horizontal="center"/>
    </xf>
    <xf numFmtId="0" fontId="25" fillId="0" borderId="10" xfId="0" applyFont="1" applyBorder="1"/>
    <xf numFmtId="0" fontId="25" fillId="0" borderId="10" xfId="0" applyFont="1" applyBorder="1" applyAlignment="1">
      <alignment horizontal="left"/>
    </xf>
    <xf numFmtId="164" fontId="25" fillId="0" borderId="10" xfId="0" applyNumberFormat="1" applyFont="1" applyBorder="1"/>
    <xf numFmtId="164" fontId="25" fillId="0" borderId="11" xfId="0" applyNumberFormat="1" applyFont="1" applyBorder="1"/>
    <xf numFmtId="0" fontId="25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24" fillId="0" borderId="1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17" fontId="5" fillId="5" borderId="8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 wrapText="1"/>
    </xf>
    <xf numFmtId="4" fontId="9" fillId="5" borderId="1" xfId="0" applyNumberFormat="1" applyFont="1" applyFill="1" applyBorder="1" applyAlignment="1">
      <alignment horizontal="center" vertical="center" wrapText="1"/>
    </xf>
    <xf numFmtId="164" fontId="18" fillId="5" borderId="1" xfId="0" applyNumberFormat="1" applyFont="1" applyFill="1" applyBorder="1" applyAlignment="1">
      <alignment horizontal="center"/>
    </xf>
    <xf numFmtId="164" fontId="22" fillId="5" borderId="1" xfId="0" applyNumberFormat="1" applyFont="1" applyFill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3" borderId="0" xfId="0" applyFont="1" applyFill="1"/>
    <xf numFmtId="0" fontId="21" fillId="5" borderId="0" xfId="0" applyFont="1" applyFill="1"/>
    <xf numFmtId="0" fontId="28" fillId="0" borderId="1" xfId="0" applyFont="1" applyBorder="1" applyAlignment="1">
      <alignment horizontal="center"/>
    </xf>
    <xf numFmtId="164" fontId="25" fillId="3" borderId="1" xfId="0" applyNumberFormat="1" applyFont="1" applyFill="1" applyBorder="1"/>
    <xf numFmtId="0" fontId="23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9" fillId="0" borderId="1" xfId="0" applyFont="1" applyBorder="1"/>
    <xf numFmtId="164" fontId="23" fillId="3" borderId="1" xfId="0" applyNumberFormat="1" applyFont="1" applyFill="1" applyBorder="1"/>
    <xf numFmtId="2" fontId="0" fillId="0" borderId="0" xfId="0" applyNumberFormat="1"/>
    <xf numFmtId="14" fontId="23" fillId="3" borderId="8" xfId="0" applyNumberFormat="1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164" fontId="25" fillId="3" borderId="3" xfId="0" applyNumberFormat="1" applyFont="1" applyFill="1" applyBorder="1"/>
    <xf numFmtId="0" fontId="25" fillId="3" borderId="9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14" fontId="25" fillId="3" borderId="8" xfId="0" applyNumberFormat="1" applyFont="1" applyFill="1" applyBorder="1" applyAlignment="1">
      <alignment horizontal="center"/>
    </xf>
    <xf numFmtId="3" fontId="26" fillId="3" borderId="1" xfId="0" applyNumberFormat="1" applyFont="1" applyFill="1" applyBorder="1" applyAlignment="1">
      <alignment horizontal="center"/>
    </xf>
    <xf numFmtId="14" fontId="26" fillId="3" borderId="1" xfId="0" applyNumberFormat="1" applyFont="1" applyFill="1" applyBorder="1" applyAlignment="1">
      <alignment horizontal="center"/>
    </xf>
    <xf numFmtId="164" fontId="25" fillId="3" borderId="10" xfId="0" applyNumberFormat="1" applyFont="1" applyFill="1" applyBorder="1"/>
    <xf numFmtId="0" fontId="30" fillId="0" borderId="0" xfId="0" applyFont="1"/>
    <xf numFmtId="0" fontId="31" fillId="0" borderId="0" xfId="0" applyFont="1" applyAlignment="1">
      <alignment horizontal="left"/>
    </xf>
    <xf numFmtId="14" fontId="32" fillId="0" borderId="1" xfId="0" applyNumberFormat="1" applyFont="1" applyBorder="1" applyAlignment="1">
      <alignment horizontal="left"/>
    </xf>
    <xf numFmtId="14" fontId="25" fillId="10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25" fillId="10" borderId="1" xfId="0" applyFont="1" applyFill="1" applyBorder="1"/>
    <xf numFmtId="0" fontId="25" fillId="10" borderId="1" xfId="0" applyFont="1" applyFill="1" applyBorder="1" applyAlignment="1">
      <alignment horizontal="left"/>
    </xf>
    <xf numFmtId="9" fontId="5" fillId="10" borderId="4" xfId="0" applyNumberFormat="1" applyFont="1" applyFill="1" applyBorder="1" applyAlignment="1">
      <alignment horizontal="center"/>
    </xf>
    <xf numFmtId="164" fontId="25" fillId="10" borderId="1" xfId="0" applyNumberFormat="1" applyFont="1" applyFill="1" applyBorder="1"/>
    <xf numFmtId="164" fontId="25" fillId="10" borderId="10" xfId="0" applyNumberFormat="1" applyFont="1" applyFill="1" applyBorder="1"/>
    <xf numFmtId="0" fontId="25" fillId="10" borderId="1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14" fontId="26" fillId="10" borderId="1" xfId="0" applyNumberFormat="1" applyFont="1" applyFill="1" applyBorder="1" applyAlignment="1">
      <alignment horizontal="center"/>
    </xf>
    <xf numFmtId="0" fontId="25" fillId="10" borderId="8" xfId="0" applyFont="1" applyFill="1" applyBorder="1" applyAlignment="1">
      <alignment horizontal="center"/>
    </xf>
    <xf numFmtId="164" fontId="5" fillId="10" borderId="4" xfId="0" applyNumberFormat="1" applyFont="1" applyFill="1" applyBorder="1"/>
    <xf numFmtId="164" fontId="5" fillId="10" borderId="3" xfId="0" applyNumberFormat="1" applyFont="1" applyFill="1" applyBorder="1"/>
    <xf numFmtId="0" fontId="0" fillId="10" borderId="0" xfId="0" applyFill="1"/>
    <xf numFmtId="0" fontId="0" fillId="10" borderId="1" xfId="0" applyFill="1" applyBorder="1"/>
    <xf numFmtId="14" fontId="23" fillId="10" borderId="8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164" fontId="23" fillId="10" borderId="1" xfId="0" applyNumberFormat="1" applyFont="1" applyFill="1" applyBorder="1"/>
    <xf numFmtId="164" fontId="23" fillId="10" borderId="3" xfId="0" applyNumberFormat="1" applyFont="1" applyFill="1" applyBorder="1"/>
    <xf numFmtId="0" fontId="23" fillId="10" borderId="1" xfId="0" applyFont="1" applyFill="1" applyBorder="1" applyAlignment="1">
      <alignment horizontal="center"/>
    </xf>
    <xf numFmtId="0" fontId="23" fillId="10" borderId="9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14" fontId="24" fillId="10" borderId="1" xfId="0" applyNumberFormat="1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0" fontId="23" fillId="10" borderId="1" xfId="0" applyFont="1" applyFill="1" applyBorder="1"/>
    <xf numFmtId="14" fontId="5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/>
    <xf numFmtId="0" fontId="5" fillId="10" borderId="1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4" fontId="9" fillId="10" borderId="1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3" xfId="0" applyFont="1" applyFill="1" applyBorder="1"/>
    <xf numFmtId="0" fontId="5" fillId="10" borderId="0" xfId="0" applyFont="1" applyFill="1"/>
    <xf numFmtId="14" fontId="5" fillId="10" borderId="8" xfId="0" applyNumberFormat="1" applyFont="1" applyFill="1" applyBorder="1" applyAlignment="1">
      <alignment horizontal="center"/>
    </xf>
    <xf numFmtId="0" fontId="5" fillId="10" borderId="4" xfId="0" applyFont="1" applyFill="1" applyBorder="1"/>
    <xf numFmtId="0" fontId="5" fillId="10" borderId="10" xfId="0" applyFont="1" applyFill="1" applyBorder="1"/>
    <xf numFmtId="0" fontId="5" fillId="10" borderId="4" xfId="0" applyFont="1" applyFill="1" applyBorder="1" applyAlignment="1">
      <alignment horizontal="left"/>
    </xf>
    <xf numFmtId="164" fontId="5" fillId="10" borderId="5" xfId="0" applyNumberFormat="1" applyFont="1" applyFill="1" applyBorder="1"/>
    <xf numFmtId="0" fontId="5" fillId="10" borderId="4" xfId="0" applyFont="1" applyFill="1" applyBorder="1" applyAlignment="1">
      <alignment horizontal="center"/>
    </xf>
    <xf numFmtId="164" fontId="5" fillId="10" borderId="10" xfId="0" applyNumberFormat="1" applyFont="1" applyFill="1" applyBorder="1"/>
    <xf numFmtId="0" fontId="5" fillId="10" borderId="11" xfId="0" applyFont="1" applyFill="1" applyBorder="1"/>
    <xf numFmtId="0" fontId="5" fillId="10" borderId="13" xfId="0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14" fontId="25" fillId="0" borderId="1" xfId="0" applyNumberFormat="1" applyFont="1" applyBorder="1"/>
    <xf numFmtId="3" fontId="9" fillId="3" borderId="1" xfId="0" applyNumberFormat="1" applyFont="1" applyFill="1" applyBorder="1" applyAlignment="1">
      <alignment horizontal="center"/>
    </xf>
    <xf numFmtId="14" fontId="23" fillId="0" borderId="1" xfId="0" applyNumberFormat="1" applyFont="1" applyBorder="1"/>
    <xf numFmtId="3" fontId="9" fillId="0" borderId="1" xfId="0" applyNumberFormat="1" applyFont="1" applyBorder="1" applyAlignment="1">
      <alignment horizontal="center"/>
    </xf>
    <xf numFmtId="14" fontId="5" fillId="10" borderId="1" xfId="0" applyNumberFormat="1" applyFont="1" applyFill="1" applyBorder="1"/>
    <xf numFmtId="3" fontId="24" fillId="10" borderId="1" xfId="0" applyNumberFormat="1" applyFont="1" applyFill="1" applyBorder="1" applyAlignment="1">
      <alignment horizontal="center"/>
    </xf>
    <xf numFmtId="14" fontId="25" fillId="10" borderId="12" xfId="0" applyNumberFormat="1" applyFont="1" applyFill="1" applyBorder="1" applyAlignment="1">
      <alignment horizontal="center"/>
    </xf>
    <xf numFmtId="0" fontId="25" fillId="10" borderId="10" xfId="0" applyFont="1" applyFill="1" applyBorder="1"/>
    <xf numFmtId="0" fontId="25" fillId="10" borderId="10" xfId="0" applyFont="1" applyFill="1" applyBorder="1" applyAlignment="1">
      <alignment horizontal="left"/>
    </xf>
    <xf numFmtId="164" fontId="25" fillId="10" borderId="11" xfId="0" applyNumberFormat="1" applyFont="1" applyFill="1" applyBorder="1"/>
    <xf numFmtId="0" fontId="25" fillId="10" borderId="10" xfId="0" applyFont="1" applyFill="1" applyBorder="1" applyAlignment="1">
      <alignment horizontal="center"/>
    </xf>
    <xf numFmtId="0" fontId="25" fillId="10" borderId="13" xfId="0" applyFont="1" applyFill="1" applyBorder="1" applyAlignment="1">
      <alignment horizontal="center"/>
    </xf>
    <xf numFmtId="14" fontId="23" fillId="10" borderId="1" xfId="0" applyNumberFormat="1" applyFont="1" applyFill="1" applyBorder="1"/>
    <xf numFmtId="14" fontId="25" fillId="10" borderId="8" xfId="0" applyNumberFormat="1" applyFont="1" applyFill="1" applyBorder="1" applyAlignment="1">
      <alignment horizontal="center"/>
    </xf>
    <xf numFmtId="164" fontId="25" fillId="10" borderId="3" xfId="0" applyNumberFormat="1" applyFont="1" applyFill="1" applyBorder="1"/>
    <xf numFmtId="3" fontId="26" fillId="10" borderId="1" xfId="0" applyNumberFormat="1" applyFont="1" applyFill="1" applyBorder="1" applyAlignment="1">
      <alignment horizontal="center"/>
    </xf>
    <xf numFmtId="14" fontId="25" fillId="10" borderId="10" xfId="0" applyNumberFormat="1" applyFont="1" applyFill="1" applyBorder="1"/>
    <xf numFmtId="14" fontId="14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14" fontId="9" fillId="10" borderId="3" xfId="0" applyNumberFormat="1" applyFont="1" applyFill="1" applyBorder="1" applyAlignment="1">
      <alignment horizontal="center"/>
    </xf>
    <xf numFmtId="0" fontId="25" fillId="10" borderId="9" xfId="0" applyFont="1" applyFill="1" applyBorder="1" applyAlignment="1">
      <alignment horizontal="center"/>
    </xf>
    <xf numFmtId="164" fontId="23" fillId="3" borderId="3" xfId="0" applyNumberFormat="1" applyFont="1" applyFill="1" applyBorder="1"/>
    <xf numFmtId="0" fontId="23" fillId="3" borderId="9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34" fillId="0" borderId="0" xfId="0" applyFont="1"/>
    <xf numFmtId="0" fontId="3" fillId="0" borderId="0" xfId="0" applyFont="1"/>
    <xf numFmtId="164" fontId="36" fillId="0" borderId="1" xfId="0" applyNumberFormat="1" applyFont="1" applyBorder="1"/>
    <xf numFmtId="0" fontId="35" fillId="0" borderId="1" xfId="0" applyFont="1" applyBorder="1"/>
    <xf numFmtId="0" fontId="34" fillId="0" borderId="3" xfId="0" applyFont="1" applyBorder="1"/>
    <xf numFmtId="164" fontId="36" fillId="0" borderId="8" xfId="0" applyNumberFormat="1" applyFont="1" applyBorder="1"/>
    <xf numFmtId="9" fontId="0" fillId="0" borderId="1" xfId="0" applyNumberFormat="1" applyBorder="1"/>
    <xf numFmtId="0" fontId="37" fillId="2" borderId="1" xfId="0" applyFont="1" applyFill="1" applyBorder="1" applyAlignment="1">
      <alignment horizontal="center" vertical="center"/>
    </xf>
    <xf numFmtId="164" fontId="25" fillId="5" borderId="9" xfId="0" applyNumberFormat="1" applyFont="1" applyFill="1" applyBorder="1" applyAlignment="1">
      <alignment horizontal="center"/>
    </xf>
    <xf numFmtId="14" fontId="25" fillId="11" borderId="8" xfId="0" applyNumberFormat="1" applyFont="1" applyFill="1" applyBorder="1" applyAlignment="1">
      <alignment horizontal="center"/>
    </xf>
    <xf numFmtId="0" fontId="25" fillId="11" borderId="1" xfId="0" applyFont="1" applyFill="1" applyBorder="1"/>
    <xf numFmtId="0" fontId="25" fillId="11" borderId="1" xfId="0" applyFont="1" applyFill="1" applyBorder="1" applyAlignment="1">
      <alignment horizontal="left"/>
    </xf>
    <xf numFmtId="9" fontId="5" fillId="11" borderId="4" xfId="0" applyNumberFormat="1" applyFont="1" applyFill="1" applyBorder="1" applyAlignment="1">
      <alignment horizontal="center"/>
    </xf>
    <xf numFmtId="164" fontId="25" fillId="11" borderId="1" xfId="0" applyNumberFormat="1" applyFont="1" applyFill="1" applyBorder="1"/>
    <xf numFmtId="164" fontId="25" fillId="11" borderId="3" xfId="0" applyNumberFormat="1" applyFont="1" applyFill="1" applyBorder="1"/>
    <xf numFmtId="0" fontId="25" fillId="11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164" fontId="5" fillId="11" borderId="4" xfId="0" applyNumberFormat="1" applyFont="1" applyFill="1" applyBorder="1"/>
    <xf numFmtId="164" fontId="5" fillId="11" borderId="3" xfId="0" applyNumberFormat="1" applyFont="1" applyFill="1" applyBorder="1"/>
    <xf numFmtId="0" fontId="0" fillId="11" borderId="0" xfId="0" applyFill="1"/>
    <xf numFmtId="0" fontId="0" fillId="11" borderId="1" xfId="0" applyFill="1" applyBorder="1"/>
    <xf numFmtId="0" fontId="5" fillId="11" borderId="1" xfId="0" applyFont="1" applyFill="1" applyBorder="1"/>
    <xf numFmtId="164" fontId="25" fillId="11" borderId="10" xfId="0" applyNumberFormat="1" applyFont="1" applyFill="1" applyBorder="1"/>
    <xf numFmtId="0" fontId="25" fillId="11" borderId="9" xfId="0" applyFont="1" applyFill="1" applyBorder="1" applyAlignment="1">
      <alignment horizontal="center"/>
    </xf>
    <xf numFmtId="14" fontId="23" fillId="11" borderId="8" xfId="0" applyNumberFormat="1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164" fontId="23" fillId="11" borderId="1" xfId="0" applyNumberFormat="1" applyFont="1" applyFill="1" applyBorder="1"/>
    <xf numFmtId="164" fontId="23" fillId="11" borderId="3" xfId="0" applyNumberFormat="1" applyFont="1" applyFill="1" applyBorder="1"/>
    <xf numFmtId="0" fontId="23" fillId="11" borderId="1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3" fillId="11" borderId="1" xfId="0" applyFont="1" applyFill="1" applyBorder="1"/>
    <xf numFmtId="14" fontId="5" fillId="11" borderId="1" xfId="0" applyNumberFormat="1" applyFont="1" applyFill="1" applyBorder="1" applyAlignment="1">
      <alignment horizontal="center"/>
    </xf>
    <xf numFmtId="164" fontId="5" fillId="11" borderId="1" xfId="0" applyNumberFormat="1" applyFont="1" applyFill="1" applyBorder="1"/>
    <xf numFmtId="0" fontId="5" fillId="11" borderId="1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4" fontId="5" fillId="11" borderId="8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left"/>
    </xf>
    <xf numFmtId="164" fontId="5" fillId="11" borderId="5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5" fillId="11" borderId="3" xfId="0" applyFont="1" applyFill="1" applyBorder="1"/>
    <xf numFmtId="0" fontId="5" fillId="11" borderId="0" xfId="0" applyFont="1" applyFill="1"/>
    <xf numFmtId="0" fontId="5" fillId="11" borderId="4" xfId="0" applyFont="1" applyFill="1" applyBorder="1"/>
    <xf numFmtId="164" fontId="9" fillId="11" borderId="1" xfId="0" applyNumberFormat="1" applyFont="1" applyFill="1" applyBorder="1" applyAlignment="1">
      <alignment horizontal="center"/>
    </xf>
    <xf numFmtId="14" fontId="9" fillId="11" borderId="1" xfId="0" applyNumberFormat="1" applyFont="1" applyFill="1" applyBorder="1" applyAlignment="1">
      <alignment horizontal="center"/>
    </xf>
    <xf numFmtId="14" fontId="5" fillId="11" borderId="1" xfId="0" applyNumberFormat="1" applyFont="1" applyFill="1" applyBorder="1"/>
    <xf numFmtId="164" fontId="5" fillId="11" borderId="1" xfId="0" applyNumberFormat="1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164" fontId="5" fillId="11" borderId="8" xfId="0" applyNumberFormat="1" applyFont="1" applyFill="1" applyBorder="1" applyAlignment="1">
      <alignment horizontal="center" vertical="center"/>
    </xf>
    <xf numFmtId="0" fontId="2" fillId="0" borderId="0" xfId="0" applyFont="1"/>
    <xf numFmtId="14" fontId="5" fillId="11" borderId="3" xfId="0" applyNumberFormat="1" applyFont="1" applyFill="1" applyBorder="1"/>
    <xf numFmtId="0" fontId="13" fillId="3" borderId="1" xfId="0" applyFon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 vertical="center"/>
    </xf>
    <xf numFmtId="14" fontId="5" fillId="12" borderId="8" xfId="0" applyNumberFormat="1" applyFont="1" applyFill="1" applyBorder="1" applyAlignment="1">
      <alignment horizontal="center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left"/>
    </xf>
    <xf numFmtId="0" fontId="5" fillId="12" borderId="4" xfId="0" applyFont="1" applyFill="1" applyBorder="1" applyAlignment="1">
      <alignment horizontal="left"/>
    </xf>
    <xf numFmtId="9" fontId="5" fillId="12" borderId="4" xfId="0" applyNumberFormat="1" applyFont="1" applyFill="1" applyBorder="1" applyAlignment="1">
      <alignment horizontal="center"/>
    </xf>
    <xf numFmtId="164" fontId="5" fillId="12" borderId="1" xfId="0" applyNumberFormat="1" applyFont="1" applyFill="1" applyBorder="1"/>
    <xf numFmtId="164" fontId="5" fillId="12" borderId="3" xfId="0" applyNumberFormat="1" applyFont="1" applyFill="1" applyBorder="1"/>
    <xf numFmtId="164" fontId="5" fillId="12" borderId="5" xfId="0" applyNumberFormat="1" applyFont="1" applyFill="1" applyBorder="1"/>
    <xf numFmtId="0" fontId="5" fillId="12" borderId="4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center"/>
    </xf>
    <xf numFmtId="14" fontId="9" fillId="12" borderId="1" xfId="0" applyNumberFormat="1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164" fontId="5" fillId="12" borderId="4" xfId="0" applyNumberFormat="1" applyFont="1" applyFill="1" applyBorder="1"/>
    <xf numFmtId="0" fontId="5" fillId="12" borderId="3" xfId="0" applyFont="1" applyFill="1" applyBorder="1"/>
    <xf numFmtId="0" fontId="5" fillId="12" borderId="0" xfId="0" applyFont="1" applyFill="1"/>
    <xf numFmtId="0" fontId="0" fillId="12" borderId="0" xfId="0" applyFill="1"/>
    <xf numFmtId="164" fontId="5" fillId="12" borderId="8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164" fontId="25" fillId="5" borderId="13" xfId="0" applyNumberFormat="1" applyFont="1" applyFill="1" applyBorder="1" applyAlignment="1">
      <alignment horizontal="center"/>
    </xf>
    <xf numFmtId="164" fontId="25" fillId="5" borderId="1" xfId="0" applyNumberFormat="1" applyFont="1" applyFill="1" applyBorder="1" applyAlignment="1">
      <alignment horizontal="center"/>
    </xf>
    <xf numFmtId="0" fontId="39" fillId="3" borderId="1" xfId="0" applyFont="1" applyFill="1" applyBorder="1"/>
    <xf numFmtId="0" fontId="25" fillId="11" borderId="10" xfId="0" applyFont="1" applyFill="1" applyBorder="1"/>
    <xf numFmtId="164" fontId="25" fillId="11" borderId="9" xfId="0" applyNumberFormat="1" applyFont="1" applyFill="1" applyBorder="1" applyAlignment="1">
      <alignment horizontal="center"/>
    </xf>
    <xf numFmtId="0" fontId="40" fillId="11" borderId="1" xfId="0" applyFont="1" applyFill="1" applyBorder="1" applyAlignment="1">
      <alignment horizontal="center"/>
    </xf>
    <xf numFmtId="0" fontId="25" fillId="3" borderId="10" xfId="0" applyFont="1" applyFill="1" applyBorder="1"/>
    <xf numFmtId="0" fontId="40" fillId="3" borderId="1" xfId="0" applyFont="1" applyFill="1" applyBorder="1" applyAlignment="1">
      <alignment horizontal="center"/>
    </xf>
    <xf numFmtId="3" fontId="25" fillId="0" borderId="1" xfId="0" applyNumberFormat="1" applyFont="1" applyBorder="1"/>
    <xf numFmtId="164" fontId="40" fillId="0" borderId="1" xfId="0" applyNumberFormat="1" applyFont="1" applyBorder="1"/>
    <xf numFmtId="164" fontId="41" fillId="0" borderId="1" xfId="0" applyNumberFormat="1" applyFont="1" applyBorder="1"/>
    <xf numFmtId="164" fontId="41" fillId="3" borderId="1" xfId="0" applyNumberFormat="1" applyFont="1" applyFill="1" applyBorder="1"/>
    <xf numFmtId="164" fontId="40" fillId="3" borderId="1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0" fontId="0" fillId="3" borderId="8" xfId="0" applyFill="1" applyBorder="1"/>
    <xf numFmtId="14" fontId="25" fillId="0" borderId="1" xfId="0" applyNumberFormat="1" applyFont="1" applyBorder="1" applyAlignment="1">
      <alignment horizontal="center"/>
    </xf>
    <xf numFmtId="0" fontId="5" fillId="0" borderId="8" xfId="0" applyFont="1" applyBorder="1"/>
    <xf numFmtId="0" fontId="25" fillId="0" borderId="8" xfId="0" applyFont="1" applyBorder="1"/>
    <xf numFmtId="14" fontId="25" fillId="3" borderId="1" xfId="0" applyNumberFormat="1" applyFont="1" applyFill="1" applyBorder="1" applyAlignment="1">
      <alignment horizontal="center"/>
    </xf>
    <xf numFmtId="14" fontId="23" fillId="3" borderId="1" xfId="0" applyNumberFormat="1" applyFont="1" applyFill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5" fillId="0" borderId="12" xfId="0" applyFont="1" applyBorder="1"/>
    <xf numFmtId="0" fontId="5" fillId="3" borderId="8" xfId="0" applyFont="1" applyFill="1" applyBorder="1"/>
    <xf numFmtId="0" fontId="31" fillId="0" borderId="1" xfId="0" applyFont="1" applyBorder="1" applyAlignment="1">
      <alignment horizontal="left"/>
    </xf>
    <xf numFmtId="4" fontId="26" fillId="0" borderId="1" xfId="0" applyNumberFormat="1" applyFont="1" applyBorder="1" applyAlignment="1">
      <alignment horizontal="center"/>
    </xf>
    <xf numFmtId="14" fontId="5" fillId="13" borderId="8" xfId="0" applyNumberFormat="1" applyFont="1" applyFill="1" applyBorder="1" applyAlignment="1">
      <alignment horizontal="center"/>
    </xf>
    <xf numFmtId="0" fontId="5" fillId="13" borderId="1" xfId="0" applyFont="1" applyFill="1" applyBorder="1"/>
    <xf numFmtId="0" fontId="5" fillId="13" borderId="1" xfId="0" applyFont="1" applyFill="1" applyBorder="1" applyAlignment="1">
      <alignment horizontal="left"/>
    </xf>
    <xf numFmtId="0" fontId="5" fillId="13" borderId="4" xfId="0" applyFont="1" applyFill="1" applyBorder="1" applyAlignment="1">
      <alignment horizontal="left"/>
    </xf>
    <xf numFmtId="9" fontId="5" fillId="13" borderId="4" xfId="0" applyNumberFormat="1" applyFont="1" applyFill="1" applyBorder="1" applyAlignment="1">
      <alignment horizontal="center"/>
    </xf>
    <xf numFmtId="164" fontId="5" fillId="13" borderId="1" xfId="0" applyNumberFormat="1" applyFont="1" applyFill="1" applyBorder="1"/>
    <xf numFmtId="164" fontId="5" fillId="13" borderId="3" xfId="0" applyNumberFormat="1" applyFont="1" applyFill="1" applyBorder="1"/>
    <xf numFmtId="164" fontId="5" fillId="13" borderId="5" xfId="0" applyNumberFormat="1" applyFont="1" applyFill="1" applyBorder="1"/>
    <xf numFmtId="0" fontId="5" fillId="13" borderId="4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164" fontId="9" fillId="13" borderId="1" xfId="0" applyNumberFormat="1" applyFont="1" applyFill="1" applyBorder="1" applyAlignment="1">
      <alignment horizontal="center"/>
    </xf>
    <xf numFmtId="164" fontId="5" fillId="13" borderId="4" xfId="0" applyNumberFormat="1" applyFont="1" applyFill="1" applyBorder="1"/>
    <xf numFmtId="0" fontId="5" fillId="13" borderId="0" xfId="0" applyFont="1" applyFill="1"/>
    <xf numFmtId="0" fontId="0" fillId="13" borderId="0" xfId="0" applyFill="1"/>
    <xf numFmtId="14" fontId="5" fillId="14" borderId="8" xfId="0" applyNumberFormat="1" applyFont="1" applyFill="1" applyBorder="1" applyAlignment="1">
      <alignment horizontal="center"/>
    </xf>
    <xf numFmtId="0" fontId="5" fillId="14" borderId="1" xfId="0" applyFont="1" applyFill="1" applyBorder="1"/>
    <xf numFmtId="0" fontId="5" fillId="14" borderId="1" xfId="0" applyFont="1" applyFill="1" applyBorder="1" applyAlignment="1">
      <alignment horizontal="left"/>
    </xf>
    <xf numFmtId="0" fontId="5" fillId="14" borderId="4" xfId="0" applyFont="1" applyFill="1" applyBorder="1" applyAlignment="1">
      <alignment horizontal="left"/>
    </xf>
    <xf numFmtId="9" fontId="5" fillId="14" borderId="4" xfId="0" applyNumberFormat="1" applyFont="1" applyFill="1" applyBorder="1" applyAlignment="1">
      <alignment horizontal="center"/>
    </xf>
    <xf numFmtId="164" fontId="5" fillId="14" borderId="1" xfId="0" applyNumberFormat="1" applyFont="1" applyFill="1" applyBorder="1"/>
    <xf numFmtId="164" fontId="5" fillId="14" borderId="3" xfId="0" applyNumberFormat="1" applyFont="1" applyFill="1" applyBorder="1"/>
    <xf numFmtId="164" fontId="5" fillId="14" borderId="5" xfId="0" applyNumberFormat="1" applyFont="1" applyFill="1" applyBorder="1"/>
    <xf numFmtId="0" fontId="5" fillId="14" borderId="4" xfId="0" applyFont="1" applyFill="1" applyBorder="1" applyAlignment="1">
      <alignment horizontal="center"/>
    </xf>
    <xf numFmtId="0" fontId="5" fillId="14" borderId="9" xfId="0" applyFont="1" applyFill="1" applyBorder="1" applyAlignment="1">
      <alignment horizontal="center"/>
    </xf>
    <xf numFmtId="164" fontId="9" fillId="14" borderId="1" xfId="0" applyNumberFormat="1" applyFont="1" applyFill="1" applyBorder="1" applyAlignment="1">
      <alignment horizontal="center"/>
    </xf>
    <xf numFmtId="14" fontId="9" fillId="14" borderId="1" xfId="0" applyNumberFormat="1" applyFont="1" applyFill="1" applyBorder="1" applyAlignment="1">
      <alignment horizontal="center"/>
    </xf>
    <xf numFmtId="164" fontId="5" fillId="14" borderId="8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/>
    <xf numFmtId="0" fontId="5" fillId="14" borderId="3" xfId="0" applyFont="1" applyFill="1" applyBorder="1"/>
    <xf numFmtId="0" fontId="5" fillId="14" borderId="0" xfId="0" applyFont="1" applyFill="1"/>
    <xf numFmtId="0" fontId="0" fillId="14" borderId="0" xfId="0" applyFill="1"/>
    <xf numFmtId="0" fontId="5" fillId="14" borderId="8" xfId="0" applyFont="1" applyFill="1" applyBorder="1" applyAlignment="1">
      <alignment horizontal="center"/>
    </xf>
    <xf numFmtId="14" fontId="5" fillId="14" borderId="1" xfId="0" applyNumberFormat="1" applyFont="1" applyFill="1" applyBorder="1"/>
    <xf numFmtId="14" fontId="23" fillId="14" borderId="8" xfId="0" applyNumberFormat="1" applyFont="1" applyFill="1" applyBorder="1" applyAlignment="1">
      <alignment horizontal="center"/>
    </xf>
    <xf numFmtId="0" fontId="23" fillId="14" borderId="1" xfId="0" applyFont="1" applyFill="1" applyBorder="1"/>
    <xf numFmtId="0" fontId="23" fillId="14" borderId="1" xfId="0" applyFont="1" applyFill="1" applyBorder="1" applyAlignment="1">
      <alignment horizontal="left"/>
    </xf>
    <xf numFmtId="164" fontId="23" fillId="14" borderId="1" xfId="0" applyNumberFormat="1" applyFont="1" applyFill="1" applyBorder="1"/>
    <xf numFmtId="164" fontId="23" fillId="14" borderId="3" xfId="0" applyNumberFormat="1" applyFont="1" applyFill="1" applyBorder="1"/>
    <xf numFmtId="0" fontId="23" fillId="14" borderId="1" xfId="0" applyFont="1" applyFill="1" applyBorder="1" applyAlignment="1">
      <alignment horizontal="center"/>
    </xf>
    <xf numFmtId="0" fontId="23" fillId="14" borderId="9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23" fillId="14" borderId="8" xfId="0" applyFont="1" applyFill="1" applyBorder="1" applyAlignment="1">
      <alignment horizontal="center"/>
    </xf>
    <xf numFmtId="0" fontId="5" fillId="13" borderId="4" xfId="0" applyFont="1" applyFill="1" applyBorder="1"/>
    <xf numFmtId="0" fontId="9" fillId="13" borderId="1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7" fontId="5" fillId="12" borderId="1" xfId="0" applyNumberFormat="1" applyFont="1" applyFill="1" applyBorder="1"/>
    <xf numFmtId="0" fontId="36" fillId="13" borderId="0" xfId="0" applyFont="1" applyFill="1"/>
    <xf numFmtId="14" fontId="26" fillId="11" borderId="1" xfId="0" applyNumberFormat="1" applyFont="1" applyFill="1" applyBorder="1" applyAlignment="1">
      <alignment horizontal="center"/>
    </xf>
    <xf numFmtId="14" fontId="25" fillId="15" borderId="8" xfId="0" applyNumberFormat="1" applyFont="1" applyFill="1" applyBorder="1" applyAlignment="1">
      <alignment horizontal="center"/>
    </xf>
    <xf numFmtId="0" fontId="25" fillId="15" borderId="10" xfId="0" applyFont="1" applyFill="1" applyBorder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left"/>
    </xf>
    <xf numFmtId="9" fontId="5" fillId="15" borderId="4" xfId="0" applyNumberFormat="1" applyFont="1" applyFill="1" applyBorder="1" applyAlignment="1">
      <alignment horizontal="center"/>
    </xf>
    <xf numFmtId="164" fontId="25" fillId="15" borderId="1" xfId="0" applyNumberFormat="1" applyFont="1" applyFill="1" applyBorder="1"/>
    <xf numFmtId="164" fontId="25" fillId="15" borderId="3" xfId="0" applyNumberFormat="1" applyFont="1" applyFill="1" applyBorder="1"/>
    <xf numFmtId="0" fontId="25" fillId="15" borderId="1" xfId="0" applyFont="1" applyFill="1" applyBorder="1" applyAlignment="1">
      <alignment horizontal="center"/>
    </xf>
    <xf numFmtId="0" fontId="25" fillId="15" borderId="8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/>
    </xf>
    <xf numFmtId="164" fontId="25" fillId="15" borderId="9" xfId="0" applyNumberFormat="1" applyFont="1" applyFill="1" applyBorder="1" applyAlignment="1">
      <alignment horizontal="center"/>
    </xf>
    <xf numFmtId="0" fontId="0" fillId="15" borderId="1" xfId="0" applyFill="1" applyBorder="1"/>
    <xf numFmtId="14" fontId="26" fillId="15" borderId="1" xfId="0" applyNumberFormat="1" applyFont="1" applyFill="1" applyBorder="1" applyAlignment="1">
      <alignment horizontal="center"/>
    </xf>
    <xf numFmtId="164" fontId="5" fillId="15" borderId="4" xfId="0" applyNumberFormat="1" applyFont="1" applyFill="1" applyBorder="1"/>
    <xf numFmtId="164" fontId="5" fillId="15" borderId="3" xfId="0" applyNumberFormat="1" applyFont="1" applyFill="1" applyBorder="1"/>
    <xf numFmtId="0" fontId="0" fillId="15" borderId="0" xfId="0" applyFill="1"/>
    <xf numFmtId="0" fontId="5" fillId="15" borderId="1" xfId="0" applyFont="1" applyFill="1" applyBorder="1"/>
    <xf numFmtId="164" fontId="25" fillId="15" borderId="10" xfId="0" applyNumberFormat="1" applyFont="1" applyFill="1" applyBorder="1"/>
    <xf numFmtId="0" fontId="25" fillId="15" borderId="9" xfId="0" applyFont="1" applyFill="1" applyBorder="1" applyAlignment="1">
      <alignment horizontal="center"/>
    </xf>
    <xf numFmtId="14" fontId="5" fillId="15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164" fontId="5" fillId="15" borderId="1" xfId="0" applyNumberFormat="1" applyFont="1" applyFill="1" applyBorder="1"/>
    <xf numFmtId="0" fontId="5" fillId="15" borderId="1" xfId="0" applyFont="1" applyFill="1" applyBorder="1" applyAlignment="1">
      <alignment horizontal="center"/>
    </xf>
    <xf numFmtId="0" fontId="5" fillId="15" borderId="9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14" fontId="9" fillId="15" borderId="1" xfId="0" applyNumberFormat="1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4" fontId="5" fillId="15" borderId="8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left"/>
    </xf>
    <xf numFmtId="164" fontId="5" fillId="15" borderId="5" xfId="0" applyNumberFormat="1" applyFont="1" applyFill="1" applyBorder="1"/>
    <xf numFmtId="0" fontId="5" fillId="15" borderId="4" xfId="0" applyFont="1" applyFill="1" applyBorder="1" applyAlignment="1">
      <alignment horizontal="center"/>
    </xf>
    <xf numFmtId="164" fontId="9" fillId="15" borderId="1" xfId="0" applyNumberFormat="1" applyFont="1" applyFill="1" applyBorder="1" applyAlignment="1">
      <alignment horizontal="center"/>
    </xf>
    <xf numFmtId="0" fontId="5" fillId="15" borderId="3" xfId="0" applyFont="1" applyFill="1" applyBorder="1"/>
    <xf numFmtId="0" fontId="5" fillId="15" borderId="0" xfId="0" applyFont="1" applyFill="1"/>
    <xf numFmtId="14" fontId="23" fillId="15" borderId="8" xfId="0" applyNumberFormat="1" applyFont="1" applyFill="1" applyBorder="1" applyAlignment="1">
      <alignment horizontal="center"/>
    </xf>
    <xf numFmtId="164" fontId="23" fillId="15" borderId="1" xfId="0" applyNumberFormat="1" applyFont="1" applyFill="1" applyBorder="1"/>
    <xf numFmtId="164" fontId="23" fillId="15" borderId="3" xfId="0" applyNumberFormat="1" applyFont="1" applyFill="1" applyBorder="1"/>
    <xf numFmtId="0" fontId="23" fillId="15" borderId="1" xfId="0" applyFont="1" applyFill="1" applyBorder="1" applyAlignment="1">
      <alignment horizontal="center"/>
    </xf>
    <xf numFmtId="0" fontId="23" fillId="15" borderId="9" xfId="0" applyFont="1" applyFill="1" applyBorder="1" applyAlignment="1">
      <alignment horizontal="center"/>
    </xf>
    <xf numFmtId="3" fontId="24" fillId="15" borderId="1" xfId="0" applyNumberFormat="1" applyFont="1" applyFill="1" applyBorder="1" applyAlignment="1">
      <alignment horizontal="center"/>
    </xf>
    <xf numFmtId="14" fontId="24" fillId="15" borderId="1" xfId="0" applyNumberFormat="1" applyFont="1" applyFill="1" applyBorder="1" applyAlignment="1">
      <alignment horizontal="center"/>
    </xf>
    <xf numFmtId="0" fontId="23" fillId="15" borderId="8" xfId="0" applyFont="1" applyFill="1" applyBorder="1" applyAlignment="1">
      <alignment horizontal="center"/>
    </xf>
    <xf numFmtId="0" fontId="23" fillId="15" borderId="1" xfId="0" applyFont="1" applyFill="1" applyBorder="1"/>
    <xf numFmtId="14" fontId="9" fillId="15" borderId="3" xfId="0" applyNumberFormat="1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 vertical="center"/>
    </xf>
    <xf numFmtId="0" fontId="5" fillId="15" borderId="4" xfId="0" applyFont="1" applyFill="1" applyBorder="1"/>
    <xf numFmtId="0" fontId="5" fillId="15" borderId="3" xfId="0" applyFont="1" applyFill="1" applyBorder="1" applyAlignment="1">
      <alignment horizontal="center"/>
    </xf>
    <xf numFmtId="164" fontId="36" fillId="0" borderId="3" xfId="0" applyNumberFormat="1" applyFont="1" applyBorder="1"/>
    <xf numFmtId="9" fontId="5" fillId="0" borderId="0" xfId="0" applyNumberFormat="1" applyFont="1" applyAlignment="1">
      <alignment horizontal="center"/>
    </xf>
    <xf numFmtId="164" fontId="25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164" fontId="5" fillId="5" borderId="0" xfId="0" applyNumberFormat="1" applyFont="1" applyFill="1"/>
    <xf numFmtId="0" fontId="25" fillId="0" borderId="0" xfId="0" applyFont="1"/>
    <xf numFmtId="3" fontId="26" fillId="0" borderId="0" xfId="0" applyNumberFormat="1" applyFont="1" applyAlignment="1">
      <alignment horizontal="center"/>
    </xf>
    <xf numFmtId="164" fontId="36" fillId="0" borderId="10" xfId="0" applyNumberFormat="1" applyFont="1" applyBorder="1"/>
    <xf numFmtId="9" fontId="34" fillId="0" borderId="1" xfId="0" applyNumberFormat="1" applyFont="1" applyBorder="1"/>
    <xf numFmtId="14" fontId="0" fillId="0" borderId="0" xfId="0" applyNumberFormat="1"/>
    <xf numFmtId="0" fontId="34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" fontId="34" fillId="0" borderId="1" xfId="0" applyNumberFormat="1" applyFont="1" applyBorder="1"/>
    <xf numFmtId="0" fontId="34" fillId="0" borderId="1" xfId="0" applyFont="1" applyBorder="1"/>
    <xf numFmtId="164" fontId="25" fillId="10" borderId="9" xfId="0" applyNumberFormat="1" applyFont="1" applyFill="1" applyBorder="1" applyAlignment="1">
      <alignment horizontal="center"/>
    </xf>
    <xf numFmtId="0" fontId="42" fillId="3" borderId="1" xfId="0" applyFont="1" applyFill="1" applyBorder="1"/>
    <xf numFmtId="0" fontId="43" fillId="3" borderId="1" xfId="0" applyFont="1" applyFill="1" applyBorder="1"/>
    <xf numFmtId="0" fontId="40" fillId="0" borderId="1" xfId="0" applyFont="1" applyBorder="1"/>
    <xf numFmtId="0" fontId="0" fillId="0" borderId="8" xfId="0" applyBorder="1"/>
    <xf numFmtId="0" fontId="25" fillId="3" borderId="0" xfId="0" applyFont="1" applyFill="1"/>
    <xf numFmtId="164" fontId="5" fillId="3" borderId="0" xfId="0" applyNumberFormat="1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25" fillId="3" borderId="0" xfId="0" applyNumberFormat="1" applyFont="1" applyFill="1"/>
    <xf numFmtId="164" fontId="5" fillId="5" borderId="2" xfId="0" applyNumberFormat="1" applyFont="1" applyFill="1" applyBorder="1"/>
    <xf numFmtId="164" fontId="5" fillId="5" borderId="14" xfId="0" applyNumberFormat="1" applyFont="1" applyFill="1" applyBorder="1"/>
    <xf numFmtId="0" fontId="36" fillId="3" borderId="1" xfId="0" applyFont="1" applyFill="1" applyBorder="1"/>
    <xf numFmtId="0" fontId="1" fillId="0" borderId="0" xfId="0" applyFont="1"/>
    <xf numFmtId="164" fontId="25" fillId="5" borderId="3" xfId="0" applyNumberFormat="1" applyFont="1" applyFill="1" applyBorder="1"/>
    <xf numFmtId="4" fontId="0" fillId="0" borderId="1" xfId="0" applyNumberFormat="1" applyBorder="1"/>
    <xf numFmtId="0" fontId="23" fillId="0" borderId="10" xfId="0" applyFont="1" applyBorder="1"/>
  </cellXfs>
  <cellStyles count="1">
    <cellStyle name="Normal" xfId="0" builtinId="0"/>
  </cellStyles>
  <dxfs count="24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fill>
        <patternFill patternType="solid">
          <fgColor indexed="64"/>
          <bgColor theme="5" tint="0.59999389629810485"/>
        </patternFill>
      </fill>
      <alignment horizontal="center"/>
      <border outline="0">
        <left/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0"/>
        <name val="Calibri Light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u val="none"/>
        <sz val="10"/>
        <name val="Calibri Light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Calibri Light"/>
        <family val="2"/>
        <scheme val="none"/>
      </font>
      <alignment horizontal="center" textRotation="0" indent="0" justifyLastLine="0" shrinkToFit="0" readingOrder="0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 textRotation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32" displayName="Table432" ref="A1:Y1200">
  <autoFilter ref="A1:Y1200" xr:uid="{00000000-0009-0000-0100-000001000000}"/>
  <tableColumns count="25">
    <tableColumn id="1" xr3:uid="{00000000-0010-0000-0000-000001000000}" name="Invoice Date" totalsRowLabel="Total" dataDxfId="23"/>
    <tableColumn id="2" xr3:uid="{00000000-0010-0000-0000-000002000000}" name="Invoice No" dataDxfId="22"/>
    <tableColumn id="3" xr3:uid="{00000000-0010-0000-0000-000003000000}" name="Party Name" dataDxfId="21"/>
    <tableColumn id="4" xr3:uid="{00000000-0010-0000-0000-000004000000}" name="Party GST No." dataDxfId="20"/>
    <tableColumn id="5" xr3:uid="{00000000-0010-0000-0000-000005000000}" name="Site Location" dataDxfId="19"/>
    <tableColumn id="6" xr3:uid="{00000000-0010-0000-0000-000006000000}" name="Service" dataDxfId="18"/>
    <tableColumn id="19" xr3:uid="{00000000-0010-0000-0000-000013000000}" name="HSN" dataDxfId="17"/>
    <tableColumn id="17" xr3:uid="{00000000-0010-0000-0000-000011000000}" name="GST 18% " dataDxfId="16"/>
    <tableColumn id="7" xr3:uid="{00000000-0010-0000-0000-000007000000}" name="Taxable Amount" dataDxfId="15"/>
    <tableColumn id="9" xr3:uid="{00000000-0010-0000-0000-000009000000}" name="SGST" dataDxfId="14">
      <calculatedColumnFormula>I2*9/100</calculatedColumnFormula>
    </tableColumn>
    <tableColumn id="10" xr3:uid="{00000000-0010-0000-0000-00000A000000}" name="CGST" dataDxfId="13">
      <calculatedColumnFormula>I2*9/100</calculatedColumnFormula>
    </tableColumn>
    <tableColumn id="16" xr3:uid="{00000000-0010-0000-0000-000010000000}" name="IGST" dataDxfId="12"/>
    <tableColumn id="11" xr3:uid="{00000000-0010-0000-0000-00000B000000}" name="Invoice Amount" dataDxfId="11">
      <calculatedColumnFormula>Table432[[#This Row],[Taxable Amount]]+Table432[[#This Row],[SGST]]+Table432[[#This Row],[CGST]]</calculatedColumnFormula>
    </tableColumn>
    <tableColumn id="12" xr3:uid="{00000000-0010-0000-0000-00000C000000}" name="TDS" dataDxfId="10">
      <calculatedColumnFormula>Table432[[#This Row],[Taxable Amount]]*1%</calculatedColumnFormula>
    </tableColumn>
    <tableColumn id="18" xr3:uid="{00000000-0010-0000-0000-000012000000}" name="RTN" dataDxfId="9"/>
    <tableColumn id="21" xr3:uid="{00000000-0010-0000-0000-000015000000}" name="RECIVED AMOUNT" dataDxfId="8"/>
    <tableColumn id="22" xr3:uid="{00000000-0010-0000-0000-000016000000}" name="DATE" dataDxfId="7"/>
    <tableColumn id="23" xr3:uid="{00000000-0010-0000-0000-000017000000}" name="GST FILED" dataDxfId="6"/>
    <tableColumn id="13" xr3:uid="{00000000-0010-0000-0000-00000D000000}" name="BALANCE" dataDxfId="5">
      <calculatedColumnFormula>Table432[[#This Row],[Invoice Amount]]-Table432[[#This Row],[TDS]]-Table432[[#This Row],[RECIVED AMOUNT]]</calculatedColumnFormula>
    </tableColumn>
    <tableColumn id="14" xr3:uid="{00000000-0010-0000-0000-00000E000000}" name="RECIVED AMOUNT2" dataDxfId="4"/>
    <tableColumn id="15" xr3:uid="{00000000-0010-0000-0000-00000F000000}" name="DATE2" dataDxfId="3"/>
    <tableColumn id="8" xr3:uid="{00000000-0010-0000-0000-000008000000}" name="BALANCE2" dataDxfId="2">
      <calculatedColumnFormula>Table432[[#This Row],[BALANCE]]-Table432[[#This Row],[RECIVED AMOUNT2]]</calculatedColumnFormula>
    </tableColumn>
    <tableColumn id="20" xr3:uid="{5FC97992-2DF1-4C7C-BBC7-519EAE0ED50F}" name="BALANCE3"/>
    <tableColumn id="24" xr3:uid="{4B245948-0F93-4BC0-BEA3-A0EEE319B552}" name="BALANCE4" dataDxfId="1"/>
    <tableColumn id="25" xr3:uid="{C6C3C0A6-DF29-42A6-A5E6-8BC29B77209B}" name="BALANCE5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200"/>
  <sheetViews>
    <sheetView tabSelected="1" zoomScaleNormal="100" workbookViewId="0">
      <pane xSplit="3" ySplit="1" topLeftCell="D960" activePane="bottomRight" state="frozen"/>
      <selection pane="topRight" activeCell="D1" sqref="D1"/>
      <selection pane="bottomLeft" activeCell="A2" sqref="A2"/>
      <selection pane="bottomRight" activeCell="C1056" sqref="C1056"/>
    </sheetView>
  </sheetViews>
  <sheetFormatPr defaultColWidth="9" defaultRowHeight="14.4"/>
  <cols>
    <col min="1" max="1" width="11.6640625" customWidth="1"/>
    <col min="2" max="2" width="17.33203125" customWidth="1"/>
    <col min="3" max="3" width="27.5546875" customWidth="1"/>
    <col min="4" max="4" width="18.6640625" customWidth="1"/>
    <col min="5" max="5" width="14.88671875" customWidth="1"/>
    <col min="6" max="6" width="7.33203125" customWidth="1"/>
    <col min="7" max="7" width="7" customWidth="1"/>
    <col min="8" max="8" width="5.33203125" customWidth="1"/>
    <col min="9" max="9" width="9.88671875" customWidth="1"/>
    <col min="10" max="10" width="12.33203125" bestFit="1" customWidth="1"/>
    <col min="11" max="11" width="9.5546875" customWidth="1"/>
    <col min="12" max="12" width="7.6640625" customWidth="1"/>
    <col min="13" max="13" width="11" customWidth="1"/>
    <col min="14" max="14" width="8.33203125" style="162" customWidth="1"/>
    <col min="15" max="15" width="7.6640625" style="162" customWidth="1"/>
    <col min="16" max="16" width="9.33203125" style="170" customWidth="1"/>
    <col min="17" max="17" width="13.6640625" style="170" customWidth="1"/>
    <col min="18" max="18" width="8.33203125" customWidth="1"/>
    <col min="19" max="19" width="11.33203125" customWidth="1"/>
    <col min="20" max="20" width="13.109375" customWidth="1"/>
    <col min="21" max="21" width="13.6640625" customWidth="1"/>
    <col min="22" max="22" width="14.3320312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 t="s">
        <v>1196</v>
      </c>
      <c r="X1" s="50" t="s">
        <v>1259</v>
      </c>
      <c r="Y1" t="s">
        <v>1260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ht="19.95" customHeight="1">
      <c r="A2" s="20">
        <v>44798</v>
      </c>
      <c r="B2" s="21" t="s">
        <v>22</v>
      </c>
      <c r="C2" s="21" t="s">
        <v>23</v>
      </c>
      <c r="D2" s="21" t="s">
        <v>24</v>
      </c>
      <c r="E2" s="21" t="s">
        <v>25</v>
      </c>
      <c r="F2" s="4" t="s">
        <v>26</v>
      </c>
      <c r="G2" s="22">
        <v>998531</v>
      </c>
      <c r="H2" s="23">
        <v>0.18</v>
      </c>
      <c r="I2" s="36">
        <v>21900</v>
      </c>
      <c r="J2" s="36">
        <f t="shared" ref="J2:J29" si="0">I2*9/100</f>
        <v>1971</v>
      </c>
      <c r="K2" s="36">
        <f t="shared" ref="K2:K29" si="1">I2*9/100</f>
        <v>1971</v>
      </c>
      <c r="L2" s="37"/>
      <c r="M2" s="37">
        <f>Table432[[#This Row],[Taxable Amount]]+Table432[[#This Row],[SGST]]+Table432[[#This Row],[CGST]]</f>
        <v>25842</v>
      </c>
      <c r="N2" s="71">
        <f>Table432[[#This Row],[Taxable Amount]]*1%</f>
        <v>219</v>
      </c>
      <c r="O2" s="173">
        <v>0</v>
      </c>
      <c r="P2" s="57">
        <v>25623</v>
      </c>
      <c r="Q2" s="56" t="s">
        <v>27</v>
      </c>
      <c r="R2" s="188" t="s">
        <v>28</v>
      </c>
      <c r="S2" s="138">
        <f>Table432[[#This Row],[Invoice Amount]]-Table432[[#This Row],[TDS]]-Table432[[#This Row],[RTN]]-Table432[[#This Row],[RECIVED AMOUNT]]</f>
        <v>0</v>
      </c>
      <c r="T2" s="49"/>
      <c r="U2" s="3"/>
      <c r="V2" s="41">
        <f>Table432[[#This Row],[BALANCE]]-Table432[[#This Row],[RECIVED AMOUNT2]]</f>
        <v>0</v>
      </c>
      <c r="W2" s="50"/>
      <c r="X2" s="50"/>
    </row>
    <row r="3" spans="1:121" ht="19.95" customHeight="1">
      <c r="A3" s="24">
        <v>44805</v>
      </c>
      <c r="B3" s="25" t="s">
        <v>29</v>
      </c>
      <c r="C3" s="26" t="s">
        <v>30</v>
      </c>
      <c r="D3" s="25" t="s">
        <v>31</v>
      </c>
      <c r="E3" s="25" t="s">
        <v>32</v>
      </c>
      <c r="F3" s="27"/>
      <c r="G3" s="28">
        <v>998531</v>
      </c>
      <c r="H3" s="23">
        <v>0.18</v>
      </c>
      <c r="I3" s="38">
        <v>15000</v>
      </c>
      <c r="J3" s="38">
        <f t="shared" si="0"/>
        <v>1350</v>
      </c>
      <c r="K3" s="38">
        <f t="shared" si="1"/>
        <v>1350</v>
      </c>
      <c r="L3" s="39"/>
      <c r="M3" s="40">
        <f>Table432[[#This Row],[Taxable Amount]]+Table432[[#This Row],[SGST]]+Table432[[#This Row],[CGST]]</f>
        <v>17700</v>
      </c>
      <c r="N3" s="140">
        <f>Table432[[#This Row],[Taxable Amount]]*1%</f>
        <v>150</v>
      </c>
      <c r="O3" s="174"/>
      <c r="P3" s="141"/>
      <c r="Q3" s="51">
        <v>45215</v>
      </c>
      <c r="R3" s="189"/>
      <c r="S3" s="138">
        <f>Table432[[#This Row],[Invoice Amount]]-Table432[[#This Row],[TDS]]-Table432[[#This Row],[RTN]]-Table432[[#This Row],[RECIVED AMOUNT]]</f>
        <v>17550</v>
      </c>
      <c r="T3" s="52"/>
      <c r="U3" s="25"/>
      <c r="V3" s="41">
        <f>Table432[[#This Row],[BALANCE]]-Table432[[#This Row],[RECIVED AMOUNT2]]</f>
        <v>17550</v>
      </c>
      <c r="W3" s="50"/>
      <c r="X3" s="50"/>
    </row>
    <row r="4" spans="1:121" ht="19.95" customHeight="1">
      <c r="A4" s="2">
        <v>44827</v>
      </c>
      <c r="B4" s="3" t="s">
        <v>33</v>
      </c>
      <c r="C4" s="21" t="s">
        <v>34</v>
      </c>
      <c r="D4" s="3" t="s">
        <v>35</v>
      </c>
      <c r="E4" s="3" t="s">
        <v>36</v>
      </c>
      <c r="F4" s="4" t="s">
        <v>37</v>
      </c>
      <c r="G4" s="22">
        <v>998531</v>
      </c>
      <c r="H4" s="23">
        <v>0.18</v>
      </c>
      <c r="I4" s="9">
        <v>26958</v>
      </c>
      <c r="J4" s="9">
        <f t="shared" si="0"/>
        <v>2426.2199999999998</v>
      </c>
      <c r="K4" s="9">
        <f t="shared" si="1"/>
        <v>2426.2199999999998</v>
      </c>
      <c r="L4" s="41"/>
      <c r="M4" s="37">
        <f>Table432[[#This Row],[Taxable Amount]]+Table432[[#This Row],[SGST]]+Table432[[#This Row],[CGST]]</f>
        <v>31810.440000000002</v>
      </c>
      <c r="N4" s="71">
        <f>Table432[[#This Row],[Taxable Amount]]*1%</f>
        <v>269.58</v>
      </c>
      <c r="O4" s="149">
        <v>673</v>
      </c>
      <c r="P4" s="57">
        <v>30191</v>
      </c>
      <c r="Q4" s="53" t="s">
        <v>38</v>
      </c>
      <c r="R4" s="190" t="s">
        <v>28</v>
      </c>
      <c r="S4" s="138">
        <f>Table432[[#This Row],[Invoice Amount]]-Table432[[#This Row],[TDS]]-Table432[[#This Row],[RTN]]-Table432[[#This Row],[RECIVED AMOUNT]]</f>
        <v>676.86000000000058</v>
      </c>
      <c r="T4" s="55"/>
      <c r="U4" s="3"/>
      <c r="V4" s="41">
        <f>Table432[[#This Row],[BALANCE]]-Table432[[#This Row],[RECIVED AMOUNT2]]</f>
        <v>676.86000000000058</v>
      </c>
      <c r="W4" s="50"/>
      <c r="X4" s="50"/>
    </row>
    <row r="5" spans="1:121" ht="19.95" customHeight="1">
      <c r="A5" s="2">
        <v>44829</v>
      </c>
      <c r="B5" s="3" t="s">
        <v>39</v>
      </c>
      <c r="C5" s="21" t="s">
        <v>23</v>
      </c>
      <c r="D5" s="3" t="s">
        <v>24</v>
      </c>
      <c r="E5" s="3" t="s">
        <v>25</v>
      </c>
      <c r="F5" s="4" t="s">
        <v>26</v>
      </c>
      <c r="G5" s="22">
        <v>998531</v>
      </c>
      <c r="H5" s="23">
        <v>0.18</v>
      </c>
      <c r="I5" s="9">
        <v>6650</v>
      </c>
      <c r="J5" s="9">
        <f t="shared" si="0"/>
        <v>598.5</v>
      </c>
      <c r="K5" s="9">
        <f t="shared" si="1"/>
        <v>598.5</v>
      </c>
      <c r="L5" s="41"/>
      <c r="M5" s="37">
        <f>Table432[[#This Row],[Taxable Amount]]+Table432[[#This Row],[SGST]]+Table432[[#This Row],[CGST]]</f>
        <v>7847</v>
      </c>
      <c r="N5" s="71">
        <f>Table432[[#This Row],[Taxable Amount]]*1%</f>
        <v>66.5</v>
      </c>
      <c r="O5" s="157">
        <v>0</v>
      </c>
      <c r="P5" s="57">
        <v>7780</v>
      </c>
      <c r="Q5" s="56" t="s">
        <v>40</v>
      </c>
      <c r="R5" s="190" t="s">
        <v>28</v>
      </c>
      <c r="S5" s="138">
        <f>Table432[[#This Row],[Invoice Amount]]-Table432[[#This Row],[TDS]]-Table432[[#This Row],[RTN]]-Table432[[#This Row],[RECIVED AMOUNT]]</f>
        <v>0.5</v>
      </c>
      <c r="T5" s="55"/>
      <c r="U5" s="3"/>
      <c r="V5" s="41">
        <f>Table432[[#This Row],[BALANCE]]-Table432[[#This Row],[RECIVED AMOUNT2]]</f>
        <v>0.5</v>
      </c>
      <c r="W5" s="50"/>
      <c r="X5" s="50"/>
    </row>
    <row r="6" spans="1:121" ht="19.95" customHeight="1">
      <c r="A6" s="2">
        <v>44864</v>
      </c>
      <c r="B6" s="3" t="s">
        <v>41</v>
      </c>
      <c r="C6" s="21" t="s">
        <v>42</v>
      </c>
      <c r="D6" s="3" t="s">
        <v>43</v>
      </c>
      <c r="E6" s="3" t="s">
        <v>44</v>
      </c>
      <c r="F6" s="4" t="s">
        <v>45</v>
      </c>
      <c r="G6" s="22">
        <v>998531</v>
      </c>
      <c r="H6" s="23">
        <v>0.18</v>
      </c>
      <c r="I6" s="9">
        <v>43974</v>
      </c>
      <c r="J6" s="9">
        <f t="shared" si="0"/>
        <v>3957.66</v>
      </c>
      <c r="K6" s="9">
        <f t="shared" si="1"/>
        <v>3957.66</v>
      </c>
      <c r="L6" s="41"/>
      <c r="M6" s="37">
        <f>Table432[[#This Row],[Taxable Amount]]+Table432[[#This Row],[SGST]]+Table432[[#This Row],[CGST]]</f>
        <v>51889.320000000007</v>
      </c>
      <c r="N6" s="71"/>
      <c r="O6" s="157"/>
      <c r="P6" s="57"/>
      <c r="Q6" s="57"/>
      <c r="R6" s="190" t="s">
        <v>28</v>
      </c>
      <c r="S6" s="138">
        <f>Table432[[#This Row],[Invoice Amount]]-Table432[[#This Row],[TDS]]-Table432[[#This Row],[RTN]]-Table432[[#This Row],[RECIVED AMOUNT]]</f>
        <v>51889.320000000007</v>
      </c>
      <c r="T6" s="55"/>
      <c r="U6" s="3"/>
      <c r="V6" s="41">
        <f>Table432[[#This Row],[BALANCE]]-Table432[[#This Row],[RECIVED AMOUNT2]]</f>
        <v>51889.320000000007</v>
      </c>
      <c r="W6" s="50"/>
      <c r="X6" s="50"/>
    </row>
    <row r="7" spans="1:121" ht="19.95" customHeight="1">
      <c r="A7" s="24">
        <v>44879</v>
      </c>
      <c r="B7" s="25" t="s">
        <v>46</v>
      </c>
      <c r="C7" s="26" t="s">
        <v>47</v>
      </c>
      <c r="D7" s="25" t="s">
        <v>48</v>
      </c>
      <c r="E7" s="25" t="s">
        <v>49</v>
      </c>
      <c r="F7" s="29">
        <v>44896</v>
      </c>
      <c r="G7" s="28">
        <v>998531</v>
      </c>
      <c r="H7" s="23">
        <v>0.18</v>
      </c>
      <c r="I7" s="38">
        <v>27000</v>
      </c>
      <c r="J7" s="38">
        <f t="shared" si="0"/>
        <v>2430</v>
      </c>
      <c r="K7" s="38">
        <f t="shared" si="1"/>
        <v>2430</v>
      </c>
      <c r="L7" s="39"/>
      <c r="M7" s="40">
        <f>Table432[[#This Row],[Taxable Amount]]+Table432[[#This Row],[SGST]]+Table432[[#This Row],[CGST]]</f>
        <v>31860</v>
      </c>
      <c r="N7" s="140">
        <f>Table432[[#This Row],[Taxable Amount]]*1%</f>
        <v>270</v>
      </c>
      <c r="O7" s="174"/>
      <c r="P7" s="141"/>
      <c r="Q7" s="51">
        <v>45215</v>
      </c>
      <c r="R7" s="191"/>
      <c r="S7" s="138">
        <f>Table432[[#This Row],[Invoice Amount]]-Table432[[#This Row],[TDS]]-Table432[[#This Row],[RTN]]-Table432[[#This Row],[RECIVED AMOUNT]]</f>
        <v>31590</v>
      </c>
      <c r="T7" s="52"/>
      <c r="U7" s="25"/>
      <c r="V7" s="41">
        <f>Table432[[#This Row],[BALANCE]]-Table432[[#This Row],[RECIVED AMOUNT2]]</f>
        <v>31590</v>
      </c>
      <c r="W7" s="50"/>
      <c r="X7" s="50"/>
    </row>
    <row r="8" spans="1:121" ht="19.95" customHeight="1">
      <c r="A8" s="2">
        <v>44883</v>
      </c>
      <c r="B8" s="3" t="s">
        <v>50</v>
      </c>
      <c r="C8" s="21" t="s">
        <v>23</v>
      </c>
      <c r="D8" s="3" t="s">
        <v>24</v>
      </c>
      <c r="E8" s="3" t="s">
        <v>25</v>
      </c>
      <c r="F8" s="4" t="s">
        <v>26</v>
      </c>
      <c r="G8" s="22">
        <v>998531</v>
      </c>
      <c r="H8" s="23">
        <v>0.18</v>
      </c>
      <c r="I8" s="9">
        <v>4900</v>
      </c>
      <c r="J8" s="9">
        <f t="shared" si="0"/>
        <v>441</v>
      </c>
      <c r="K8" s="9">
        <f t="shared" si="1"/>
        <v>441</v>
      </c>
      <c r="L8" s="41"/>
      <c r="M8" s="37">
        <f>Table432[[#This Row],[Taxable Amount]]+Table432[[#This Row],[SGST]]+Table432[[#This Row],[CGST]]</f>
        <v>5782</v>
      </c>
      <c r="N8" s="71">
        <f>Table432[[#This Row],[Taxable Amount]]*1%</f>
        <v>49</v>
      </c>
      <c r="O8" s="157">
        <v>0</v>
      </c>
      <c r="P8" s="57">
        <v>5733</v>
      </c>
      <c r="Q8" s="56" t="s">
        <v>51</v>
      </c>
      <c r="R8" s="190" t="s">
        <v>28</v>
      </c>
      <c r="S8" s="138">
        <f>Table432[[#This Row],[Invoice Amount]]-Table432[[#This Row],[TDS]]-Table432[[#This Row],[RTN]]-Table432[[#This Row],[RECIVED AMOUNT]]</f>
        <v>0</v>
      </c>
      <c r="T8" s="55"/>
      <c r="U8" s="3"/>
      <c r="V8" s="41">
        <f>Table432[[#This Row],[BALANCE]]-Table432[[#This Row],[RECIVED AMOUNT2]]</f>
        <v>0</v>
      </c>
      <c r="W8" s="50"/>
      <c r="X8" s="50"/>
    </row>
    <row r="9" spans="1:121" ht="19.95" customHeight="1">
      <c r="A9" s="2">
        <v>44895</v>
      </c>
      <c r="B9" s="3" t="s">
        <v>52</v>
      </c>
      <c r="C9" s="21" t="s">
        <v>42</v>
      </c>
      <c r="D9" s="3" t="s">
        <v>43</v>
      </c>
      <c r="E9" s="3" t="s">
        <v>44</v>
      </c>
      <c r="F9" s="4" t="s">
        <v>45</v>
      </c>
      <c r="G9" s="22">
        <v>998531</v>
      </c>
      <c r="H9" s="23">
        <v>0.18</v>
      </c>
      <c r="I9" s="9">
        <v>39536</v>
      </c>
      <c r="J9" s="9">
        <f t="shared" si="0"/>
        <v>3558.24</v>
      </c>
      <c r="K9" s="9">
        <f t="shared" si="1"/>
        <v>3558.24</v>
      </c>
      <c r="L9" s="41"/>
      <c r="M9" s="37">
        <f>Table432[[#This Row],[Taxable Amount]]+Table432[[#This Row],[SGST]]+Table432[[#This Row],[CGST]]</f>
        <v>46652.479999999996</v>
      </c>
      <c r="N9" s="71">
        <f>Table432[[#This Row],[Taxable Amount]]*1%</f>
        <v>395.36</v>
      </c>
      <c r="O9" s="157">
        <v>988</v>
      </c>
      <c r="P9" s="57"/>
      <c r="Q9" s="57"/>
      <c r="R9" s="190" t="s">
        <v>28</v>
      </c>
      <c r="S9" s="138">
        <f>Table432[[#This Row],[Invoice Amount]]-Table432[[#This Row],[TDS]]-Table432[[#This Row],[RTN]]-Table432[[#This Row],[RECIVED AMOUNT]]</f>
        <v>45269.119999999995</v>
      </c>
      <c r="T9" s="55"/>
      <c r="U9" s="3"/>
      <c r="V9" s="41">
        <f>Table432[[#This Row],[BALANCE]]-Table432[[#This Row],[RECIVED AMOUNT2]]</f>
        <v>45269.119999999995</v>
      </c>
      <c r="W9" s="50"/>
      <c r="X9" s="50"/>
    </row>
    <row r="10" spans="1:121" ht="19.95" customHeight="1">
      <c r="A10" s="24">
        <v>44913</v>
      </c>
      <c r="B10" s="25" t="s">
        <v>53</v>
      </c>
      <c r="C10" s="26" t="s">
        <v>23</v>
      </c>
      <c r="D10" s="25" t="s">
        <v>54</v>
      </c>
      <c r="E10" s="25" t="s">
        <v>55</v>
      </c>
      <c r="F10" s="27"/>
      <c r="G10" s="28">
        <v>998531</v>
      </c>
      <c r="H10" s="23">
        <v>0.18</v>
      </c>
      <c r="I10" s="38">
        <v>4900</v>
      </c>
      <c r="J10" s="38">
        <f t="shared" si="0"/>
        <v>441</v>
      </c>
      <c r="K10" s="38">
        <f t="shared" si="1"/>
        <v>441</v>
      </c>
      <c r="L10" s="39"/>
      <c r="M10" s="40">
        <f>Table432[[#This Row],[Taxable Amount]]+Table432[[#This Row],[SGST]]+Table432[[#This Row],[CGST]]</f>
        <v>5782</v>
      </c>
      <c r="N10" s="140">
        <f>Table432[[#This Row],[Taxable Amount]]*1%</f>
        <v>49</v>
      </c>
      <c r="O10" s="174"/>
      <c r="P10" s="141"/>
      <c r="Q10" s="51">
        <v>45215</v>
      </c>
      <c r="R10" s="191"/>
      <c r="S10" s="138">
        <f>Table432[[#This Row],[Invoice Amount]]-Table432[[#This Row],[TDS]]-Table432[[#This Row],[RTN]]-Table432[[#This Row],[RECIVED AMOUNT]]</f>
        <v>5733</v>
      </c>
      <c r="T10" s="52"/>
      <c r="U10" s="25"/>
      <c r="V10" s="41">
        <f>Table432[[#This Row],[BALANCE]]-Table432[[#This Row],[RECIVED AMOUNT2]]</f>
        <v>5733</v>
      </c>
      <c r="W10" s="50"/>
      <c r="X10" s="50"/>
    </row>
    <row r="11" spans="1:121" ht="19.95" customHeight="1">
      <c r="A11" s="24">
        <v>44919</v>
      </c>
      <c r="B11" s="25" t="s">
        <v>56</v>
      </c>
      <c r="C11" s="26" t="s">
        <v>47</v>
      </c>
      <c r="D11" s="25" t="s">
        <v>48</v>
      </c>
      <c r="E11" s="25" t="s">
        <v>57</v>
      </c>
      <c r="F11" s="29">
        <v>44896</v>
      </c>
      <c r="G11" s="28">
        <v>998531</v>
      </c>
      <c r="H11" s="23">
        <v>0.18</v>
      </c>
      <c r="I11" s="38">
        <v>85000</v>
      </c>
      <c r="J11" s="38">
        <f t="shared" si="0"/>
        <v>7650</v>
      </c>
      <c r="K11" s="38">
        <f t="shared" si="1"/>
        <v>7650</v>
      </c>
      <c r="L11" s="39"/>
      <c r="M11" s="40">
        <f>Table432[[#This Row],[Taxable Amount]]+Table432[[#This Row],[SGST]]+Table432[[#This Row],[CGST]]</f>
        <v>100300</v>
      </c>
      <c r="N11" s="140">
        <f>Table432[[#This Row],[Taxable Amount]]*1%</f>
        <v>850</v>
      </c>
      <c r="O11" s="174"/>
      <c r="P11" s="141"/>
      <c r="Q11" s="51">
        <v>45215</v>
      </c>
      <c r="R11" s="191"/>
      <c r="S11" s="138">
        <f>Table432[[#This Row],[Invoice Amount]]-Table432[[#This Row],[TDS]]-Table432[[#This Row],[RTN]]-Table432[[#This Row],[RECIVED AMOUNT]]</f>
        <v>99450</v>
      </c>
      <c r="T11" s="52"/>
      <c r="U11" s="25"/>
      <c r="V11" s="41">
        <f>Table432[[#This Row],[BALANCE]]-Table432[[#This Row],[RECIVED AMOUNT2]]</f>
        <v>99450</v>
      </c>
      <c r="W11" s="50"/>
      <c r="X11" s="50"/>
    </row>
    <row r="12" spans="1:121" ht="19.95" customHeight="1">
      <c r="A12" s="2">
        <v>44924</v>
      </c>
      <c r="B12" s="3" t="s">
        <v>58</v>
      </c>
      <c r="C12" s="21" t="s">
        <v>47</v>
      </c>
      <c r="D12" s="3" t="s">
        <v>48</v>
      </c>
      <c r="E12" s="3" t="s">
        <v>59</v>
      </c>
      <c r="F12" s="4" t="s">
        <v>37</v>
      </c>
      <c r="G12" s="22">
        <v>998531</v>
      </c>
      <c r="H12" s="23">
        <v>0.18</v>
      </c>
      <c r="I12" s="9">
        <v>10954</v>
      </c>
      <c r="J12" s="9">
        <f t="shared" si="0"/>
        <v>985.86</v>
      </c>
      <c r="K12" s="9">
        <f t="shared" si="1"/>
        <v>985.86</v>
      </c>
      <c r="L12" s="41"/>
      <c r="M12" s="37">
        <f>Table432[[#This Row],[Taxable Amount]]+Table432[[#This Row],[SGST]]+Table432[[#This Row],[CGST]]</f>
        <v>12925.720000000001</v>
      </c>
      <c r="N12" s="71">
        <f>Table432[[#This Row],[Taxable Amount]]*1%</f>
        <v>109.54</v>
      </c>
      <c r="O12" s="157">
        <v>0</v>
      </c>
      <c r="P12" s="57">
        <v>12500</v>
      </c>
      <c r="Q12" s="58">
        <v>44973</v>
      </c>
      <c r="R12" s="190" t="s">
        <v>28</v>
      </c>
      <c r="S12" s="138">
        <f>Table432[[#This Row],[Invoice Amount]]-Table432[[#This Row],[TDS]]-Table432[[#This Row],[RTN]]-Table432[[#This Row],[RECIVED AMOUNT]]</f>
        <v>316.18000000000029</v>
      </c>
      <c r="T12" s="55"/>
      <c r="U12" s="3"/>
      <c r="V12" s="41">
        <f>Table432[[#This Row],[BALANCE]]-Table432[[#This Row],[RECIVED AMOUNT2]]</f>
        <v>316.18000000000029</v>
      </c>
      <c r="W12" s="50"/>
      <c r="X12" s="50"/>
    </row>
    <row r="13" spans="1:121" ht="19.95" customHeight="1">
      <c r="A13" s="2">
        <v>44924</v>
      </c>
      <c r="B13" s="3" t="s">
        <v>60</v>
      </c>
      <c r="C13" s="21" t="s">
        <v>954</v>
      </c>
      <c r="D13" s="3" t="s">
        <v>61</v>
      </c>
      <c r="E13" s="3" t="s">
        <v>62</v>
      </c>
      <c r="F13" s="4" t="s">
        <v>37</v>
      </c>
      <c r="G13" s="22">
        <v>998531</v>
      </c>
      <c r="H13" s="23">
        <v>0.18</v>
      </c>
      <c r="I13" s="9">
        <v>15386</v>
      </c>
      <c r="J13" s="9">
        <f t="shared" si="0"/>
        <v>1384.74</v>
      </c>
      <c r="K13" s="9">
        <f t="shared" si="1"/>
        <v>1384.74</v>
      </c>
      <c r="L13" s="41"/>
      <c r="M13" s="37">
        <f>Table432[[#This Row],[Taxable Amount]]+Table432[[#This Row],[SGST]]+Table432[[#This Row],[CGST]]</f>
        <v>18155.480000000003</v>
      </c>
      <c r="N13" s="71">
        <f>Table432[[#This Row],[Taxable Amount]]*1%</f>
        <v>153.86000000000001</v>
      </c>
      <c r="O13" s="149">
        <v>384</v>
      </c>
      <c r="P13" s="57">
        <v>17387</v>
      </c>
      <c r="Q13" s="53" t="s">
        <v>63</v>
      </c>
      <c r="R13" s="190" t="s">
        <v>28</v>
      </c>
      <c r="S13" s="138">
        <f>Table432[[#This Row],[Invoice Amount]]-Table432[[#This Row],[TDS]]-Table432[[#This Row],[RTN]]-Table432[[#This Row],[RECIVED AMOUNT]]</f>
        <v>230.62000000000262</v>
      </c>
      <c r="T13" s="55"/>
      <c r="U13" s="3"/>
      <c r="V13" s="41">
        <f>Table432[[#This Row],[BALANCE]]-Table432[[#This Row],[RECIVED AMOUNT2]]</f>
        <v>230.62000000000262</v>
      </c>
      <c r="W13" s="50"/>
      <c r="X13" s="50"/>
    </row>
    <row r="14" spans="1:121" ht="19.95" customHeight="1">
      <c r="A14" s="2">
        <v>44925</v>
      </c>
      <c r="B14" s="3" t="s">
        <v>64</v>
      </c>
      <c r="C14" s="21" t="s">
        <v>65</v>
      </c>
      <c r="D14" s="3" t="s">
        <v>66</v>
      </c>
      <c r="E14" s="3" t="s">
        <v>67</v>
      </c>
      <c r="F14" s="4" t="s">
        <v>37</v>
      </c>
      <c r="G14" s="22">
        <v>998531</v>
      </c>
      <c r="H14" s="23">
        <v>0.18</v>
      </c>
      <c r="I14" s="9">
        <v>14350</v>
      </c>
      <c r="J14" s="9">
        <f t="shared" si="0"/>
        <v>1291.5</v>
      </c>
      <c r="K14" s="9">
        <f t="shared" si="1"/>
        <v>1291.5</v>
      </c>
      <c r="L14" s="41"/>
      <c r="M14" s="37">
        <f>Table432[[#This Row],[Taxable Amount]]+Table432[[#This Row],[SGST]]+Table432[[#This Row],[CGST]]</f>
        <v>16933</v>
      </c>
      <c r="N14" s="71"/>
      <c r="O14" s="149"/>
      <c r="P14" s="57">
        <v>17538</v>
      </c>
      <c r="Q14" s="59">
        <v>45215</v>
      </c>
      <c r="R14" s="190" t="s">
        <v>28</v>
      </c>
      <c r="S14" s="138">
        <f>Table432[[#This Row],[Invoice Amount]]-Table432[[#This Row],[TDS]]-Table432[[#This Row],[RTN]]-Table432[[#This Row],[RECIVED AMOUNT]]</f>
        <v>-605</v>
      </c>
      <c r="T14" s="55"/>
      <c r="U14" s="3"/>
      <c r="V14" s="41">
        <f>Table432[[#This Row],[BALANCE]]-Table432[[#This Row],[RECIVED AMOUNT2]]</f>
        <v>-605</v>
      </c>
      <c r="W14" s="50"/>
      <c r="X14" s="50"/>
    </row>
    <row r="15" spans="1:121" ht="19.95" customHeight="1">
      <c r="A15" s="2">
        <v>44927</v>
      </c>
      <c r="B15" s="3" t="s">
        <v>68</v>
      </c>
      <c r="C15" s="21" t="s">
        <v>42</v>
      </c>
      <c r="D15" s="3" t="s">
        <v>43</v>
      </c>
      <c r="E15" s="3" t="s">
        <v>44</v>
      </c>
      <c r="F15" s="4" t="s">
        <v>45</v>
      </c>
      <c r="G15" s="22">
        <v>998531</v>
      </c>
      <c r="H15" s="23">
        <v>0.18</v>
      </c>
      <c r="I15" s="9">
        <v>31832</v>
      </c>
      <c r="J15" s="9">
        <f t="shared" si="0"/>
        <v>2864.88</v>
      </c>
      <c r="K15" s="9">
        <f t="shared" si="1"/>
        <v>2864.88</v>
      </c>
      <c r="L15" s="41"/>
      <c r="M15" s="37">
        <f>Table432[[#This Row],[Taxable Amount]]+Table432[[#This Row],[SGST]]+Table432[[#This Row],[CGST]]</f>
        <v>37561.759999999995</v>
      </c>
      <c r="N15" s="71">
        <f>Table432[[#This Row],[Taxable Amount]]*1%</f>
        <v>318.32</v>
      </c>
      <c r="O15" s="157">
        <v>796</v>
      </c>
      <c r="P15" s="57"/>
      <c r="Q15" s="57"/>
      <c r="R15" s="120" t="s">
        <v>69</v>
      </c>
      <c r="S15" s="138">
        <f>Table432[[#This Row],[Invoice Amount]]-Table432[[#This Row],[TDS]]-Table432[[#This Row],[RTN]]-Table432[[#This Row],[RECIVED AMOUNT]]</f>
        <v>36447.439999999995</v>
      </c>
      <c r="T15" s="55"/>
      <c r="U15" s="3"/>
      <c r="V15" s="41">
        <f>Table432[[#This Row],[BALANCE]]-Table432[[#This Row],[RECIVED AMOUNT2]]</f>
        <v>36447.439999999995</v>
      </c>
      <c r="W15" s="50"/>
      <c r="X15" s="50"/>
    </row>
    <row r="16" spans="1:121" ht="19.95" customHeight="1">
      <c r="A16" s="2">
        <v>44931</v>
      </c>
      <c r="B16" s="3" t="s">
        <v>70</v>
      </c>
      <c r="C16" s="21" t="s">
        <v>34</v>
      </c>
      <c r="D16" s="3" t="s">
        <v>35</v>
      </c>
      <c r="E16" s="3" t="s">
        <v>36</v>
      </c>
      <c r="F16" s="4" t="s">
        <v>26</v>
      </c>
      <c r="G16" s="22">
        <v>998531</v>
      </c>
      <c r="H16" s="23">
        <v>0.18</v>
      </c>
      <c r="I16" s="9">
        <v>4290</v>
      </c>
      <c r="J16" s="9">
        <f t="shared" si="0"/>
        <v>386.1</v>
      </c>
      <c r="K16" s="9">
        <f t="shared" si="1"/>
        <v>386.1</v>
      </c>
      <c r="L16" s="41"/>
      <c r="M16" s="37">
        <f>Table432[[#This Row],[Taxable Amount]]+Table432[[#This Row],[SGST]]+Table432[[#This Row],[CGST]]</f>
        <v>5062.2000000000007</v>
      </c>
      <c r="N16" s="71"/>
      <c r="O16" s="149">
        <v>0</v>
      </c>
      <c r="P16" s="57">
        <v>5062</v>
      </c>
      <c r="Q16" s="53" t="s">
        <v>51</v>
      </c>
      <c r="R16" s="120" t="s">
        <v>69</v>
      </c>
      <c r="S16" s="138">
        <f>Table432[[#This Row],[Invoice Amount]]-Table432[[#This Row],[TDS]]-Table432[[#This Row],[RTN]]-Table432[[#This Row],[RECIVED AMOUNT]]</f>
        <v>0.2000000000007276</v>
      </c>
      <c r="T16" s="55"/>
      <c r="U16" s="3"/>
      <c r="V16" s="41">
        <f>Table432[[#This Row],[BALANCE]]-Table432[[#This Row],[RECIVED AMOUNT2]]</f>
        <v>0.2000000000007276</v>
      </c>
      <c r="W16" s="50"/>
      <c r="X16" s="50"/>
    </row>
    <row r="17" spans="1:24" ht="19.95" customHeight="1">
      <c r="A17" s="2">
        <v>44944</v>
      </c>
      <c r="B17" s="3" t="s">
        <v>71</v>
      </c>
      <c r="C17" s="21" t="s">
        <v>954</v>
      </c>
      <c r="D17" s="3" t="s">
        <v>61</v>
      </c>
      <c r="E17" s="3" t="s">
        <v>62</v>
      </c>
      <c r="F17" s="4" t="s">
        <v>37</v>
      </c>
      <c r="G17" s="22">
        <v>998531</v>
      </c>
      <c r="H17" s="23">
        <v>0.18</v>
      </c>
      <c r="I17" s="9">
        <v>15488</v>
      </c>
      <c r="J17" s="9">
        <f t="shared" si="0"/>
        <v>1393.92</v>
      </c>
      <c r="K17" s="9">
        <f t="shared" si="1"/>
        <v>1393.92</v>
      </c>
      <c r="L17" s="41"/>
      <c r="M17" s="37">
        <f>Table432[[#This Row],[Taxable Amount]]+Table432[[#This Row],[SGST]]+Table432[[#This Row],[CGST]]</f>
        <v>18275.839999999997</v>
      </c>
      <c r="N17" s="71">
        <f>Table432[[#This Row],[Taxable Amount]]*1%</f>
        <v>154.88</v>
      </c>
      <c r="O17" s="149">
        <v>387</v>
      </c>
      <c r="P17" s="57">
        <v>17502</v>
      </c>
      <c r="Q17" s="53" t="s">
        <v>72</v>
      </c>
      <c r="R17" s="120" t="s">
        <v>69</v>
      </c>
      <c r="S17" s="138">
        <f>Table432[[#This Row],[Invoice Amount]]-Table432[[#This Row],[TDS]]-Table432[[#This Row],[RTN]]-Table432[[#This Row],[RECIVED AMOUNT]]</f>
        <v>231.95999999999549</v>
      </c>
      <c r="T17" s="55"/>
      <c r="U17" s="3"/>
      <c r="V17" s="41">
        <f>Table432[[#This Row],[BALANCE]]-Table432[[#This Row],[RECIVED AMOUNT2]]</f>
        <v>231.95999999999549</v>
      </c>
      <c r="W17" s="50"/>
      <c r="X17" s="50"/>
    </row>
    <row r="18" spans="1:24" ht="19.95" customHeight="1">
      <c r="A18" s="24">
        <v>44956</v>
      </c>
      <c r="B18" s="25" t="s">
        <v>73</v>
      </c>
      <c r="C18" s="26" t="s">
        <v>47</v>
      </c>
      <c r="D18" s="25" t="s">
        <v>54</v>
      </c>
      <c r="E18" s="25" t="s">
        <v>55</v>
      </c>
      <c r="F18" s="27"/>
      <c r="G18" s="28">
        <v>998531</v>
      </c>
      <c r="H18" s="23">
        <v>0.18</v>
      </c>
      <c r="I18" s="38">
        <v>112000</v>
      </c>
      <c r="J18" s="38">
        <f t="shared" si="0"/>
        <v>10080</v>
      </c>
      <c r="K18" s="38">
        <f t="shared" si="1"/>
        <v>10080</v>
      </c>
      <c r="L18" s="39"/>
      <c r="M18" s="40">
        <f>Table432[[#This Row],[Taxable Amount]]+Table432[[#This Row],[SGST]]+Table432[[#This Row],[CGST]]</f>
        <v>132160</v>
      </c>
      <c r="N18" s="140">
        <f>Table432[[#This Row],[Taxable Amount]]*1%</f>
        <v>1120</v>
      </c>
      <c r="O18" s="174"/>
      <c r="P18" s="141"/>
      <c r="Q18" s="51">
        <v>45215</v>
      </c>
      <c r="R18" s="191"/>
      <c r="S18" s="138">
        <f>Table432[[#This Row],[Invoice Amount]]-Table432[[#This Row],[TDS]]-Table432[[#This Row],[RTN]]-Table432[[#This Row],[RECIVED AMOUNT]]</f>
        <v>131040</v>
      </c>
      <c r="T18" s="52"/>
      <c r="U18" s="25"/>
      <c r="V18" s="41">
        <f>Table432[[#This Row],[BALANCE]]-Table432[[#This Row],[RECIVED AMOUNT2]]</f>
        <v>131040</v>
      </c>
      <c r="W18" s="50"/>
      <c r="X18" s="50"/>
    </row>
    <row r="19" spans="1:24" ht="19.95" customHeight="1">
      <c r="A19" s="2">
        <v>44957</v>
      </c>
      <c r="B19" s="3" t="s">
        <v>74</v>
      </c>
      <c r="C19" s="21" t="s">
        <v>42</v>
      </c>
      <c r="D19" s="3" t="s">
        <v>43</v>
      </c>
      <c r="E19" s="3" t="s">
        <v>44</v>
      </c>
      <c r="F19" s="4" t="s">
        <v>45</v>
      </c>
      <c r="G19" s="22">
        <v>998531</v>
      </c>
      <c r="H19" s="23">
        <v>0.18</v>
      </c>
      <c r="I19" s="9">
        <v>145949</v>
      </c>
      <c r="J19" s="9">
        <f t="shared" si="0"/>
        <v>13135.41</v>
      </c>
      <c r="K19" s="9">
        <f t="shared" si="1"/>
        <v>13135.41</v>
      </c>
      <c r="L19" s="41"/>
      <c r="M19" s="37">
        <f>Table432[[#This Row],[Taxable Amount]]+Table432[[#This Row],[SGST]]+Table432[[#This Row],[CGST]]</f>
        <v>172219.82</v>
      </c>
      <c r="N19" s="71">
        <f>Table432[[#This Row],[Taxable Amount]]*1%</f>
        <v>1459.49</v>
      </c>
      <c r="O19" s="157">
        <v>3649</v>
      </c>
      <c r="P19" s="57"/>
      <c r="Q19" s="57"/>
      <c r="R19" s="120" t="s">
        <v>69</v>
      </c>
      <c r="S19" s="138">
        <f>Table432[[#This Row],[Invoice Amount]]-Table432[[#This Row],[TDS]]-Table432[[#This Row],[RTN]]-Table432[[#This Row],[RECIVED AMOUNT]]</f>
        <v>167111.33000000002</v>
      </c>
      <c r="T19" s="55"/>
      <c r="U19" s="3"/>
      <c r="V19" s="41">
        <f>Table432[[#This Row],[BALANCE]]-Table432[[#This Row],[RECIVED AMOUNT2]]</f>
        <v>167111.33000000002</v>
      </c>
      <c r="W19" s="50"/>
      <c r="X19" s="50"/>
    </row>
    <row r="20" spans="1:24" ht="19.95" customHeight="1">
      <c r="A20" s="2">
        <v>44958</v>
      </c>
      <c r="B20" s="3" t="s">
        <v>75</v>
      </c>
      <c r="C20" s="21" t="s">
        <v>76</v>
      </c>
      <c r="D20" s="3" t="s">
        <v>77</v>
      </c>
      <c r="E20" s="3" t="s">
        <v>78</v>
      </c>
      <c r="F20" s="4" t="s">
        <v>37</v>
      </c>
      <c r="G20" s="22">
        <v>998531</v>
      </c>
      <c r="H20" s="23">
        <v>0.18</v>
      </c>
      <c r="I20" s="9">
        <v>11377</v>
      </c>
      <c r="J20" s="9">
        <f t="shared" si="0"/>
        <v>1023.93</v>
      </c>
      <c r="K20" s="9">
        <f t="shared" si="1"/>
        <v>1023.93</v>
      </c>
      <c r="L20" s="41"/>
      <c r="M20" s="37">
        <f>Table432[[#This Row],[Taxable Amount]]+Table432[[#This Row],[SGST]]+Table432[[#This Row],[CGST]]</f>
        <v>13424.86</v>
      </c>
      <c r="N20" s="71"/>
      <c r="O20" s="149">
        <v>0</v>
      </c>
      <c r="P20" s="57">
        <v>13425</v>
      </c>
      <c r="Q20" s="53" t="s">
        <v>79</v>
      </c>
      <c r="R20" s="120" t="s">
        <v>69</v>
      </c>
      <c r="S20" s="138">
        <f>Table432[[#This Row],[Invoice Amount]]-Table432[[#This Row],[TDS]]-Table432[[#This Row],[RTN]]-Table432[[#This Row],[RECIVED AMOUNT]]</f>
        <v>-0.13999999999941792</v>
      </c>
      <c r="T20" s="55"/>
      <c r="U20" s="3"/>
      <c r="V20" s="41">
        <f>Table432[[#This Row],[BALANCE]]-Table432[[#This Row],[RECIVED AMOUNT2]]</f>
        <v>-0.13999999999941792</v>
      </c>
      <c r="W20" s="50"/>
      <c r="X20" s="50"/>
    </row>
    <row r="21" spans="1:24" ht="19.95" customHeight="1">
      <c r="A21" s="2">
        <v>44958</v>
      </c>
      <c r="B21" s="3" t="s">
        <v>80</v>
      </c>
      <c r="C21" s="7" t="s">
        <v>878</v>
      </c>
      <c r="D21" s="3" t="s">
        <v>81</v>
      </c>
      <c r="E21" s="3"/>
      <c r="F21" s="4" t="s">
        <v>26</v>
      </c>
      <c r="G21" s="22">
        <v>998531</v>
      </c>
      <c r="H21" s="23">
        <v>0.18</v>
      </c>
      <c r="I21" s="9">
        <v>2000</v>
      </c>
      <c r="J21" s="9">
        <f t="shared" si="0"/>
        <v>180</v>
      </c>
      <c r="K21" s="9">
        <f t="shared" si="1"/>
        <v>180</v>
      </c>
      <c r="L21" s="41"/>
      <c r="M21" s="37">
        <f>Table432[[#This Row],[Taxable Amount]]+Table432[[#This Row],[SGST]]+Table432[[#This Row],[CGST]]</f>
        <v>2360</v>
      </c>
      <c r="N21" s="71"/>
      <c r="O21" s="149">
        <v>0</v>
      </c>
      <c r="P21" s="57">
        <v>2360</v>
      </c>
      <c r="Q21" s="59">
        <v>45215</v>
      </c>
      <c r="R21" s="120" t="s">
        <v>69</v>
      </c>
      <c r="S21" s="138">
        <f>Table432[[#This Row],[Invoice Amount]]-Table432[[#This Row],[TDS]]-Table432[[#This Row],[RTN]]-Table432[[#This Row],[RECIVED AMOUNT]]</f>
        <v>0</v>
      </c>
      <c r="T21" s="55"/>
      <c r="U21" s="3"/>
      <c r="V21" s="41">
        <f>Table432[[#This Row],[BALANCE]]-Table432[[#This Row],[RECIVED AMOUNT2]]</f>
        <v>0</v>
      </c>
      <c r="W21" s="50"/>
      <c r="X21" s="50"/>
    </row>
    <row r="22" spans="1:24" ht="19.95" customHeight="1">
      <c r="A22" s="2">
        <v>44958</v>
      </c>
      <c r="B22" s="3" t="s">
        <v>82</v>
      </c>
      <c r="C22" s="21" t="s">
        <v>83</v>
      </c>
      <c r="D22" s="3" t="s">
        <v>84</v>
      </c>
      <c r="E22" s="3" t="s">
        <v>85</v>
      </c>
      <c r="F22" s="4" t="s">
        <v>37</v>
      </c>
      <c r="G22" s="22">
        <v>998531</v>
      </c>
      <c r="H22" s="23">
        <v>0.18</v>
      </c>
      <c r="I22" s="9">
        <v>4350</v>
      </c>
      <c r="J22" s="9">
        <f t="shared" si="0"/>
        <v>391.5</v>
      </c>
      <c r="K22" s="9">
        <f t="shared" si="1"/>
        <v>391.5</v>
      </c>
      <c r="L22" s="41"/>
      <c r="M22" s="37">
        <f>Table432[[#This Row],[Taxable Amount]]+Table432[[#This Row],[SGST]]+Table432[[#This Row],[CGST]]</f>
        <v>5133</v>
      </c>
      <c r="N22" s="71"/>
      <c r="O22" s="149">
        <v>0</v>
      </c>
      <c r="P22" s="57">
        <v>5132</v>
      </c>
      <c r="Q22" s="59">
        <v>45215</v>
      </c>
      <c r="R22" s="120" t="s">
        <v>69</v>
      </c>
      <c r="S22" s="138">
        <f>Table432[[#This Row],[Invoice Amount]]-Table432[[#This Row],[TDS]]-Table432[[#This Row],[RTN]]-Table432[[#This Row],[RECIVED AMOUNT]]</f>
        <v>1</v>
      </c>
      <c r="T22" s="55"/>
      <c r="U22" s="3"/>
      <c r="V22" s="41">
        <f>Table432[[#This Row],[BALANCE]]-Table432[[#This Row],[RECIVED AMOUNT2]]</f>
        <v>1</v>
      </c>
      <c r="W22" s="50"/>
      <c r="X22" s="50"/>
    </row>
    <row r="23" spans="1:24" ht="19.95" customHeight="1">
      <c r="A23" s="2">
        <v>44968</v>
      </c>
      <c r="B23" s="3" t="s">
        <v>86</v>
      </c>
      <c r="C23" s="21" t="s">
        <v>87</v>
      </c>
      <c r="D23" s="3" t="s">
        <v>88</v>
      </c>
      <c r="E23" s="3" t="s">
        <v>89</v>
      </c>
      <c r="F23" s="4" t="s">
        <v>37</v>
      </c>
      <c r="G23" s="22">
        <v>998531</v>
      </c>
      <c r="H23" s="23">
        <v>0.18</v>
      </c>
      <c r="I23" s="9">
        <v>15502</v>
      </c>
      <c r="J23" s="9">
        <f t="shared" si="0"/>
        <v>1395.18</v>
      </c>
      <c r="K23" s="9">
        <f t="shared" si="1"/>
        <v>1395.18</v>
      </c>
      <c r="L23" s="41"/>
      <c r="M23" s="37">
        <f>Table432[[#This Row],[Taxable Amount]]+Table432[[#This Row],[SGST]]+Table432[[#This Row],[CGST]]</f>
        <v>18292.36</v>
      </c>
      <c r="N23" s="71"/>
      <c r="O23" s="157">
        <v>0</v>
      </c>
      <c r="P23" s="57">
        <v>18292</v>
      </c>
      <c r="Q23" s="58">
        <v>45023</v>
      </c>
      <c r="R23" s="120" t="s">
        <v>69</v>
      </c>
      <c r="S23" s="138">
        <f>Table432[[#This Row],[Invoice Amount]]-Table432[[#This Row],[TDS]]-Table432[[#This Row],[RTN]]-Table432[[#This Row],[RECIVED AMOUNT]]</f>
        <v>0.36000000000058208</v>
      </c>
      <c r="T23" s="55"/>
      <c r="U23" s="3"/>
      <c r="V23" s="41">
        <f>Table432[[#This Row],[BALANCE]]-Table432[[#This Row],[RECIVED AMOUNT2]]</f>
        <v>0.36000000000058208</v>
      </c>
      <c r="W23" s="50"/>
      <c r="X23" s="50"/>
    </row>
    <row r="24" spans="1:24" ht="19.95" customHeight="1">
      <c r="A24" s="2">
        <v>44983</v>
      </c>
      <c r="B24" s="3" t="s">
        <v>90</v>
      </c>
      <c r="C24" s="21" t="s">
        <v>91</v>
      </c>
      <c r="D24" s="3" t="s">
        <v>92</v>
      </c>
      <c r="E24" s="3" t="s">
        <v>59</v>
      </c>
      <c r="F24" s="4" t="s">
        <v>26</v>
      </c>
      <c r="G24" s="22">
        <v>998531</v>
      </c>
      <c r="H24" s="23">
        <v>0.18</v>
      </c>
      <c r="I24" s="9">
        <v>900</v>
      </c>
      <c r="J24" s="9">
        <f t="shared" si="0"/>
        <v>81</v>
      </c>
      <c r="K24" s="9">
        <f t="shared" si="1"/>
        <v>81</v>
      </c>
      <c r="L24" s="41"/>
      <c r="M24" s="37">
        <f>Table432[[#This Row],[Taxable Amount]]+Table432[[#This Row],[SGST]]+Table432[[#This Row],[CGST]]</f>
        <v>1062</v>
      </c>
      <c r="N24" s="71"/>
      <c r="O24" s="149">
        <v>0</v>
      </c>
      <c r="P24" s="57">
        <v>1064</v>
      </c>
      <c r="Q24" s="59">
        <v>45215</v>
      </c>
      <c r="R24" s="120" t="s">
        <v>69</v>
      </c>
      <c r="S24" s="138">
        <f>Table432[[#This Row],[Invoice Amount]]-Table432[[#This Row],[TDS]]-Table432[[#This Row],[RTN]]-Table432[[#This Row],[RECIVED AMOUNT]]</f>
        <v>-2</v>
      </c>
      <c r="T24" s="55"/>
      <c r="U24" s="3"/>
      <c r="V24" s="41">
        <f>Table432[[#This Row],[BALANCE]]-Table432[[#This Row],[RECIVED AMOUNT2]]</f>
        <v>-2</v>
      </c>
      <c r="W24" s="50"/>
      <c r="X24" s="50"/>
    </row>
    <row r="25" spans="1:24" ht="19.95" customHeight="1">
      <c r="A25" s="2">
        <v>44985</v>
      </c>
      <c r="B25" s="3" t="s">
        <v>93</v>
      </c>
      <c r="C25" s="21" t="s">
        <v>42</v>
      </c>
      <c r="D25" s="3" t="s">
        <v>43</v>
      </c>
      <c r="E25" s="3" t="s">
        <v>44</v>
      </c>
      <c r="F25" s="4" t="s">
        <v>45</v>
      </c>
      <c r="G25" s="22">
        <v>998531</v>
      </c>
      <c r="H25" s="23">
        <v>0.18</v>
      </c>
      <c r="I25" s="9">
        <v>55411</v>
      </c>
      <c r="J25" s="9">
        <f t="shared" si="0"/>
        <v>4986.99</v>
      </c>
      <c r="K25" s="9">
        <f t="shared" si="1"/>
        <v>4986.99</v>
      </c>
      <c r="L25" s="41"/>
      <c r="M25" s="37">
        <f>Table432[[#This Row],[Taxable Amount]]+Table432[[#This Row],[SGST]]+Table432[[#This Row],[CGST]]</f>
        <v>65384.979999999996</v>
      </c>
      <c r="N25" s="71">
        <f>Table432[[#This Row],[Taxable Amount]]*1%</f>
        <v>554.11</v>
      </c>
      <c r="O25" s="157">
        <v>1385</v>
      </c>
      <c r="P25" s="57"/>
      <c r="Q25" s="59"/>
      <c r="R25" s="120" t="s">
        <v>69</v>
      </c>
      <c r="S25" s="138">
        <f>Table432[[#This Row],[Invoice Amount]]-Table432[[#This Row],[TDS]]-Table432[[#This Row],[RTN]]-Table432[[#This Row],[RECIVED AMOUNT]]</f>
        <v>63445.869999999995</v>
      </c>
      <c r="T25" s="60"/>
      <c r="U25" s="61"/>
      <c r="V25" s="41">
        <f>Table432[[#This Row],[BALANCE]]-Table432[[#This Row],[RECIVED AMOUNT2]]</f>
        <v>63445.869999999995</v>
      </c>
      <c r="W25" s="50"/>
      <c r="X25" s="50"/>
    </row>
    <row r="26" spans="1:24" ht="19.95" customHeight="1">
      <c r="A26" s="30">
        <v>44985</v>
      </c>
      <c r="B26" s="31" t="s">
        <v>94</v>
      </c>
      <c r="C26" s="32" t="s">
        <v>23</v>
      </c>
      <c r="D26" s="31" t="s">
        <v>24</v>
      </c>
      <c r="E26" s="31" t="s">
        <v>25</v>
      </c>
      <c r="F26" s="33" t="s">
        <v>26</v>
      </c>
      <c r="G26" s="34">
        <v>998531</v>
      </c>
      <c r="H26" s="23">
        <v>0.18</v>
      </c>
      <c r="I26" s="42">
        <v>5075</v>
      </c>
      <c r="J26" s="42">
        <f t="shared" si="0"/>
        <v>456.75</v>
      </c>
      <c r="K26" s="42">
        <f t="shared" si="1"/>
        <v>456.75</v>
      </c>
      <c r="L26" s="43"/>
      <c r="M26" s="44">
        <f>Table432[[#This Row],[Taxable Amount]]+Table432[[#This Row],[SGST]]+Table432[[#This Row],[CGST]]</f>
        <v>5988.5</v>
      </c>
      <c r="N26" s="142">
        <f>Table432[[#This Row],[Taxable Amount]]*1%</f>
        <v>50.75</v>
      </c>
      <c r="O26" s="152">
        <v>0</v>
      </c>
      <c r="P26" s="101">
        <v>3000</v>
      </c>
      <c r="Q26" s="62">
        <v>45128</v>
      </c>
      <c r="R26" s="192" t="s">
        <v>69</v>
      </c>
      <c r="S26" s="138">
        <f>Table432[[#This Row],[Invoice Amount]]-Table432[[#This Row],[TDS]]-Table432[[#This Row],[RTN]]-Table432[[#This Row],[RECIVED AMOUNT]]</f>
        <v>2937.75</v>
      </c>
      <c r="T26" s="63"/>
      <c r="U26" s="31"/>
      <c r="V26" s="41">
        <f>Table432[[#This Row],[BALANCE]]-Table432[[#This Row],[RECIVED AMOUNT2]]</f>
        <v>2937.75</v>
      </c>
      <c r="W26" s="50"/>
      <c r="X26" s="50"/>
    </row>
    <row r="27" spans="1:24" ht="19.95" customHeight="1">
      <c r="A27" s="2">
        <v>44985</v>
      </c>
      <c r="B27" s="3" t="s">
        <v>95</v>
      </c>
      <c r="C27" s="21" t="s">
        <v>96</v>
      </c>
      <c r="D27" s="3" t="s">
        <v>97</v>
      </c>
      <c r="E27" s="3" t="s">
        <v>89</v>
      </c>
      <c r="F27" s="4" t="s">
        <v>26</v>
      </c>
      <c r="G27" s="22">
        <v>998531</v>
      </c>
      <c r="H27" s="23">
        <v>0.18</v>
      </c>
      <c r="I27" s="9">
        <v>8280</v>
      </c>
      <c r="J27" s="9">
        <f t="shared" si="0"/>
        <v>745.2</v>
      </c>
      <c r="K27" s="9">
        <f t="shared" si="1"/>
        <v>745.2</v>
      </c>
      <c r="L27" s="41"/>
      <c r="M27" s="37">
        <f>Table432[[#This Row],[Taxable Amount]]+Table432[[#This Row],[SGST]]+Table432[[#This Row],[CGST]]</f>
        <v>9770.4000000000015</v>
      </c>
      <c r="N27" s="71">
        <f>Table432[[#This Row],[Taxable Amount]]*1%</f>
        <v>82.8</v>
      </c>
      <c r="O27" s="157">
        <v>0</v>
      </c>
      <c r="P27" s="147"/>
      <c r="Q27" s="58">
        <v>45023</v>
      </c>
      <c r="R27" s="120" t="s">
        <v>69</v>
      </c>
      <c r="S27" s="138">
        <f>Table432[[#This Row],[Invoice Amount]]-Table432[[#This Row],[TDS]]-Table432[[#This Row],[RTN]]-Table432[[#This Row],[RECIVED AMOUNT]]</f>
        <v>9687.6000000000022</v>
      </c>
      <c r="T27" s="55"/>
      <c r="U27" s="3"/>
      <c r="V27" s="41">
        <f>Table432[[#This Row],[BALANCE]]-Table432[[#This Row],[RECIVED AMOUNT2]]</f>
        <v>9687.6000000000022</v>
      </c>
      <c r="W27" s="50"/>
      <c r="X27" s="50"/>
    </row>
    <row r="28" spans="1:24" ht="19.95" customHeight="1">
      <c r="A28" s="24">
        <v>44985</v>
      </c>
      <c r="B28" s="25" t="s">
        <v>98</v>
      </c>
      <c r="C28" s="26" t="s">
        <v>23</v>
      </c>
      <c r="D28" s="25" t="s">
        <v>54</v>
      </c>
      <c r="E28" s="25" t="s">
        <v>99</v>
      </c>
      <c r="F28" s="27"/>
      <c r="G28" s="28">
        <v>998531</v>
      </c>
      <c r="H28" s="23">
        <v>0.18</v>
      </c>
      <c r="I28" s="38">
        <v>5075</v>
      </c>
      <c r="J28" s="38">
        <f t="shared" si="0"/>
        <v>456.75</v>
      </c>
      <c r="K28" s="38">
        <f t="shared" si="1"/>
        <v>456.75</v>
      </c>
      <c r="L28" s="39"/>
      <c r="M28" s="40">
        <f>Table432[[#This Row],[Taxable Amount]]+Table432[[#This Row],[SGST]]+Table432[[#This Row],[CGST]]</f>
        <v>5988.5</v>
      </c>
      <c r="N28" s="140">
        <f>Table432[[#This Row],[Taxable Amount]]*1%</f>
        <v>50.75</v>
      </c>
      <c r="O28" s="174"/>
      <c r="P28" s="141"/>
      <c r="Q28" s="51">
        <v>45215</v>
      </c>
      <c r="R28" s="191"/>
      <c r="S28" s="138">
        <f>Table432[[#This Row],[Invoice Amount]]-Table432[[#This Row],[TDS]]-Table432[[#This Row],[RTN]]-Table432[[#This Row],[RECIVED AMOUNT]]</f>
        <v>5937.75</v>
      </c>
      <c r="T28" s="52"/>
      <c r="U28" s="25"/>
      <c r="V28" s="41">
        <f>Table432[[#This Row],[BALANCE]]-Table432[[#This Row],[RECIVED AMOUNT2]]</f>
        <v>5937.75</v>
      </c>
      <c r="W28" s="50"/>
      <c r="X28" s="50"/>
    </row>
    <row r="29" spans="1:24" ht="19.95" customHeight="1">
      <c r="A29" s="2">
        <v>44991</v>
      </c>
      <c r="B29" s="3" t="s">
        <v>100</v>
      </c>
      <c r="C29" s="21" t="s">
        <v>42</v>
      </c>
      <c r="D29" s="3" t="s">
        <v>43</v>
      </c>
      <c r="E29" s="3" t="s">
        <v>101</v>
      </c>
      <c r="F29" s="4" t="s">
        <v>26</v>
      </c>
      <c r="G29" s="22">
        <v>998531</v>
      </c>
      <c r="H29" s="23">
        <v>0.18</v>
      </c>
      <c r="I29" s="9">
        <v>6130</v>
      </c>
      <c r="J29" s="9">
        <f t="shared" si="0"/>
        <v>551.70000000000005</v>
      </c>
      <c r="K29" s="9">
        <f t="shared" si="1"/>
        <v>551.70000000000005</v>
      </c>
      <c r="L29" s="41"/>
      <c r="M29" s="37">
        <f>Table432[[#This Row],[Taxable Amount]]+Table432[[#This Row],[SGST]]+Table432[[#This Row],[CGST]]</f>
        <v>7233.4</v>
      </c>
      <c r="N29" s="71">
        <f>Table432[[#This Row],[Taxable Amount]]*1%</f>
        <v>61.300000000000004</v>
      </c>
      <c r="O29" s="157">
        <v>0</v>
      </c>
      <c r="P29" s="57"/>
      <c r="Q29" s="64"/>
      <c r="R29" s="120" t="s">
        <v>69</v>
      </c>
      <c r="S29" s="138">
        <f>Table432[[#This Row],[Invoice Amount]]-Table432[[#This Row],[TDS]]-Table432[[#This Row],[RTN]]-Table432[[#This Row],[RECIVED AMOUNT]]</f>
        <v>7172.0999999999995</v>
      </c>
      <c r="T29" s="55"/>
      <c r="U29" s="3"/>
      <c r="V29" s="41">
        <f>Table432[[#This Row],[BALANCE]]-Table432[[#This Row],[RECIVED AMOUNT2]]</f>
        <v>7172.0999999999995</v>
      </c>
      <c r="W29" s="50"/>
      <c r="X29" s="50"/>
    </row>
    <row r="30" spans="1:24" ht="19.95" customHeight="1">
      <c r="A30" s="2">
        <v>44991</v>
      </c>
      <c r="B30" s="3" t="s">
        <v>102</v>
      </c>
      <c r="C30" s="21" t="s">
        <v>103</v>
      </c>
      <c r="D30" s="3" t="s">
        <v>104</v>
      </c>
      <c r="E30" s="3"/>
      <c r="F30" s="35" t="s">
        <v>26</v>
      </c>
      <c r="G30" s="22">
        <v>998531</v>
      </c>
      <c r="H30" s="23">
        <v>0.18</v>
      </c>
      <c r="I30" s="9">
        <v>5000</v>
      </c>
      <c r="J30" s="9">
        <v>450</v>
      </c>
      <c r="K30" s="9">
        <v>450</v>
      </c>
      <c r="L30" s="41"/>
      <c r="M30" s="37">
        <f>Table432[[#This Row],[Taxable Amount]]+Table432[[#This Row],[SGST]]+Table432[[#This Row],[CGST]]</f>
        <v>5900</v>
      </c>
      <c r="N30" s="71"/>
      <c r="O30" s="149">
        <v>0</v>
      </c>
      <c r="P30" s="148">
        <v>5900</v>
      </c>
      <c r="Q30" s="59">
        <v>45215</v>
      </c>
      <c r="R30" s="120" t="s">
        <v>69</v>
      </c>
      <c r="S30" s="138">
        <f>Table432[[#This Row],[Invoice Amount]]-Table432[[#This Row],[TDS]]-Table432[[#This Row],[RTN]]-Table432[[#This Row],[RECIVED AMOUNT]]</f>
        <v>0</v>
      </c>
      <c r="T30" s="55"/>
      <c r="U30" s="3"/>
      <c r="V30" s="41">
        <f>Table432[[#This Row],[BALANCE]]-Table432[[#This Row],[RECIVED AMOUNT2]]</f>
        <v>0</v>
      </c>
      <c r="W30" s="50"/>
      <c r="X30" s="50"/>
    </row>
    <row r="31" spans="1:24" ht="19.95" customHeight="1">
      <c r="A31" s="2">
        <v>45000</v>
      </c>
      <c r="B31" s="3" t="s">
        <v>105</v>
      </c>
      <c r="C31" s="21" t="s">
        <v>106</v>
      </c>
      <c r="D31" s="3" t="s">
        <v>107</v>
      </c>
      <c r="E31" s="3" t="s">
        <v>59</v>
      </c>
      <c r="F31" s="4" t="s">
        <v>37</v>
      </c>
      <c r="G31" s="22">
        <v>998531</v>
      </c>
      <c r="H31" s="23">
        <v>0.18</v>
      </c>
      <c r="I31" s="9">
        <v>19250</v>
      </c>
      <c r="J31" s="9">
        <f t="shared" ref="J31:J68" si="2">I31*9/100</f>
        <v>1732.5</v>
      </c>
      <c r="K31" s="9">
        <f t="shared" ref="K31:K68" si="3">I31*9/100</f>
        <v>1732.5</v>
      </c>
      <c r="L31" s="41"/>
      <c r="M31" s="37">
        <f>Table432[[#This Row],[Taxable Amount]]+Table432[[#This Row],[SGST]]+Table432[[#This Row],[CGST]]</f>
        <v>22715</v>
      </c>
      <c r="N31" s="71"/>
      <c r="O31" s="149">
        <v>0</v>
      </c>
      <c r="P31" s="57">
        <v>22714</v>
      </c>
      <c r="Q31" s="53" t="s">
        <v>108</v>
      </c>
      <c r="R31" s="120" t="s">
        <v>69</v>
      </c>
      <c r="S31" s="138">
        <f>Table432[[#This Row],[Invoice Amount]]-Table432[[#This Row],[TDS]]-Table432[[#This Row],[RTN]]-Table432[[#This Row],[RECIVED AMOUNT]]</f>
        <v>1</v>
      </c>
      <c r="T31" s="55"/>
      <c r="U31" s="3"/>
      <c r="V31" s="41">
        <f>Table432[[#This Row],[BALANCE]]-Table432[[#This Row],[RECIVED AMOUNT2]]</f>
        <v>1</v>
      </c>
      <c r="W31" s="50"/>
      <c r="X31" s="50"/>
    </row>
    <row r="32" spans="1:24" ht="19.95" customHeight="1">
      <c r="A32" s="2">
        <v>45012</v>
      </c>
      <c r="B32" s="3" t="s">
        <v>109</v>
      </c>
      <c r="C32" s="21" t="s">
        <v>34</v>
      </c>
      <c r="D32" s="3" t="s">
        <v>110</v>
      </c>
      <c r="E32" s="3" t="s">
        <v>36</v>
      </c>
      <c r="F32" s="4" t="s">
        <v>37</v>
      </c>
      <c r="G32" s="22">
        <v>998531</v>
      </c>
      <c r="H32" s="23">
        <v>0.18</v>
      </c>
      <c r="I32" s="9">
        <v>3900</v>
      </c>
      <c r="J32" s="9">
        <f t="shared" si="2"/>
        <v>351</v>
      </c>
      <c r="K32" s="9">
        <f t="shared" si="3"/>
        <v>351</v>
      </c>
      <c r="L32" s="41"/>
      <c r="M32" s="37">
        <f>Table432[[#This Row],[Taxable Amount]]+Table432[[#This Row],[SGST]]+Table432[[#This Row],[CGST]]</f>
        <v>4602</v>
      </c>
      <c r="N32" s="71"/>
      <c r="O32" s="149">
        <v>0</v>
      </c>
      <c r="P32" s="57">
        <v>4602</v>
      </c>
      <c r="Q32" s="53" t="s">
        <v>111</v>
      </c>
      <c r="R32" s="120" t="s">
        <v>69</v>
      </c>
      <c r="S32" s="138">
        <f>Table432[[#This Row],[Invoice Amount]]-Table432[[#This Row],[TDS]]-Table432[[#This Row],[RTN]]-Table432[[#This Row],[RECIVED AMOUNT]]</f>
        <v>0</v>
      </c>
      <c r="T32" s="55"/>
      <c r="U32" s="3"/>
      <c r="V32" s="41">
        <f>Table432[[#This Row],[BALANCE]]-Table432[[#This Row],[RECIVED AMOUNT2]]</f>
        <v>0</v>
      </c>
      <c r="W32" s="50"/>
      <c r="X32" s="50"/>
    </row>
    <row r="33" spans="1:24" ht="19.95" customHeight="1">
      <c r="A33" s="2">
        <v>45016</v>
      </c>
      <c r="B33" s="3" t="s">
        <v>112</v>
      </c>
      <c r="C33" s="21" t="s">
        <v>42</v>
      </c>
      <c r="D33" s="3" t="s">
        <v>43</v>
      </c>
      <c r="E33" s="3" t="s">
        <v>44</v>
      </c>
      <c r="F33" s="4" t="s">
        <v>45</v>
      </c>
      <c r="G33" s="22">
        <v>998531</v>
      </c>
      <c r="H33" s="23">
        <v>0.18</v>
      </c>
      <c r="I33" s="9">
        <v>75587</v>
      </c>
      <c r="J33" s="9">
        <f t="shared" si="2"/>
        <v>6802.83</v>
      </c>
      <c r="K33" s="9">
        <f t="shared" si="3"/>
        <v>6802.83</v>
      </c>
      <c r="L33" s="41"/>
      <c r="M33" s="37">
        <f>Table432[[#This Row],[Taxable Amount]]+Table432[[#This Row],[SGST]]+Table432[[#This Row],[CGST]]</f>
        <v>89192.66</v>
      </c>
      <c r="N33" s="71">
        <f>Table432[[#This Row],[Taxable Amount]]*1%</f>
        <v>755.87</v>
      </c>
      <c r="O33" s="157">
        <v>1890</v>
      </c>
      <c r="P33" s="145">
        <v>50350</v>
      </c>
      <c r="Q33" s="65">
        <v>44879</v>
      </c>
      <c r="R33" s="120" t="s">
        <v>69</v>
      </c>
      <c r="S33" s="138">
        <f>Table432[[#This Row],[Invoice Amount]]-Table432[[#This Row],[TDS]]-Table432[[#This Row],[RTN]]-Table432[[#This Row],[RECIVED AMOUNT]]</f>
        <v>36196.790000000008</v>
      </c>
      <c r="T33" s="55"/>
      <c r="U33" s="3"/>
      <c r="V33" s="41">
        <f>Table432[[#This Row],[BALANCE]]-Table432[[#This Row],[RECIVED AMOUNT2]]</f>
        <v>36196.790000000008</v>
      </c>
      <c r="W33" s="50"/>
      <c r="X33" s="50"/>
    </row>
    <row r="34" spans="1:24" ht="19.95" customHeight="1">
      <c r="A34" s="24">
        <v>45017</v>
      </c>
      <c r="B34" s="25" t="s">
        <v>113</v>
      </c>
      <c r="C34" s="26" t="s">
        <v>42</v>
      </c>
      <c r="D34" s="25" t="s">
        <v>54</v>
      </c>
      <c r="E34" s="25" t="s">
        <v>114</v>
      </c>
      <c r="F34" s="27"/>
      <c r="G34" s="28">
        <v>998531</v>
      </c>
      <c r="H34" s="23">
        <v>0.18</v>
      </c>
      <c r="I34" s="38">
        <v>75587</v>
      </c>
      <c r="J34" s="38">
        <f t="shared" si="2"/>
        <v>6802.83</v>
      </c>
      <c r="K34" s="38">
        <f t="shared" si="3"/>
        <v>6802.83</v>
      </c>
      <c r="L34" s="39"/>
      <c r="M34" s="40">
        <f>Table432[[#This Row],[Taxable Amount]]+Table432[[#This Row],[SGST]]+Table432[[#This Row],[CGST]]</f>
        <v>89192.66</v>
      </c>
      <c r="N34" s="140">
        <f>Table432[[#This Row],[Taxable Amount]]*1%</f>
        <v>755.87</v>
      </c>
      <c r="O34" s="174"/>
      <c r="P34" s="141"/>
      <c r="Q34" s="51">
        <v>45215</v>
      </c>
      <c r="R34" s="191"/>
      <c r="S34" s="138">
        <f>Table432[[#This Row],[Invoice Amount]]-Table432[[#This Row],[TDS]]-Table432[[#This Row],[RTN]]-Table432[[#This Row],[RECIVED AMOUNT]]</f>
        <v>88436.790000000008</v>
      </c>
      <c r="T34" s="52"/>
      <c r="U34" s="25"/>
      <c r="V34" s="41">
        <f>Table432[[#This Row],[BALANCE]]-Table432[[#This Row],[RECIVED AMOUNT2]]</f>
        <v>88436.790000000008</v>
      </c>
      <c r="W34" s="50"/>
      <c r="X34" s="50"/>
    </row>
    <row r="35" spans="1:24" ht="19.95" customHeight="1">
      <c r="A35" s="2">
        <v>45019</v>
      </c>
      <c r="B35" s="3" t="s">
        <v>115</v>
      </c>
      <c r="C35" s="21" t="s">
        <v>116</v>
      </c>
      <c r="D35" s="3" t="s">
        <v>117</v>
      </c>
      <c r="E35" s="3" t="s">
        <v>59</v>
      </c>
      <c r="F35" s="4" t="s">
        <v>26</v>
      </c>
      <c r="G35" s="22">
        <v>998531</v>
      </c>
      <c r="H35" s="23">
        <v>0.18</v>
      </c>
      <c r="I35" s="9">
        <v>8650</v>
      </c>
      <c r="J35" s="9">
        <f t="shared" si="2"/>
        <v>778.5</v>
      </c>
      <c r="K35" s="9">
        <f t="shared" si="3"/>
        <v>778.5</v>
      </c>
      <c r="L35" s="41"/>
      <c r="M35" s="37">
        <f>Table432[[#This Row],[Taxable Amount]]+Table432[[#This Row],[SGST]]+Table432[[#This Row],[CGST]]</f>
        <v>10207</v>
      </c>
      <c r="N35" s="71">
        <f>Table432[[#This Row],[Taxable Amount]]*1%</f>
        <v>86.5</v>
      </c>
      <c r="O35" s="157">
        <v>0</v>
      </c>
      <c r="P35" s="57">
        <v>10119</v>
      </c>
      <c r="Q35" s="57" t="s">
        <v>118</v>
      </c>
      <c r="R35" s="193" t="s">
        <v>119</v>
      </c>
      <c r="S35" s="138">
        <f>Table432[[#This Row],[Invoice Amount]]-Table432[[#This Row],[TDS]]-Table432[[#This Row],[RTN]]-Table432[[#This Row],[RECIVED AMOUNT]]</f>
        <v>1.5</v>
      </c>
      <c r="T35" s="55"/>
      <c r="U35" s="3"/>
      <c r="V35" s="41">
        <f>Table432[[#This Row],[BALANCE]]-Table432[[#This Row],[RECIVED AMOUNT2]]</f>
        <v>1.5</v>
      </c>
      <c r="W35" s="50"/>
      <c r="X35" s="50"/>
    </row>
    <row r="36" spans="1:24" ht="19.95" customHeight="1">
      <c r="A36" s="2">
        <v>45019</v>
      </c>
      <c r="B36" s="3" t="s">
        <v>120</v>
      </c>
      <c r="C36" s="21" t="s">
        <v>96</v>
      </c>
      <c r="D36" s="3" t="s">
        <v>97</v>
      </c>
      <c r="E36" s="3" t="s">
        <v>89</v>
      </c>
      <c r="F36" s="4" t="s">
        <v>26</v>
      </c>
      <c r="G36" s="22">
        <v>998531</v>
      </c>
      <c r="H36" s="23">
        <v>0.18</v>
      </c>
      <c r="I36" s="9">
        <v>8280</v>
      </c>
      <c r="J36" s="9">
        <f t="shared" si="2"/>
        <v>745.2</v>
      </c>
      <c r="K36" s="9">
        <f t="shared" si="3"/>
        <v>745.2</v>
      </c>
      <c r="L36" s="41"/>
      <c r="M36" s="37">
        <f>Table432[[#This Row],[Taxable Amount]]+Table432[[#This Row],[SGST]]+Table432[[#This Row],[CGST]]</f>
        <v>9770.4000000000015</v>
      </c>
      <c r="N36" s="71">
        <f>Table432[[#This Row],[Taxable Amount]]*1%</f>
        <v>82.8</v>
      </c>
      <c r="O36" s="157">
        <v>0</v>
      </c>
      <c r="P36" s="147">
        <v>18292</v>
      </c>
      <c r="Q36" s="58">
        <v>45023</v>
      </c>
      <c r="R36" s="193" t="s">
        <v>119</v>
      </c>
      <c r="S36" s="138">
        <f>Table432[[#This Row],[Invoice Amount]]-Table432[[#This Row],[TDS]]-Table432[[#This Row],[RTN]]-Table432[[#This Row],[RECIVED AMOUNT]]</f>
        <v>-8604.3999999999978</v>
      </c>
      <c r="T36" s="55"/>
      <c r="U36" s="3"/>
      <c r="V36" s="41">
        <f>Table432[[#This Row],[BALANCE]]-Table432[[#This Row],[RECIVED AMOUNT2]]</f>
        <v>-8604.3999999999978</v>
      </c>
      <c r="W36" s="50"/>
      <c r="X36" s="50"/>
    </row>
    <row r="37" spans="1:24" ht="19.95" customHeight="1">
      <c r="A37" s="2">
        <v>45020</v>
      </c>
      <c r="B37" s="3" t="s">
        <v>71</v>
      </c>
      <c r="C37" s="21" t="s">
        <v>47</v>
      </c>
      <c r="D37" s="3" t="s">
        <v>48</v>
      </c>
      <c r="E37" s="3" t="s">
        <v>59</v>
      </c>
      <c r="F37" s="4" t="s">
        <v>37</v>
      </c>
      <c r="G37" s="22">
        <v>998531</v>
      </c>
      <c r="H37" s="23">
        <v>0.18</v>
      </c>
      <c r="I37" s="9">
        <v>3449</v>
      </c>
      <c r="J37" s="9">
        <f t="shared" si="2"/>
        <v>310.41000000000003</v>
      </c>
      <c r="K37" s="9">
        <f t="shared" si="3"/>
        <v>310.41000000000003</v>
      </c>
      <c r="L37" s="41"/>
      <c r="M37" s="37">
        <f>Table432[[#This Row],[Taxable Amount]]+Table432[[#This Row],[SGST]]+Table432[[#This Row],[CGST]]</f>
        <v>4069.8199999999997</v>
      </c>
      <c r="N37" s="71">
        <f>Table432[[#This Row],[Taxable Amount]]*1%</f>
        <v>34.49</v>
      </c>
      <c r="O37" s="157">
        <v>0</v>
      </c>
      <c r="P37" s="57">
        <v>5000</v>
      </c>
      <c r="Q37" s="58">
        <v>45051</v>
      </c>
      <c r="R37" s="193" t="s">
        <v>119</v>
      </c>
      <c r="S37" s="138">
        <f>Table432[[#This Row],[Invoice Amount]]-Table432[[#This Row],[TDS]]-Table432[[#This Row],[RTN]]-Table432[[#This Row],[RECIVED AMOUNT]]</f>
        <v>-964.67000000000007</v>
      </c>
      <c r="T37" s="55"/>
      <c r="U37" s="3"/>
      <c r="V37" s="41">
        <f>Table432[[#This Row],[BALANCE]]-Table432[[#This Row],[RECIVED AMOUNT2]]</f>
        <v>-964.67000000000007</v>
      </c>
      <c r="W37" s="50"/>
      <c r="X37" s="50"/>
    </row>
    <row r="38" spans="1:24" ht="19.95" customHeight="1">
      <c r="A38" s="2">
        <v>45027</v>
      </c>
      <c r="B38" s="3" t="s">
        <v>121</v>
      </c>
      <c r="C38" s="21" t="s">
        <v>23</v>
      </c>
      <c r="D38" s="3" t="s">
        <v>24</v>
      </c>
      <c r="E38" s="3" t="s">
        <v>25</v>
      </c>
      <c r="F38" s="4" t="s">
        <v>26</v>
      </c>
      <c r="G38" s="22">
        <v>998531</v>
      </c>
      <c r="H38" s="23">
        <v>0.18</v>
      </c>
      <c r="I38" s="9">
        <v>6000</v>
      </c>
      <c r="J38" s="9">
        <f t="shared" si="2"/>
        <v>540</v>
      </c>
      <c r="K38" s="9">
        <f t="shared" si="3"/>
        <v>540</v>
      </c>
      <c r="L38" s="41"/>
      <c r="M38" s="37">
        <f>Table432[[#This Row],[Taxable Amount]]+Table432[[#This Row],[SGST]]+Table432[[#This Row],[CGST]]</f>
        <v>7080</v>
      </c>
      <c r="N38" s="71">
        <f>Table432[[#This Row],[Taxable Amount]]*1%</f>
        <v>60</v>
      </c>
      <c r="O38" s="157">
        <v>0</v>
      </c>
      <c r="P38" s="57">
        <v>5938</v>
      </c>
      <c r="Q38" s="66">
        <v>45023</v>
      </c>
      <c r="R38" s="193" t="s">
        <v>119</v>
      </c>
      <c r="S38" s="138">
        <f>Table432[[#This Row],[Invoice Amount]]-Table432[[#This Row],[TDS]]-Table432[[#This Row],[RTN]]-Table432[[#This Row],[RECIVED AMOUNT]]</f>
        <v>1082</v>
      </c>
      <c r="T38" s="55"/>
      <c r="U38" s="3"/>
      <c r="V38" s="41">
        <f>Table432[[#This Row],[BALANCE]]-Table432[[#This Row],[RECIVED AMOUNT2]]</f>
        <v>1082</v>
      </c>
      <c r="W38" s="50"/>
      <c r="X38" s="50"/>
    </row>
    <row r="39" spans="1:24" ht="19.95" customHeight="1">
      <c r="A39" s="2">
        <v>45045</v>
      </c>
      <c r="B39" s="3" t="s">
        <v>122</v>
      </c>
      <c r="C39" s="21" t="s">
        <v>96</v>
      </c>
      <c r="D39" s="3" t="s">
        <v>97</v>
      </c>
      <c r="E39" s="3" t="s">
        <v>89</v>
      </c>
      <c r="F39" s="4" t="s">
        <v>26</v>
      </c>
      <c r="G39" s="22">
        <v>998531</v>
      </c>
      <c r="H39" s="23">
        <v>0.18</v>
      </c>
      <c r="I39" s="9">
        <v>8280</v>
      </c>
      <c r="J39" s="9">
        <f t="shared" si="2"/>
        <v>745.2</v>
      </c>
      <c r="K39" s="9">
        <f t="shared" si="3"/>
        <v>745.2</v>
      </c>
      <c r="L39" s="41"/>
      <c r="M39" s="37">
        <f>Table432[[#This Row],[Taxable Amount]]+Table432[[#This Row],[SGST]]+Table432[[#This Row],[CGST]]</f>
        <v>9770.4000000000015</v>
      </c>
      <c r="N39" s="71">
        <f>Table432[[#This Row],[Taxable Amount]]*1%</f>
        <v>82.8</v>
      </c>
      <c r="O39" s="157">
        <v>0</v>
      </c>
      <c r="P39" s="147"/>
      <c r="Q39" s="58">
        <v>45065</v>
      </c>
      <c r="R39" s="193" t="s">
        <v>119</v>
      </c>
      <c r="S39" s="138">
        <f>Table432[[#This Row],[Invoice Amount]]-Table432[[#This Row],[TDS]]-Table432[[#This Row],[RTN]]-Table432[[#This Row],[RECIVED AMOUNT]]</f>
        <v>9687.6000000000022</v>
      </c>
      <c r="T39" s="55"/>
      <c r="U39" s="3"/>
      <c r="V39" s="41">
        <f>Table432[[#This Row],[BALANCE]]-Table432[[#This Row],[RECIVED AMOUNT2]]</f>
        <v>9687.6000000000022</v>
      </c>
      <c r="W39" s="50"/>
      <c r="X39" s="50"/>
    </row>
    <row r="40" spans="1:24" ht="19.95" customHeight="1">
      <c r="A40" s="2">
        <v>45046</v>
      </c>
      <c r="B40" s="3" t="s">
        <v>123</v>
      </c>
      <c r="C40" s="21" t="s">
        <v>42</v>
      </c>
      <c r="D40" s="3" t="s">
        <v>43</v>
      </c>
      <c r="E40" s="3" t="s">
        <v>44</v>
      </c>
      <c r="F40" s="4" t="s">
        <v>45</v>
      </c>
      <c r="G40" s="22">
        <v>998531</v>
      </c>
      <c r="H40" s="23">
        <v>0.18</v>
      </c>
      <c r="I40" s="9">
        <v>29133</v>
      </c>
      <c r="J40" s="9">
        <f t="shared" si="2"/>
        <v>2621.97</v>
      </c>
      <c r="K40" s="9">
        <f t="shared" si="3"/>
        <v>2621.97</v>
      </c>
      <c r="L40" s="41"/>
      <c r="M40" s="37">
        <f>Table432[[#This Row],[Taxable Amount]]+Table432[[#This Row],[SGST]]+Table432[[#This Row],[CGST]]</f>
        <v>34376.94</v>
      </c>
      <c r="N40" s="71">
        <f>Table432[[#This Row],[Taxable Amount]]*1%</f>
        <v>291.33</v>
      </c>
      <c r="O40" s="157">
        <v>728</v>
      </c>
      <c r="P40" s="145">
        <v>41315</v>
      </c>
      <c r="Q40" s="65">
        <v>44910</v>
      </c>
      <c r="R40" s="193" t="s">
        <v>119</v>
      </c>
      <c r="S40" s="138">
        <f>Table432[[#This Row],[Invoice Amount]]-Table432[[#This Row],[TDS]]-Table432[[#This Row],[RTN]]-Table432[[#This Row],[RECIVED AMOUNT]]</f>
        <v>-7957.3899999999994</v>
      </c>
      <c r="T40" s="55"/>
      <c r="U40" s="3"/>
      <c r="V40" s="41">
        <f>Table432[[#This Row],[BALANCE]]-Table432[[#This Row],[RECIVED AMOUNT2]]</f>
        <v>-7957.3899999999994</v>
      </c>
      <c r="W40" s="50"/>
      <c r="X40" s="50"/>
    </row>
    <row r="41" spans="1:24" ht="19.95" customHeight="1">
      <c r="A41" s="2">
        <v>45050</v>
      </c>
      <c r="B41" s="3" t="s">
        <v>124</v>
      </c>
      <c r="C41" s="21" t="s">
        <v>116</v>
      </c>
      <c r="D41" s="3" t="s">
        <v>117</v>
      </c>
      <c r="E41" s="3" t="s">
        <v>59</v>
      </c>
      <c r="F41" s="4" t="s">
        <v>26</v>
      </c>
      <c r="G41" s="22">
        <v>998531</v>
      </c>
      <c r="H41" s="23">
        <v>0.18</v>
      </c>
      <c r="I41" s="9">
        <v>15300</v>
      </c>
      <c r="J41" s="9">
        <f t="shared" si="2"/>
        <v>1377</v>
      </c>
      <c r="K41" s="9">
        <f t="shared" si="3"/>
        <v>1377</v>
      </c>
      <c r="L41" s="41"/>
      <c r="M41" s="37">
        <f>Table432[[#This Row],[Taxable Amount]]+Table432[[#This Row],[SGST]]+Table432[[#This Row],[CGST]]</f>
        <v>18054</v>
      </c>
      <c r="N41" s="71">
        <f>Table432[[#This Row],[Taxable Amount]]*1%</f>
        <v>153</v>
      </c>
      <c r="O41" s="157">
        <v>0</v>
      </c>
      <c r="P41" s="57">
        <v>17901</v>
      </c>
      <c r="Q41" s="57" t="s">
        <v>125</v>
      </c>
      <c r="R41" s="193" t="s">
        <v>119</v>
      </c>
      <c r="S41" s="138">
        <f>Table432[[#This Row],[Invoice Amount]]-Table432[[#This Row],[TDS]]-Table432[[#This Row],[RTN]]-Table432[[#This Row],[RECIVED AMOUNT]]</f>
        <v>0</v>
      </c>
      <c r="T41" s="55"/>
      <c r="U41" s="3"/>
      <c r="V41" s="41">
        <f>Table432[[#This Row],[BALANCE]]-Table432[[#This Row],[RECIVED AMOUNT2]]</f>
        <v>0</v>
      </c>
      <c r="W41" s="50"/>
      <c r="X41" s="50"/>
    </row>
    <row r="42" spans="1:24" ht="19.95" customHeight="1">
      <c r="A42" s="2">
        <v>45050</v>
      </c>
      <c r="B42" s="3" t="s">
        <v>126</v>
      </c>
      <c r="C42" s="21" t="s">
        <v>47</v>
      </c>
      <c r="D42" s="3" t="s">
        <v>48</v>
      </c>
      <c r="E42" s="3" t="s">
        <v>59</v>
      </c>
      <c r="F42" s="4" t="s">
        <v>26</v>
      </c>
      <c r="G42" s="22">
        <v>998531</v>
      </c>
      <c r="H42" s="23">
        <v>0.18</v>
      </c>
      <c r="I42" s="9">
        <v>4375</v>
      </c>
      <c r="J42" s="9">
        <f t="shared" si="2"/>
        <v>393.75</v>
      </c>
      <c r="K42" s="9">
        <f t="shared" si="3"/>
        <v>393.75</v>
      </c>
      <c r="L42" s="41"/>
      <c r="M42" s="37">
        <f>Table432[[#This Row],[Taxable Amount]]+Table432[[#This Row],[SGST]]+Table432[[#This Row],[CGST]]</f>
        <v>5162.5</v>
      </c>
      <c r="N42" s="71"/>
      <c r="O42" s="157">
        <v>0</v>
      </c>
      <c r="P42" s="57">
        <v>5162</v>
      </c>
      <c r="Q42" s="58">
        <v>45075</v>
      </c>
      <c r="R42" s="193" t="s">
        <v>119</v>
      </c>
      <c r="S42" s="138">
        <f>Table432[[#This Row],[Invoice Amount]]-Table432[[#This Row],[TDS]]-Table432[[#This Row],[RTN]]-Table432[[#This Row],[RECIVED AMOUNT]]</f>
        <v>0.5</v>
      </c>
      <c r="T42" s="55"/>
      <c r="U42" s="3"/>
      <c r="V42" s="41">
        <f>Table432[[#This Row],[BALANCE]]-Table432[[#This Row],[RECIVED AMOUNT2]]</f>
        <v>0.5</v>
      </c>
      <c r="W42" s="50"/>
      <c r="X42" s="50"/>
    </row>
    <row r="43" spans="1:24" ht="19.95" customHeight="1">
      <c r="A43" s="2">
        <v>45077</v>
      </c>
      <c r="B43" s="3" t="s">
        <v>127</v>
      </c>
      <c r="C43" s="3" t="s">
        <v>42</v>
      </c>
      <c r="D43" s="3" t="s">
        <v>43</v>
      </c>
      <c r="E43" s="3" t="s">
        <v>44</v>
      </c>
      <c r="F43" s="4" t="s">
        <v>45</v>
      </c>
      <c r="G43" s="22">
        <v>998531</v>
      </c>
      <c r="H43" s="23">
        <v>0.18</v>
      </c>
      <c r="I43" s="9">
        <v>45263</v>
      </c>
      <c r="J43" s="9">
        <f t="shared" si="2"/>
        <v>4073.67</v>
      </c>
      <c r="K43" s="9">
        <f t="shared" si="3"/>
        <v>4073.67</v>
      </c>
      <c r="L43" s="41"/>
      <c r="M43" s="37">
        <f>Table432[[#This Row],[Taxable Amount]]+Table432[[#This Row],[SGST]]+Table432[[#This Row],[CGST]]</f>
        <v>53410.34</v>
      </c>
      <c r="N43" s="71">
        <f>Table432[[#This Row],[Taxable Amount]]*1%</f>
        <v>452.63</v>
      </c>
      <c r="O43" s="157">
        <v>1132</v>
      </c>
      <c r="P43" s="145">
        <v>174095</v>
      </c>
      <c r="Q43" s="65">
        <v>44967</v>
      </c>
      <c r="R43" s="193" t="s">
        <v>119</v>
      </c>
      <c r="S43" s="138">
        <f>Table432[[#This Row],[Invoice Amount]]-Table432[[#This Row],[TDS]]-Table432[[#This Row],[RTN]]-Table432[[#This Row],[RECIVED AMOUNT]]</f>
        <v>-122269.29000000001</v>
      </c>
      <c r="T43" s="55"/>
      <c r="U43" s="3"/>
      <c r="V43" s="41">
        <f>Table432[[#This Row],[BALANCE]]-Table432[[#This Row],[RECIVED AMOUNT2]]</f>
        <v>-122269.29000000001</v>
      </c>
      <c r="W43" s="50"/>
      <c r="X43" s="50"/>
    </row>
    <row r="44" spans="1:24" ht="19.95" customHeight="1">
      <c r="A44" s="2">
        <v>45078</v>
      </c>
      <c r="B44" s="3" t="s">
        <v>128</v>
      </c>
      <c r="C44" s="21" t="s">
        <v>116</v>
      </c>
      <c r="D44" s="3" t="s">
        <v>117</v>
      </c>
      <c r="E44" s="3" t="s">
        <v>59</v>
      </c>
      <c r="F44" s="4" t="s">
        <v>26</v>
      </c>
      <c r="G44" s="22">
        <v>998531</v>
      </c>
      <c r="H44" s="23">
        <v>0.18</v>
      </c>
      <c r="I44" s="9">
        <v>17300</v>
      </c>
      <c r="J44" s="9">
        <f t="shared" si="2"/>
        <v>1557</v>
      </c>
      <c r="K44" s="9">
        <f t="shared" si="3"/>
        <v>1557</v>
      </c>
      <c r="L44" s="41"/>
      <c r="M44" s="37">
        <f>Table432[[#This Row],[Taxable Amount]]+Table432[[#This Row],[SGST]]+Table432[[#This Row],[CGST]]</f>
        <v>20414</v>
      </c>
      <c r="N44" s="71">
        <f>Table432[[#This Row],[Taxable Amount]]*1%</f>
        <v>173</v>
      </c>
      <c r="O44" s="157">
        <v>0</v>
      </c>
      <c r="P44" s="148">
        <v>20241</v>
      </c>
      <c r="Q44" s="57" t="s">
        <v>129</v>
      </c>
      <c r="R44" s="193" t="s">
        <v>119</v>
      </c>
      <c r="S44" s="138">
        <f>Table432[[#This Row],[Invoice Amount]]-Table432[[#This Row],[TDS]]-Table432[[#This Row],[RTN]]-Table432[[#This Row],[RECIVED AMOUNT]]</f>
        <v>0</v>
      </c>
      <c r="T44" s="55"/>
      <c r="U44" s="3"/>
      <c r="V44" s="41">
        <f>Table432[[#This Row],[BALANCE]]-Table432[[#This Row],[RECIVED AMOUNT2]]</f>
        <v>0</v>
      </c>
      <c r="W44" s="50"/>
      <c r="X44" s="50"/>
    </row>
    <row r="45" spans="1:24" ht="19.95" customHeight="1">
      <c r="A45" s="2">
        <v>45078</v>
      </c>
      <c r="B45" s="3" t="s">
        <v>130</v>
      </c>
      <c r="C45" s="3" t="s">
        <v>23</v>
      </c>
      <c r="D45" s="3" t="s">
        <v>24</v>
      </c>
      <c r="E45" s="3" t="s">
        <v>25</v>
      </c>
      <c r="F45" s="4" t="s">
        <v>26</v>
      </c>
      <c r="G45" s="22">
        <v>998531</v>
      </c>
      <c r="H45" s="23">
        <v>0.18</v>
      </c>
      <c r="I45" s="9">
        <v>5950</v>
      </c>
      <c r="J45" s="9">
        <f t="shared" si="2"/>
        <v>535.5</v>
      </c>
      <c r="K45" s="9">
        <f t="shared" si="3"/>
        <v>535.5</v>
      </c>
      <c r="L45" s="41"/>
      <c r="M45" s="37">
        <f>Table432[[#This Row],[Taxable Amount]]+Table432[[#This Row],[SGST]]+Table432[[#This Row],[CGST]]</f>
        <v>7021</v>
      </c>
      <c r="N45" s="71">
        <f>Table432[[#This Row],[Taxable Amount]]*1%</f>
        <v>59.5</v>
      </c>
      <c r="O45" s="157">
        <v>0</v>
      </c>
      <c r="P45" s="57">
        <v>6961</v>
      </c>
      <c r="Q45" s="66">
        <v>45100</v>
      </c>
      <c r="R45" s="193" t="s">
        <v>119</v>
      </c>
      <c r="S45" s="138">
        <f>Table432[[#This Row],[Invoice Amount]]-Table432[[#This Row],[TDS]]-Table432[[#This Row],[RTN]]-Table432[[#This Row],[RECIVED AMOUNT]]</f>
        <v>0.5</v>
      </c>
      <c r="T45" s="55"/>
      <c r="U45" s="3"/>
      <c r="V45" s="41">
        <f>Table432[[#This Row],[BALANCE]]-Table432[[#This Row],[RECIVED AMOUNT2]]</f>
        <v>0.5</v>
      </c>
      <c r="W45" s="50"/>
      <c r="X45" s="50"/>
    </row>
    <row r="46" spans="1:24" ht="19.95" customHeight="1">
      <c r="A46" s="2">
        <v>45078</v>
      </c>
      <c r="B46" s="3" t="s">
        <v>131</v>
      </c>
      <c r="C46" s="3" t="s">
        <v>96</v>
      </c>
      <c r="D46" s="3" t="s">
        <v>97</v>
      </c>
      <c r="E46" s="3" t="s">
        <v>89</v>
      </c>
      <c r="F46" s="4" t="s">
        <v>26</v>
      </c>
      <c r="G46" s="22">
        <v>998531</v>
      </c>
      <c r="H46" s="23">
        <v>0.18</v>
      </c>
      <c r="I46" s="9">
        <v>8280</v>
      </c>
      <c r="J46" s="9">
        <f t="shared" si="2"/>
        <v>745.2</v>
      </c>
      <c r="K46" s="9">
        <f t="shared" si="3"/>
        <v>745.2</v>
      </c>
      <c r="L46" s="41"/>
      <c r="M46" s="37">
        <f>Table432[[#This Row],[Taxable Amount]]+Table432[[#This Row],[SGST]]+Table432[[#This Row],[CGST]]</f>
        <v>9770.4000000000015</v>
      </c>
      <c r="N46" s="71">
        <f>Table432[[#This Row],[Taxable Amount]]*1%</f>
        <v>82.8</v>
      </c>
      <c r="O46" s="157">
        <v>0</v>
      </c>
      <c r="P46" s="147"/>
      <c r="Q46" s="58">
        <v>45065</v>
      </c>
      <c r="R46" s="193" t="s">
        <v>119</v>
      </c>
      <c r="S46" s="138">
        <f>Table432[[#This Row],[Invoice Amount]]-Table432[[#This Row],[TDS]]-Table432[[#This Row],[RTN]]-Table432[[#This Row],[RECIVED AMOUNT]]</f>
        <v>9687.6000000000022</v>
      </c>
      <c r="T46" s="55"/>
      <c r="U46" s="3"/>
      <c r="V46" s="41">
        <f>Table432[[#This Row],[BALANCE]]-Table432[[#This Row],[RECIVED AMOUNT2]]</f>
        <v>9687.6000000000022</v>
      </c>
      <c r="W46" s="50"/>
      <c r="X46" s="50"/>
    </row>
    <row r="47" spans="1:24" ht="19.95" customHeight="1">
      <c r="A47" s="2">
        <v>45088</v>
      </c>
      <c r="B47" s="3" t="s">
        <v>132</v>
      </c>
      <c r="C47" s="3" t="s">
        <v>47</v>
      </c>
      <c r="D47" s="3" t="s">
        <v>48</v>
      </c>
      <c r="E47" s="3" t="s">
        <v>59</v>
      </c>
      <c r="F47" s="4" t="s">
        <v>26</v>
      </c>
      <c r="G47" s="22">
        <v>998531</v>
      </c>
      <c r="H47" s="23">
        <v>0.18</v>
      </c>
      <c r="I47" s="9">
        <v>5250</v>
      </c>
      <c r="J47" s="9">
        <f t="shared" si="2"/>
        <v>472.5</v>
      </c>
      <c r="K47" s="9">
        <f t="shared" si="3"/>
        <v>472.5</v>
      </c>
      <c r="L47" s="41"/>
      <c r="M47" s="37">
        <f>Table432[[#This Row],[Taxable Amount]]+Table432[[#This Row],[SGST]]+Table432[[#This Row],[CGST]]</f>
        <v>6195</v>
      </c>
      <c r="N47" s="71"/>
      <c r="O47" s="157">
        <v>0</v>
      </c>
      <c r="P47" s="57">
        <v>6195</v>
      </c>
      <c r="Q47" s="58">
        <v>45170</v>
      </c>
      <c r="R47" s="193" t="s">
        <v>119</v>
      </c>
      <c r="S47" s="138">
        <f>Table432[[#This Row],[Invoice Amount]]-Table432[[#This Row],[TDS]]-Table432[[#This Row],[RTN]]-Table432[[#This Row],[RECIVED AMOUNT]]</f>
        <v>0</v>
      </c>
      <c r="T47" s="55"/>
      <c r="U47" s="3"/>
      <c r="V47" s="41">
        <f>Table432[[#This Row],[BALANCE]]-Table432[[#This Row],[RECIVED AMOUNT2]]</f>
        <v>0</v>
      </c>
      <c r="W47" s="50"/>
      <c r="X47" s="50"/>
    </row>
    <row r="48" spans="1:24" ht="19.95" customHeight="1">
      <c r="A48" s="2">
        <v>45107</v>
      </c>
      <c r="B48" s="3" t="s">
        <v>133</v>
      </c>
      <c r="C48" s="3" t="s">
        <v>42</v>
      </c>
      <c r="D48" s="3" t="s">
        <v>43</v>
      </c>
      <c r="E48" s="3" t="s">
        <v>44</v>
      </c>
      <c r="F48" s="4" t="s">
        <v>45</v>
      </c>
      <c r="G48" s="22">
        <v>998531</v>
      </c>
      <c r="H48" s="23">
        <v>0.18</v>
      </c>
      <c r="I48" s="9">
        <v>39408</v>
      </c>
      <c r="J48" s="9">
        <f t="shared" si="2"/>
        <v>3546.72</v>
      </c>
      <c r="K48" s="9">
        <f t="shared" si="3"/>
        <v>3546.72</v>
      </c>
      <c r="L48" s="41"/>
      <c r="M48" s="37">
        <f>Table432[[#This Row],[Taxable Amount]]+Table432[[#This Row],[SGST]]+Table432[[#This Row],[CGST]]</f>
        <v>46501.440000000002</v>
      </c>
      <c r="N48" s="71">
        <f>Table432[[#This Row],[Taxable Amount]]*1%</f>
        <v>394.08</v>
      </c>
      <c r="O48" s="157">
        <v>985</v>
      </c>
      <c r="P48" s="145">
        <v>7172</v>
      </c>
      <c r="Q48" s="65">
        <v>45000</v>
      </c>
      <c r="R48" s="117" t="s">
        <v>134</v>
      </c>
      <c r="S48" s="138">
        <f>Table432[[#This Row],[Invoice Amount]]-Table432[[#This Row],[TDS]]-Table432[[#This Row],[RTN]]-Table432[[#This Row],[RECIVED AMOUNT]]</f>
        <v>37950.36</v>
      </c>
      <c r="T48" s="60"/>
      <c r="U48" s="61"/>
      <c r="V48" s="41">
        <f>Table432[[#This Row],[BALANCE]]-Table432[[#This Row],[RECIVED AMOUNT2]]</f>
        <v>37950.36</v>
      </c>
      <c r="W48" s="50"/>
      <c r="X48" s="50"/>
    </row>
    <row r="49" spans="1:24" ht="19.95" customHeight="1">
      <c r="A49" s="24">
        <v>45107</v>
      </c>
      <c r="B49" s="25" t="s">
        <v>135</v>
      </c>
      <c r="C49" s="25" t="s">
        <v>42</v>
      </c>
      <c r="D49" s="25" t="s">
        <v>54</v>
      </c>
      <c r="E49" s="25" t="s">
        <v>136</v>
      </c>
      <c r="F49" s="27"/>
      <c r="G49" s="28">
        <v>998531</v>
      </c>
      <c r="H49" s="23">
        <v>0.18</v>
      </c>
      <c r="I49" s="38">
        <v>39408</v>
      </c>
      <c r="J49" s="38">
        <f t="shared" si="2"/>
        <v>3546.72</v>
      </c>
      <c r="K49" s="38">
        <f t="shared" si="3"/>
        <v>3546.72</v>
      </c>
      <c r="L49" s="39"/>
      <c r="M49" s="40">
        <f>Table432[[#This Row],[Taxable Amount]]+Table432[[#This Row],[SGST]]+Table432[[#This Row],[CGST]]</f>
        <v>46501.440000000002</v>
      </c>
      <c r="N49" s="140">
        <f>Table432[[#This Row],[Taxable Amount]]*1%</f>
        <v>394.08</v>
      </c>
      <c r="O49" s="174"/>
      <c r="P49" s="141"/>
      <c r="Q49" s="51">
        <v>45215</v>
      </c>
      <c r="R49" s="191"/>
      <c r="S49" s="138">
        <f>Table432[[#This Row],[Invoice Amount]]-Table432[[#This Row],[TDS]]-Table432[[#This Row],[RTN]]-Table432[[#This Row],[RECIVED AMOUNT]]</f>
        <v>46107.360000000001</v>
      </c>
      <c r="T49" s="52"/>
      <c r="U49" s="25"/>
      <c r="V49" s="41">
        <f>Table432[[#This Row],[BALANCE]]-Table432[[#This Row],[RECIVED AMOUNT2]]</f>
        <v>46107.360000000001</v>
      </c>
      <c r="W49" s="50"/>
      <c r="X49" s="50"/>
    </row>
    <row r="50" spans="1:24" ht="19.95" customHeight="1">
      <c r="A50" s="2">
        <v>45108</v>
      </c>
      <c r="B50" s="3" t="s">
        <v>137</v>
      </c>
      <c r="C50" s="21" t="s">
        <v>116</v>
      </c>
      <c r="D50" s="3" t="s">
        <v>117</v>
      </c>
      <c r="E50" s="3" t="s">
        <v>59</v>
      </c>
      <c r="F50" s="4" t="s">
        <v>26</v>
      </c>
      <c r="G50" s="22">
        <v>998531</v>
      </c>
      <c r="H50" s="23">
        <v>0.18</v>
      </c>
      <c r="I50" s="9">
        <v>17300</v>
      </c>
      <c r="J50" s="9">
        <f t="shared" si="2"/>
        <v>1557</v>
      </c>
      <c r="K50" s="9">
        <f t="shared" si="3"/>
        <v>1557</v>
      </c>
      <c r="L50" s="41"/>
      <c r="M50" s="37">
        <f>Table432[[#This Row],[Taxable Amount]]+Table432[[#This Row],[SGST]]+Table432[[#This Row],[CGST]]</f>
        <v>20414</v>
      </c>
      <c r="N50" s="71">
        <f>Table432[[#This Row],[Taxable Amount]]*1%</f>
        <v>173</v>
      </c>
      <c r="O50" s="157">
        <v>0</v>
      </c>
      <c r="P50" s="148">
        <v>20241</v>
      </c>
      <c r="Q50" s="57" t="s">
        <v>138</v>
      </c>
      <c r="R50" s="117" t="s">
        <v>134</v>
      </c>
      <c r="S50" s="138">
        <f>Table432[[#This Row],[Invoice Amount]]-Table432[[#This Row],[TDS]]-Table432[[#This Row],[RTN]]-Table432[[#This Row],[RECIVED AMOUNT]]</f>
        <v>0</v>
      </c>
      <c r="T50" s="55"/>
      <c r="U50" s="3"/>
      <c r="V50" s="41">
        <f>Table432[[#This Row],[BALANCE]]-Table432[[#This Row],[RECIVED AMOUNT2]]</f>
        <v>0</v>
      </c>
      <c r="W50" s="50"/>
      <c r="X50" s="50"/>
    </row>
    <row r="51" spans="1:24" ht="19.95" customHeight="1">
      <c r="A51" s="2">
        <v>45108</v>
      </c>
      <c r="B51" s="3" t="s">
        <v>139</v>
      </c>
      <c r="C51" s="3" t="s">
        <v>96</v>
      </c>
      <c r="D51" s="3" t="s">
        <v>97</v>
      </c>
      <c r="E51" s="3" t="s">
        <v>89</v>
      </c>
      <c r="F51" s="4" t="s">
        <v>26</v>
      </c>
      <c r="G51" s="22">
        <v>998531</v>
      </c>
      <c r="H51" s="23">
        <v>0.18</v>
      </c>
      <c r="I51" s="9">
        <v>8280</v>
      </c>
      <c r="J51" s="9">
        <f t="shared" si="2"/>
        <v>745.2</v>
      </c>
      <c r="K51" s="9">
        <f t="shared" si="3"/>
        <v>745.2</v>
      </c>
      <c r="L51" s="41"/>
      <c r="M51" s="37">
        <f>Table432[[#This Row],[Taxable Amount]]+Table432[[#This Row],[SGST]]+Table432[[#This Row],[CGST]]</f>
        <v>9770.4000000000015</v>
      </c>
      <c r="N51" s="71">
        <f>Table432[[#This Row],[Taxable Amount]]*1%</f>
        <v>82.8</v>
      </c>
      <c r="O51" s="157">
        <v>0</v>
      </c>
      <c r="P51" s="147">
        <v>29358</v>
      </c>
      <c r="Q51" s="58">
        <v>45065</v>
      </c>
      <c r="R51" s="117" t="s">
        <v>134</v>
      </c>
      <c r="S51" s="138">
        <f>Table432[[#This Row],[Invoice Amount]]-Table432[[#This Row],[TDS]]-Table432[[#This Row],[RTN]]-Table432[[#This Row],[RECIVED AMOUNT]]</f>
        <v>-19670.399999999998</v>
      </c>
      <c r="T51" s="55"/>
      <c r="U51" s="3"/>
      <c r="V51" s="41">
        <f>Table432[[#This Row],[BALANCE]]-Table432[[#This Row],[RECIVED AMOUNT2]]</f>
        <v>-19670.399999999998</v>
      </c>
      <c r="W51" s="50"/>
      <c r="X51" s="50"/>
    </row>
    <row r="52" spans="1:24" ht="19.95" customHeight="1">
      <c r="A52" s="2">
        <v>45110</v>
      </c>
      <c r="B52" s="3" t="s">
        <v>140</v>
      </c>
      <c r="C52" s="3" t="s">
        <v>96</v>
      </c>
      <c r="D52" s="3" t="s">
        <v>97</v>
      </c>
      <c r="E52" s="3" t="s">
        <v>89</v>
      </c>
      <c r="F52" s="4" t="s">
        <v>26</v>
      </c>
      <c r="G52" s="22">
        <v>998531</v>
      </c>
      <c r="H52" s="23">
        <v>0.18</v>
      </c>
      <c r="I52" s="9">
        <v>4503</v>
      </c>
      <c r="J52" s="9">
        <f t="shared" si="2"/>
        <v>405.27</v>
      </c>
      <c r="K52" s="9">
        <f t="shared" si="3"/>
        <v>405.27</v>
      </c>
      <c r="L52" s="41"/>
      <c r="M52" s="37">
        <f>Table432[[#This Row],[Taxable Amount]]+Table432[[#This Row],[SGST]]+Table432[[#This Row],[CGST]]</f>
        <v>5313.5400000000009</v>
      </c>
      <c r="N52" s="71">
        <f>Table432[[#This Row],[Taxable Amount]]*1%</f>
        <v>45.03</v>
      </c>
      <c r="O52" s="157">
        <v>0</v>
      </c>
      <c r="P52" s="145">
        <v>4955</v>
      </c>
      <c r="Q52" s="58">
        <v>45161</v>
      </c>
      <c r="R52" s="117" t="s">
        <v>134</v>
      </c>
      <c r="S52" s="138">
        <f>Table432[[#This Row],[Invoice Amount]]-Table432[[#This Row],[TDS]]-Table432[[#This Row],[RTN]]-Table432[[#This Row],[RECIVED AMOUNT]]</f>
        <v>313.51000000000113</v>
      </c>
      <c r="T52" s="55"/>
      <c r="U52" s="3"/>
      <c r="V52" s="41">
        <f>Table432[[#This Row],[BALANCE]]-Table432[[#This Row],[RECIVED AMOUNT2]]</f>
        <v>313.51000000000113</v>
      </c>
      <c r="W52" s="50"/>
      <c r="X52" s="50"/>
    </row>
    <row r="53" spans="1:24" ht="19.95" customHeight="1">
      <c r="A53" s="2">
        <v>45110</v>
      </c>
      <c r="B53" s="3" t="s">
        <v>141</v>
      </c>
      <c r="C53" s="3" t="s">
        <v>963</v>
      </c>
      <c r="D53" s="7" t="s">
        <v>143</v>
      </c>
      <c r="E53" s="3"/>
      <c r="F53" s="4" t="s">
        <v>37</v>
      </c>
      <c r="G53" s="22">
        <v>998531</v>
      </c>
      <c r="H53" s="23">
        <v>0.18</v>
      </c>
      <c r="I53" s="9">
        <v>29785</v>
      </c>
      <c r="J53" s="9">
        <f t="shared" si="2"/>
        <v>2680.65</v>
      </c>
      <c r="K53" s="9">
        <f t="shared" si="3"/>
        <v>2680.65</v>
      </c>
      <c r="L53" s="41"/>
      <c r="M53" s="37">
        <f>Table432[[#This Row],[Taxable Amount]]+Table432[[#This Row],[SGST]]+Table432[[#This Row],[CGST]]</f>
        <v>35146.300000000003</v>
      </c>
      <c r="N53" s="71">
        <f>Table432[[#This Row],[Taxable Amount]]*1%</f>
        <v>297.85000000000002</v>
      </c>
      <c r="O53" s="149">
        <v>745</v>
      </c>
      <c r="P53" s="57">
        <v>32167</v>
      </c>
      <c r="Q53" s="53" t="s">
        <v>144</v>
      </c>
      <c r="R53" s="117" t="s">
        <v>134</v>
      </c>
      <c r="S53" s="138">
        <f>Table432[[#This Row],[Invoice Amount]]-Table432[[#This Row],[TDS]]-Table432[[#This Row],[RTN]]-Table432[[#This Row],[RECIVED AMOUNT]]</f>
        <v>1936.4500000000044</v>
      </c>
      <c r="T53" s="55"/>
      <c r="U53" s="3"/>
      <c r="V53" s="41">
        <f>Table432[[#This Row],[BALANCE]]-Table432[[#This Row],[RECIVED AMOUNT2]]</f>
        <v>1936.4500000000044</v>
      </c>
      <c r="W53" s="50"/>
      <c r="X53" s="50"/>
    </row>
    <row r="54" spans="1:24" ht="19.95" customHeight="1">
      <c r="A54" s="2">
        <v>45126</v>
      </c>
      <c r="B54" s="3" t="s">
        <v>145</v>
      </c>
      <c r="C54" s="3" t="s">
        <v>106</v>
      </c>
      <c r="D54" s="3" t="s">
        <v>107</v>
      </c>
      <c r="E54" s="3" t="s">
        <v>59</v>
      </c>
      <c r="F54" s="4" t="s">
        <v>37</v>
      </c>
      <c r="G54" s="22">
        <v>998531</v>
      </c>
      <c r="H54" s="23">
        <v>0.18</v>
      </c>
      <c r="I54" s="9">
        <v>19250</v>
      </c>
      <c r="J54" s="9">
        <f t="shared" si="2"/>
        <v>1732.5</v>
      </c>
      <c r="K54" s="9">
        <f t="shared" si="3"/>
        <v>1732.5</v>
      </c>
      <c r="L54" s="41"/>
      <c r="M54" s="37">
        <f>Table432[[#This Row],[Taxable Amount]]+Table432[[#This Row],[SGST]]+Table432[[#This Row],[CGST]]</f>
        <v>22715</v>
      </c>
      <c r="N54" s="71"/>
      <c r="O54" s="149">
        <v>0</v>
      </c>
      <c r="P54" s="57">
        <v>22714</v>
      </c>
      <c r="Q54" s="53" t="s">
        <v>146</v>
      </c>
      <c r="R54" s="113"/>
      <c r="S54" s="138">
        <f>Table432[[#This Row],[Invoice Amount]]-Table432[[#This Row],[TDS]]-Table432[[#This Row],[RTN]]-Table432[[#This Row],[RECIVED AMOUNT]]</f>
        <v>1</v>
      </c>
      <c r="T54" s="55"/>
      <c r="U54" s="3"/>
      <c r="V54" s="41">
        <f>Table432[[#This Row],[BALANCE]]-Table432[[#This Row],[RECIVED AMOUNT2]]</f>
        <v>1</v>
      </c>
      <c r="W54" s="50"/>
      <c r="X54" s="50"/>
    </row>
    <row r="55" spans="1:24" ht="19.95" customHeight="1">
      <c r="A55" s="2">
        <v>45138</v>
      </c>
      <c r="B55" s="3" t="s">
        <v>147</v>
      </c>
      <c r="C55" s="3" t="s">
        <v>42</v>
      </c>
      <c r="D55" s="3" t="s">
        <v>43</v>
      </c>
      <c r="E55" s="3" t="s">
        <v>44</v>
      </c>
      <c r="F55" s="4" t="s">
        <v>45</v>
      </c>
      <c r="G55" s="22">
        <v>998531</v>
      </c>
      <c r="H55" s="23">
        <v>0.18</v>
      </c>
      <c r="I55" s="9">
        <v>16900</v>
      </c>
      <c r="J55" s="9">
        <f t="shared" si="2"/>
        <v>1521</v>
      </c>
      <c r="K55" s="9">
        <f t="shared" si="3"/>
        <v>1521</v>
      </c>
      <c r="L55" s="41"/>
      <c r="M55" s="37">
        <f>Table432[[#This Row],[Taxable Amount]]+Table432[[#This Row],[SGST]]+Table432[[#This Row],[CGST]]</f>
        <v>19942</v>
      </c>
      <c r="N55" s="71">
        <f>Table432[[#This Row],[Taxable Amount]]*1%</f>
        <v>169</v>
      </c>
      <c r="O55" s="157">
        <v>423</v>
      </c>
      <c r="P55" s="145">
        <v>78640</v>
      </c>
      <c r="Q55" s="65">
        <v>45023</v>
      </c>
      <c r="R55" s="193" t="s">
        <v>148</v>
      </c>
      <c r="S55" s="138">
        <f>Table432[[#This Row],[Invoice Amount]]-Table432[[#This Row],[TDS]]-Table432[[#This Row],[RTN]]-Table432[[#This Row],[RECIVED AMOUNT]]</f>
        <v>-59290</v>
      </c>
      <c r="T55" s="55"/>
      <c r="U55" s="3"/>
      <c r="V55" s="41">
        <f>Table432[[#This Row],[BALANCE]]-Table432[[#This Row],[RECIVED AMOUNT2]]</f>
        <v>-59290</v>
      </c>
      <c r="W55" s="50"/>
      <c r="X55" s="50"/>
    </row>
    <row r="56" spans="1:24" ht="19.95" customHeight="1">
      <c r="A56" s="2">
        <v>45138</v>
      </c>
      <c r="B56" s="3" t="s">
        <v>149</v>
      </c>
      <c r="C56" s="3" t="s">
        <v>23</v>
      </c>
      <c r="D56" s="3" t="s">
        <v>24</v>
      </c>
      <c r="E56" s="3" t="s">
        <v>25</v>
      </c>
      <c r="F56" s="4" t="s">
        <v>26</v>
      </c>
      <c r="G56" s="22">
        <v>998531</v>
      </c>
      <c r="H56" s="23">
        <v>0.18</v>
      </c>
      <c r="I56" s="9">
        <v>5075</v>
      </c>
      <c r="J56" s="9">
        <f t="shared" si="2"/>
        <v>456.75</v>
      </c>
      <c r="K56" s="9">
        <f t="shared" si="3"/>
        <v>456.75</v>
      </c>
      <c r="L56" s="41"/>
      <c r="M56" s="37">
        <f>Table432[[#This Row],[Taxable Amount]]+Table432[[#This Row],[SGST]]+Table432[[#This Row],[CGST]]</f>
        <v>5988.5</v>
      </c>
      <c r="N56" s="71">
        <f>Table432[[#This Row],[Taxable Amount]]*1%</f>
        <v>50.75</v>
      </c>
      <c r="O56" s="157">
        <v>0</v>
      </c>
      <c r="P56" s="57">
        <v>5929</v>
      </c>
      <c r="Q56" s="66">
        <v>45163</v>
      </c>
      <c r="R56" s="193" t="s">
        <v>148</v>
      </c>
      <c r="S56" s="138">
        <f>Table432[[#This Row],[Invoice Amount]]-Table432[[#This Row],[TDS]]-Table432[[#This Row],[RTN]]-Table432[[#This Row],[RECIVED AMOUNT]]</f>
        <v>8.75</v>
      </c>
      <c r="T56" s="55"/>
      <c r="U56" s="3"/>
      <c r="V56" s="41">
        <f>Table432[[#This Row],[BALANCE]]-Table432[[#This Row],[RECIVED AMOUNT2]]</f>
        <v>8.75</v>
      </c>
      <c r="W56" s="50"/>
      <c r="X56" s="50"/>
    </row>
    <row r="57" spans="1:24" ht="19.95" customHeight="1">
      <c r="A57" s="2">
        <v>45140</v>
      </c>
      <c r="B57" s="3" t="s">
        <v>150</v>
      </c>
      <c r="C57" s="21" t="s">
        <v>116</v>
      </c>
      <c r="D57" s="3" t="s">
        <v>117</v>
      </c>
      <c r="E57" s="3" t="s">
        <v>59</v>
      </c>
      <c r="F57" s="4" t="s">
        <v>26</v>
      </c>
      <c r="G57" s="22">
        <v>998531</v>
      </c>
      <c r="H57" s="23">
        <v>0.18</v>
      </c>
      <c r="I57" s="9">
        <v>17300</v>
      </c>
      <c r="J57" s="9">
        <f t="shared" si="2"/>
        <v>1557</v>
      </c>
      <c r="K57" s="9">
        <f t="shared" si="3"/>
        <v>1557</v>
      </c>
      <c r="L57" s="41"/>
      <c r="M57" s="37">
        <f>Table432[[#This Row],[Taxable Amount]]+Table432[[#This Row],[SGST]]+Table432[[#This Row],[CGST]]</f>
        <v>20414</v>
      </c>
      <c r="N57" s="71">
        <f>Table432[[#This Row],[Taxable Amount]]*1%</f>
        <v>173</v>
      </c>
      <c r="O57" s="157">
        <v>0</v>
      </c>
      <c r="P57" s="148">
        <v>20241</v>
      </c>
      <c r="Q57" s="57" t="s">
        <v>151</v>
      </c>
      <c r="R57" s="194" t="s">
        <v>148</v>
      </c>
      <c r="S57" s="138">
        <f>Table432[[#This Row],[Invoice Amount]]-Table432[[#This Row],[TDS]]-Table432[[#This Row],[RTN]]-Table432[[#This Row],[RECIVED AMOUNT]]</f>
        <v>0</v>
      </c>
      <c r="T57" s="55"/>
      <c r="U57" s="3"/>
      <c r="V57" s="41">
        <f>Table432[[#This Row],[BALANCE]]-Table432[[#This Row],[RECIVED AMOUNT2]]</f>
        <v>0</v>
      </c>
      <c r="W57" s="50"/>
      <c r="X57" s="50"/>
    </row>
    <row r="58" spans="1:24" ht="19.95" customHeight="1">
      <c r="A58" s="2">
        <v>45140</v>
      </c>
      <c r="B58" s="3" t="s">
        <v>152</v>
      </c>
      <c r="C58" s="3" t="s">
        <v>47</v>
      </c>
      <c r="D58" s="3" t="s">
        <v>48</v>
      </c>
      <c r="E58" s="3" t="s">
        <v>59</v>
      </c>
      <c r="F58" s="4" t="s">
        <v>26</v>
      </c>
      <c r="G58" s="22">
        <v>998531</v>
      </c>
      <c r="H58" s="23">
        <v>0.18</v>
      </c>
      <c r="I58" s="9">
        <v>3150</v>
      </c>
      <c r="J58" s="9">
        <f t="shared" si="2"/>
        <v>283.5</v>
      </c>
      <c r="K58" s="9">
        <f t="shared" si="3"/>
        <v>283.5</v>
      </c>
      <c r="L58" s="41"/>
      <c r="M58" s="37">
        <f>Table432[[#This Row],[Taxable Amount]]+Table432[[#This Row],[SGST]]+Table432[[#This Row],[CGST]]</f>
        <v>3717</v>
      </c>
      <c r="N58" s="71"/>
      <c r="O58" s="175">
        <v>0</v>
      </c>
      <c r="P58" s="57">
        <v>4069</v>
      </c>
      <c r="Q58" s="53" t="s">
        <v>153</v>
      </c>
      <c r="R58" s="194" t="s">
        <v>148</v>
      </c>
      <c r="S58" s="138">
        <f>Table432[[#This Row],[Invoice Amount]]-Table432[[#This Row],[TDS]]-Table432[[#This Row],[RTN]]-Table432[[#This Row],[RECIVED AMOUNT]]</f>
        <v>-352</v>
      </c>
      <c r="T58" s="55"/>
      <c r="U58" s="3"/>
      <c r="V58" s="41">
        <f>Table432[[#This Row],[BALANCE]]-Table432[[#This Row],[RECIVED AMOUNT2]]</f>
        <v>-352</v>
      </c>
      <c r="W58" s="50"/>
      <c r="X58" s="50"/>
    </row>
    <row r="59" spans="1:24" ht="19.95" customHeight="1">
      <c r="A59" s="2">
        <v>45140</v>
      </c>
      <c r="B59" s="3" t="s">
        <v>154</v>
      </c>
      <c r="C59" s="3" t="s">
        <v>96</v>
      </c>
      <c r="D59" s="3" t="s">
        <v>97</v>
      </c>
      <c r="E59" s="3" t="s">
        <v>89</v>
      </c>
      <c r="F59" s="4" t="s">
        <v>26</v>
      </c>
      <c r="G59" s="22">
        <v>998531</v>
      </c>
      <c r="H59" s="23">
        <v>0.18</v>
      </c>
      <c r="I59" s="9">
        <v>8280</v>
      </c>
      <c r="J59" s="9">
        <f t="shared" si="2"/>
        <v>745.2</v>
      </c>
      <c r="K59" s="9">
        <f t="shared" si="3"/>
        <v>745.2</v>
      </c>
      <c r="L59" s="41"/>
      <c r="M59" s="37">
        <f>Table432[[#This Row],[Taxable Amount]]+Table432[[#This Row],[SGST]]+Table432[[#This Row],[CGST]]</f>
        <v>9770.4000000000015</v>
      </c>
      <c r="N59" s="71">
        <f>Table432[[#This Row],[Taxable Amount]]*1%</f>
        <v>82.8</v>
      </c>
      <c r="O59" s="157">
        <v>0</v>
      </c>
      <c r="P59" s="147"/>
      <c r="Q59" s="58">
        <v>45133</v>
      </c>
      <c r="R59" s="194" t="s">
        <v>148</v>
      </c>
      <c r="S59" s="138">
        <f>Table432[[#This Row],[Invoice Amount]]-Table432[[#This Row],[TDS]]-Table432[[#This Row],[RTN]]-Table432[[#This Row],[RECIVED AMOUNT]]</f>
        <v>9687.6000000000022</v>
      </c>
      <c r="T59" s="55"/>
      <c r="U59" s="3"/>
      <c r="V59" s="41">
        <f>Table432[[#This Row],[BALANCE]]-Table432[[#This Row],[RECIVED AMOUNT2]]</f>
        <v>9687.6000000000022</v>
      </c>
      <c r="W59" s="50"/>
      <c r="X59" s="50"/>
    </row>
    <row r="60" spans="1:24" s="13" customFormat="1" ht="19.95" customHeight="1">
      <c r="A60" s="2">
        <v>45146</v>
      </c>
      <c r="B60" s="3" t="s">
        <v>155</v>
      </c>
      <c r="C60" s="3" t="s">
        <v>42</v>
      </c>
      <c r="D60" s="3" t="s">
        <v>43</v>
      </c>
      <c r="E60" s="3" t="s">
        <v>101</v>
      </c>
      <c r="F60" s="4" t="s">
        <v>26</v>
      </c>
      <c r="G60" s="22">
        <v>998531</v>
      </c>
      <c r="H60" s="23">
        <v>0.18</v>
      </c>
      <c r="I60" s="9">
        <v>6000</v>
      </c>
      <c r="J60" s="9">
        <f t="shared" si="2"/>
        <v>540</v>
      </c>
      <c r="K60" s="9">
        <f t="shared" si="3"/>
        <v>540</v>
      </c>
      <c r="L60" s="41"/>
      <c r="M60" s="37">
        <f>Table432[[#This Row],[Taxable Amount]]+Table432[[#This Row],[SGST]]+Table432[[#This Row],[CGST]]</f>
        <v>7080</v>
      </c>
      <c r="N60" s="71">
        <f>Table432[[#This Row],[Taxable Amount]]*1%</f>
        <v>60</v>
      </c>
      <c r="O60" s="157">
        <v>0</v>
      </c>
      <c r="P60" s="57"/>
      <c r="Q60" s="64"/>
      <c r="R60" s="193" t="s">
        <v>148</v>
      </c>
      <c r="S60" s="138">
        <f>Table432[[#This Row],[Invoice Amount]]-Table432[[#This Row],[TDS]]-Table432[[#This Row],[RTN]]-Table432[[#This Row],[RECIVED AMOUNT]]</f>
        <v>7020</v>
      </c>
      <c r="T60" s="55"/>
      <c r="U60" s="3"/>
      <c r="V60" s="41">
        <f>Table432[[#This Row],[BALANCE]]-Table432[[#This Row],[RECIVED AMOUNT2]]</f>
        <v>7020</v>
      </c>
      <c r="W60" s="208"/>
      <c r="X60" s="208"/>
    </row>
    <row r="61" spans="1:24" s="10" customFormat="1" ht="19.95" customHeight="1">
      <c r="A61" s="92">
        <v>45165</v>
      </c>
      <c r="B61" s="7" t="s">
        <v>156</v>
      </c>
      <c r="C61" s="7" t="s">
        <v>157</v>
      </c>
      <c r="D61" s="7" t="s">
        <v>158</v>
      </c>
      <c r="E61" s="7" t="s">
        <v>159</v>
      </c>
      <c r="F61" s="5" t="s">
        <v>26</v>
      </c>
      <c r="G61" s="85">
        <v>998531</v>
      </c>
      <c r="H61" s="221">
        <v>0.18</v>
      </c>
      <c r="I61" s="69">
        <v>9240</v>
      </c>
      <c r="J61" s="69">
        <f t="shared" si="2"/>
        <v>831.6</v>
      </c>
      <c r="K61" s="69">
        <f t="shared" si="3"/>
        <v>831.6</v>
      </c>
      <c r="L61" s="70"/>
      <c r="M61" s="94">
        <f>Table432[[#This Row],[Taxable Amount]]+Table432[[#This Row],[SGST]]+Table432[[#This Row],[CGST]]</f>
        <v>10903.2</v>
      </c>
      <c r="N61" s="155">
        <f>Table432[[#This Row],[Taxable Amount]]*1%</f>
        <v>92.4</v>
      </c>
      <c r="O61" s="158">
        <v>0</v>
      </c>
      <c r="P61" s="102">
        <v>9240</v>
      </c>
      <c r="Q61" s="362" t="s">
        <v>160</v>
      </c>
      <c r="R61" s="118" t="s">
        <v>134</v>
      </c>
      <c r="S61" s="93">
        <f>Table432[[#This Row],[Invoice Amount]]-Table432[[#This Row],[TDS]]-Table432[[#This Row],[RTN]]-Table432[[#This Row],[RECIVED AMOUNT]]</f>
        <v>1570.8000000000011</v>
      </c>
      <c r="T61" s="99"/>
      <c r="U61" s="7"/>
      <c r="V61" s="70">
        <f>Table432[[#This Row],[BALANCE]]-Table432[[#This Row],[RECIVED AMOUNT2]]</f>
        <v>1570.8000000000011</v>
      </c>
      <c r="W61" s="211"/>
      <c r="X61" s="211"/>
    </row>
    <row r="62" spans="1:24" ht="19.95" customHeight="1">
      <c r="A62" s="2">
        <v>45169</v>
      </c>
      <c r="B62" s="3" t="s">
        <v>161</v>
      </c>
      <c r="C62" s="3" t="s">
        <v>42</v>
      </c>
      <c r="D62" s="3" t="s">
        <v>43</v>
      </c>
      <c r="E62" s="3" t="s">
        <v>44</v>
      </c>
      <c r="F62" s="4" t="s">
        <v>45</v>
      </c>
      <c r="G62" s="22">
        <v>998531</v>
      </c>
      <c r="H62" s="23">
        <v>0.18</v>
      </c>
      <c r="I62" s="9">
        <v>16900</v>
      </c>
      <c r="J62" s="9">
        <f t="shared" si="2"/>
        <v>1521</v>
      </c>
      <c r="K62" s="9">
        <f t="shared" si="3"/>
        <v>1521</v>
      </c>
      <c r="L62" s="41"/>
      <c r="M62" s="37">
        <f>Table432[[#This Row],[Taxable Amount]]+Table432[[#This Row],[SGST]]+Table432[[#This Row],[CGST]]</f>
        <v>19942</v>
      </c>
      <c r="N62" s="71">
        <f>Table432[[#This Row],[Taxable Amount]]*1%</f>
        <v>169</v>
      </c>
      <c r="O62" s="157">
        <v>423</v>
      </c>
      <c r="P62" s="145">
        <v>95541</v>
      </c>
      <c r="Q62" s="65">
        <v>45058</v>
      </c>
      <c r="R62" s="117" t="s">
        <v>134</v>
      </c>
      <c r="S62" s="138">
        <f>Table432[[#This Row],[Invoice Amount]]-Table432[[#This Row],[TDS]]-Table432[[#This Row],[RTN]]-Table432[[#This Row],[RECIVED AMOUNT]]</f>
        <v>-76191</v>
      </c>
      <c r="T62" s="55"/>
      <c r="U62" s="3"/>
      <c r="V62" s="41">
        <f>Table432[[#This Row],[BALANCE]]-Table432[[#This Row],[RECIVED AMOUNT2]]</f>
        <v>-76191</v>
      </c>
      <c r="W62" s="50"/>
      <c r="X62" s="50"/>
    </row>
    <row r="63" spans="1:24" ht="19.95" customHeight="1">
      <c r="A63" s="2">
        <v>45169</v>
      </c>
      <c r="B63" s="3" t="s">
        <v>162</v>
      </c>
      <c r="C63" s="3" t="s">
        <v>42</v>
      </c>
      <c r="D63" s="3" t="s">
        <v>43</v>
      </c>
      <c r="E63" s="3" t="s">
        <v>163</v>
      </c>
      <c r="F63" s="4" t="s">
        <v>45</v>
      </c>
      <c r="G63" s="22">
        <v>998531</v>
      </c>
      <c r="H63" s="23">
        <v>0.18</v>
      </c>
      <c r="I63" s="9">
        <v>39200</v>
      </c>
      <c r="J63" s="9">
        <f t="shared" si="2"/>
        <v>3528</v>
      </c>
      <c r="K63" s="9">
        <f t="shared" si="3"/>
        <v>3528</v>
      </c>
      <c r="L63" s="41"/>
      <c r="M63" s="37">
        <f>Table432[[#This Row],[Taxable Amount]]+Table432[[#This Row],[SGST]]+Table432[[#This Row],[CGST]]</f>
        <v>46256</v>
      </c>
      <c r="N63" s="71">
        <f>Table432[[#This Row],[Taxable Amount]]*1%</f>
        <v>392</v>
      </c>
      <c r="O63" s="157">
        <v>980</v>
      </c>
      <c r="P63" s="57"/>
      <c r="Q63" s="59"/>
      <c r="R63" s="193" t="s">
        <v>148</v>
      </c>
      <c r="S63" s="138">
        <f>Table432[[#This Row],[Invoice Amount]]-Table432[[#This Row],[TDS]]-Table432[[#This Row],[RTN]]-Table432[[#This Row],[RECIVED AMOUNT]]</f>
        <v>44884</v>
      </c>
      <c r="T63" s="55"/>
      <c r="U63" s="3"/>
      <c r="V63" s="41">
        <f>Table432[[#This Row],[BALANCE]]-Table432[[#This Row],[RECIVED AMOUNT2]]</f>
        <v>44884</v>
      </c>
      <c r="W63" s="50"/>
      <c r="X63" s="50"/>
    </row>
    <row r="64" spans="1:24" ht="19.95" customHeight="1">
      <c r="A64" s="24">
        <v>45169</v>
      </c>
      <c r="B64" s="25" t="s">
        <v>164</v>
      </c>
      <c r="C64" s="25" t="s">
        <v>42</v>
      </c>
      <c r="D64" s="25" t="s">
        <v>54</v>
      </c>
      <c r="E64" s="25" t="s">
        <v>165</v>
      </c>
      <c r="F64" s="27"/>
      <c r="G64" s="28">
        <v>998531</v>
      </c>
      <c r="H64" s="23">
        <v>0.18</v>
      </c>
      <c r="I64" s="38">
        <v>16900</v>
      </c>
      <c r="J64" s="38">
        <f t="shared" si="2"/>
        <v>1521</v>
      </c>
      <c r="K64" s="38">
        <f t="shared" si="3"/>
        <v>1521</v>
      </c>
      <c r="L64" s="39"/>
      <c r="M64" s="40">
        <f>Table432[[#This Row],[Taxable Amount]]+Table432[[#This Row],[SGST]]+Table432[[#This Row],[CGST]]</f>
        <v>19942</v>
      </c>
      <c r="N64" s="140">
        <f>Table432[[#This Row],[Taxable Amount]]*1%</f>
        <v>169</v>
      </c>
      <c r="O64" s="174"/>
      <c r="P64" s="141"/>
      <c r="Q64" s="51">
        <v>45215</v>
      </c>
      <c r="R64" s="191"/>
      <c r="S64" s="138">
        <f>Table432[[#This Row],[Invoice Amount]]-Table432[[#This Row],[TDS]]-Table432[[#This Row],[RTN]]-Table432[[#This Row],[RECIVED AMOUNT]]</f>
        <v>19773</v>
      </c>
      <c r="T64" s="52"/>
      <c r="U64" s="25"/>
      <c r="V64" s="41">
        <f>Table432[[#This Row],[BALANCE]]-Table432[[#This Row],[RECIVED AMOUNT2]]</f>
        <v>19773</v>
      </c>
      <c r="W64" s="50"/>
      <c r="X64" s="50"/>
    </row>
    <row r="65" spans="1:24" ht="19.95" customHeight="1">
      <c r="A65" s="2">
        <v>45170</v>
      </c>
      <c r="B65" s="3" t="s">
        <v>166</v>
      </c>
      <c r="C65" s="3" t="s">
        <v>42</v>
      </c>
      <c r="D65" s="3" t="s">
        <v>43</v>
      </c>
      <c r="E65" s="3" t="s">
        <v>101</v>
      </c>
      <c r="F65" s="4" t="s">
        <v>26</v>
      </c>
      <c r="G65" s="22">
        <v>998531</v>
      </c>
      <c r="H65" s="23">
        <v>0.18</v>
      </c>
      <c r="I65" s="9">
        <v>6000</v>
      </c>
      <c r="J65" s="9">
        <f t="shared" si="2"/>
        <v>540</v>
      </c>
      <c r="K65" s="9">
        <f t="shared" si="3"/>
        <v>540</v>
      </c>
      <c r="L65" s="41"/>
      <c r="M65" s="37">
        <f>Table432[[#This Row],[Taxable Amount]]+Table432[[#This Row],[SGST]]+Table432[[#This Row],[CGST]]</f>
        <v>7080</v>
      </c>
      <c r="N65" s="71">
        <f>Table432[[#This Row],[Taxable Amount]]*1%</f>
        <v>60</v>
      </c>
      <c r="O65" s="157">
        <v>0</v>
      </c>
      <c r="P65" s="148"/>
      <c r="Q65" s="64"/>
      <c r="R65" s="117" t="s">
        <v>134</v>
      </c>
      <c r="S65" s="138">
        <f>Table432[[#This Row],[Invoice Amount]]-Table432[[#This Row],[TDS]]-Table432[[#This Row],[RTN]]-Table432[[#This Row],[RECIVED AMOUNT]]</f>
        <v>7020</v>
      </c>
      <c r="T65" s="55"/>
      <c r="U65" s="3"/>
      <c r="V65" s="41">
        <f>Table432[[#This Row],[BALANCE]]-Table432[[#This Row],[RECIVED AMOUNT2]]</f>
        <v>7020</v>
      </c>
      <c r="W65" s="50"/>
      <c r="X65" s="50"/>
    </row>
    <row r="66" spans="1:24" ht="19.95" customHeight="1">
      <c r="A66" s="2">
        <v>45170</v>
      </c>
      <c r="B66" s="3" t="s">
        <v>167</v>
      </c>
      <c r="C66" s="3" t="s">
        <v>96</v>
      </c>
      <c r="D66" s="3" t="s">
        <v>97</v>
      </c>
      <c r="E66" s="3" t="s">
        <v>89</v>
      </c>
      <c r="F66" s="4" t="s">
        <v>26</v>
      </c>
      <c r="G66" s="22">
        <v>998531</v>
      </c>
      <c r="H66" s="23">
        <v>0.18</v>
      </c>
      <c r="I66" s="9">
        <v>8280</v>
      </c>
      <c r="J66" s="9">
        <f t="shared" si="2"/>
        <v>745.2</v>
      </c>
      <c r="K66" s="9">
        <f t="shared" si="3"/>
        <v>745.2</v>
      </c>
      <c r="L66" s="41"/>
      <c r="M66" s="37">
        <f>Table432[[#This Row],[Taxable Amount]]+Table432[[#This Row],[SGST]]+Table432[[#This Row],[CGST]]</f>
        <v>9770.4000000000015</v>
      </c>
      <c r="N66" s="71">
        <f>Table432[[#This Row],[Taxable Amount]]*1%</f>
        <v>82.8</v>
      </c>
      <c r="O66" s="157">
        <v>0</v>
      </c>
      <c r="P66" s="147">
        <v>19572</v>
      </c>
      <c r="Q66" s="58">
        <v>45133</v>
      </c>
      <c r="R66" s="117" t="s">
        <v>134</v>
      </c>
      <c r="S66" s="138">
        <f>Table432[[#This Row],[Invoice Amount]]-Table432[[#This Row],[TDS]]-Table432[[#This Row],[RTN]]-Table432[[#This Row],[RECIVED AMOUNT]]</f>
        <v>-9884.3999999999978</v>
      </c>
      <c r="T66" s="55"/>
      <c r="U66" s="3"/>
      <c r="V66" s="41">
        <f>Table432[[#This Row],[BALANCE]]-Table432[[#This Row],[RECIVED AMOUNT2]]</f>
        <v>-9884.3999999999978</v>
      </c>
      <c r="W66" s="50"/>
      <c r="X66" s="50"/>
    </row>
    <row r="67" spans="1:24" ht="19.95" customHeight="1">
      <c r="A67" s="2">
        <v>45171</v>
      </c>
      <c r="B67" s="3" t="s">
        <v>168</v>
      </c>
      <c r="C67" s="21" t="s">
        <v>116</v>
      </c>
      <c r="D67" s="3" t="s">
        <v>117</v>
      </c>
      <c r="E67" s="3" t="s">
        <v>59</v>
      </c>
      <c r="F67" s="4" t="s">
        <v>26</v>
      </c>
      <c r="G67" s="22">
        <v>998531</v>
      </c>
      <c r="H67" s="23">
        <v>0.18</v>
      </c>
      <c r="I67" s="9">
        <v>13800</v>
      </c>
      <c r="J67" s="9">
        <f t="shared" si="2"/>
        <v>1242</v>
      </c>
      <c r="K67" s="9">
        <f t="shared" si="3"/>
        <v>1242</v>
      </c>
      <c r="L67" s="41"/>
      <c r="M67" s="37">
        <f>Table432[[#This Row],[Taxable Amount]]+Table432[[#This Row],[SGST]]+Table432[[#This Row],[CGST]]</f>
        <v>16284</v>
      </c>
      <c r="N67" s="71">
        <f>Table432[[#This Row],[Taxable Amount]]*1%</f>
        <v>138</v>
      </c>
      <c r="O67" s="157">
        <v>0</v>
      </c>
      <c r="P67" s="57" t="s">
        <v>169</v>
      </c>
      <c r="Q67" s="59">
        <v>45240</v>
      </c>
      <c r="R67" s="117" t="s">
        <v>134</v>
      </c>
      <c r="S67" s="138" t="e">
        <f>Table432[[#This Row],[Invoice Amount]]-Table432[[#This Row],[TDS]]-Table432[[#This Row],[RTN]]-Table432[[#This Row],[RECIVED AMOUNT]]</f>
        <v>#VALUE!</v>
      </c>
      <c r="T67" s="55"/>
      <c r="U67" s="3"/>
      <c r="V67" s="41" t="e">
        <f>Table432[[#This Row],[BALANCE]]-Table432[[#This Row],[RECIVED AMOUNT2]]</f>
        <v>#VALUE!</v>
      </c>
      <c r="W67" s="50"/>
      <c r="X67" s="50"/>
    </row>
    <row r="68" spans="1:24" ht="19.95" customHeight="1">
      <c r="A68" s="2">
        <v>45171</v>
      </c>
      <c r="B68" s="3" t="s">
        <v>170</v>
      </c>
      <c r="C68" s="3" t="s">
        <v>23</v>
      </c>
      <c r="D68" s="3" t="s">
        <v>24</v>
      </c>
      <c r="E68" s="3" t="s">
        <v>25</v>
      </c>
      <c r="F68" s="4" t="s">
        <v>26</v>
      </c>
      <c r="G68" s="22">
        <v>998531</v>
      </c>
      <c r="H68" s="23">
        <v>0.18</v>
      </c>
      <c r="I68" s="9">
        <v>5075</v>
      </c>
      <c r="J68" s="9">
        <f t="shared" si="2"/>
        <v>456.75</v>
      </c>
      <c r="K68" s="9">
        <f t="shared" si="3"/>
        <v>456.75</v>
      </c>
      <c r="L68" s="41"/>
      <c r="M68" s="37">
        <f>Table432[[#This Row],[Taxable Amount]]+Table432[[#This Row],[SGST]]+Table432[[#This Row],[CGST]]</f>
        <v>5988.5</v>
      </c>
      <c r="N68" s="71">
        <f>Table432[[#This Row],[Taxable Amount]]*1%</f>
        <v>50.75</v>
      </c>
      <c r="O68" s="157">
        <v>0</v>
      </c>
      <c r="P68" s="57"/>
      <c r="Q68" s="56" t="s">
        <v>171</v>
      </c>
      <c r="R68" s="117" t="s">
        <v>134</v>
      </c>
      <c r="S68" s="138">
        <f>Table432[[#This Row],[Invoice Amount]]-Table432[[#This Row],[TDS]]-Table432[[#This Row],[RTN]]-Table432[[#This Row],[RECIVED AMOUNT]]</f>
        <v>5937.75</v>
      </c>
      <c r="T68" s="55"/>
      <c r="U68" s="3"/>
      <c r="V68" s="41">
        <f>Table432[[#This Row],[BALANCE]]-Table432[[#This Row],[RECIVED AMOUNT2]]</f>
        <v>5937.75</v>
      </c>
      <c r="W68" s="50"/>
      <c r="X68" s="50"/>
    </row>
    <row r="69" spans="1:24" ht="19.95" customHeight="1">
      <c r="A69" s="2">
        <v>45171</v>
      </c>
      <c r="B69" s="3" t="s">
        <v>172</v>
      </c>
      <c r="C69" s="3" t="s">
        <v>47</v>
      </c>
      <c r="D69" s="3" t="s">
        <v>48</v>
      </c>
      <c r="E69" s="3" t="s">
        <v>59</v>
      </c>
      <c r="F69" s="4" t="s">
        <v>26</v>
      </c>
      <c r="G69" s="22">
        <v>998531</v>
      </c>
      <c r="H69" s="23">
        <v>0.18</v>
      </c>
      <c r="I69" s="9">
        <v>3150</v>
      </c>
      <c r="J69" s="9">
        <v>283.5</v>
      </c>
      <c r="K69" s="9">
        <v>283.5</v>
      </c>
      <c r="L69" s="41"/>
      <c r="M69" s="37">
        <f>Table432[[#This Row],[Taxable Amount]]+Table432[[#This Row],[SGST]]+Table432[[#This Row],[CGST]]</f>
        <v>3717</v>
      </c>
      <c r="N69" s="71"/>
      <c r="O69" s="175">
        <v>0</v>
      </c>
      <c r="P69" s="57">
        <v>7434</v>
      </c>
      <c r="Q69" s="58">
        <v>45239</v>
      </c>
      <c r="R69" s="139" t="s">
        <v>134</v>
      </c>
      <c r="S69" s="138">
        <f>Table432[[#This Row],[Invoice Amount]]-Table432[[#This Row],[TDS]]-Table432[[#This Row],[RTN]]-Table432[[#This Row],[RECIVED AMOUNT]]</f>
        <v>-3717</v>
      </c>
      <c r="T69" s="55"/>
      <c r="U69" s="3"/>
      <c r="V69" s="41">
        <f>Table432[[#This Row],[BALANCE]]-Table432[[#This Row],[RECIVED AMOUNT2]]</f>
        <v>-3717</v>
      </c>
      <c r="W69" s="50"/>
      <c r="X69" s="50"/>
    </row>
    <row r="70" spans="1:24" ht="19.95" customHeight="1">
      <c r="A70" s="2">
        <v>45171</v>
      </c>
      <c r="B70" s="3" t="s">
        <v>75</v>
      </c>
      <c r="C70" s="3" t="s">
        <v>173</v>
      </c>
      <c r="D70" s="3" t="s">
        <v>174</v>
      </c>
      <c r="E70" s="3" t="s">
        <v>175</v>
      </c>
      <c r="F70" s="4" t="s">
        <v>37</v>
      </c>
      <c r="G70" s="22">
        <v>998531</v>
      </c>
      <c r="H70" s="23">
        <v>0.18</v>
      </c>
      <c r="I70" s="9">
        <v>16177</v>
      </c>
      <c r="J70" s="9">
        <f t="shared" ref="J70:J80" si="4">I70*9/100</f>
        <v>1455.93</v>
      </c>
      <c r="K70" s="9">
        <f t="shared" ref="K70:K80" si="5">I70*9/100</f>
        <v>1455.93</v>
      </c>
      <c r="L70" s="41"/>
      <c r="M70" s="37">
        <f>Table432[[#This Row],[Taxable Amount]]+Table432[[#This Row],[SGST]]+Table432[[#This Row],[CGST]]</f>
        <v>19088.86</v>
      </c>
      <c r="N70" s="71">
        <f>Table432[[#This Row],[Taxable Amount]]*1%</f>
        <v>161.77000000000001</v>
      </c>
      <c r="O70" s="157">
        <v>0</v>
      </c>
      <c r="P70" s="201">
        <v>16177</v>
      </c>
      <c r="Q70" s="59">
        <v>45215</v>
      </c>
      <c r="R70" s="193"/>
      <c r="S70" s="138">
        <f>Table432[[#This Row],[Invoice Amount]]-Table432[[#This Row],[TDS]]-Table432[[#This Row],[RTN]]-Table432[[#This Row],[RECIVED AMOUNT]]</f>
        <v>2750.09</v>
      </c>
      <c r="T70" s="55"/>
      <c r="U70" s="3"/>
      <c r="V70" s="41">
        <f>Table432[[#This Row],[BALANCE]]-Table432[[#This Row],[RECIVED AMOUNT2]]</f>
        <v>2750.09</v>
      </c>
      <c r="W70" s="50"/>
      <c r="X70" s="50"/>
    </row>
    <row r="71" spans="1:24" ht="19.95" customHeight="1">
      <c r="A71" s="2">
        <v>45173</v>
      </c>
      <c r="B71" s="3" t="s">
        <v>176</v>
      </c>
      <c r="C71" s="3" t="s">
        <v>177</v>
      </c>
      <c r="D71" s="3" t="s">
        <v>178</v>
      </c>
      <c r="E71" s="3" t="s">
        <v>44</v>
      </c>
      <c r="F71" s="4" t="s">
        <v>26</v>
      </c>
      <c r="G71" s="22">
        <v>998531</v>
      </c>
      <c r="H71" s="23">
        <v>0.18</v>
      </c>
      <c r="I71" s="9">
        <v>16400</v>
      </c>
      <c r="J71" s="9">
        <f t="shared" si="4"/>
        <v>1476</v>
      </c>
      <c r="K71" s="9">
        <f t="shared" si="5"/>
        <v>1476</v>
      </c>
      <c r="L71" s="41"/>
      <c r="M71" s="37">
        <f>Table432[[#This Row],[Taxable Amount]]+Table432[[#This Row],[SGST]]+Table432[[#This Row],[CGST]]</f>
        <v>19352</v>
      </c>
      <c r="N71" s="71">
        <f>Table432[[#This Row],[Taxable Amount]]*1%</f>
        <v>164</v>
      </c>
      <c r="O71" s="149">
        <v>0</v>
      </c>
      <c r="P71" s="148">
        <v>20000</v>
      </c>
      <c r="Q71" s="58">
        <v>45316</v>
      </c>
      <c r="R71" s="193"/>
      <c r="S71" s="138">
        <f>Table432[[#This Row],[Invoice Amount]]-Table432[[#This Row],[TDS]]-Table432[[#This Row],[RTN]]-Table432[[#This Row],[RECIVED AMOUNT]]</f>
        <v>-812</v>
      </c>
      <c r="T71" s="55"/>
      <c r="U71" s="3"/>
      <c r="V71" s="41">
        <f>Table432[[#This Row],[BALANCE]]-Table432[[#This Row],[RECIVED AMOUNT2]]</f>
        <v>-812</v>
      </c>
      <c r="W71" s="50"/>
      <c r="X71" s="50"/>
    </row>
    <row r="72" spans="1:24" ht="19.95" customHeight="1">
      <c r="A72" s="2">
        <v>45199</v>
      </c>
      <c r="B72" s="3" t="s">
        <v>179</v>
      </c>
      <c r="C72" s="3" t="s">
        <v>42</v>
      </c>
      <c r="D72" s="3" t="s">
        <v>43</v>
      </c>
      <c r="E72" s="3" t="s">
        <v>44</v>
      </c>
      <c r="F72" s="4" t="s">
        <v>45</v>
      </c>
      <c r="G72" s="22">
        <v>998531</v>
      </c>
      <c r="H72" s="23">
        <v>0.18</v>
      </c>
      <c r="I72" s="9">
        <v>18400</v>
      </c>
      <c r="J72" s="9">
        <f t="shared" si="4"/>
        <v>1656</v>
      </c>
      <c r="K72" s="9">
        <f t="shared" si="5"/>
        <v>1656</v>
      </c>
      <c r="L72" s="41"/>
      <c r="M72" s="37">
        <f>Table432[[#This Row],[Taxable Amount]]+Table432[[#This Row],[SGST]]+Table432[[#This Row],[CGST]]</f>
        <v>21712</v>
      </c>
      <c r="N72" s="71">
        <f>Table432[[#This Row],[Taxable Amount]]*1%</f>
        <v>184</v>
      </c>
      <c r="O72" s="157">
        <v>460</v>
      </c>
      <c r="P72" s="145"/>
      <c r="Q72" s="65"/>
      <c r="R72" s="193" t="s">
        <v>148</v>
      </c>
      <c r="S72" s="138">
        <f>Table432[[#This Row],[Invoice Amount]]-Table432[[#This Row],[TDS]]-Table432[[#This Row],[RTN]]-Table432[[#This Row],[RECIVED AMOUNT]]</f>
        <v>21068</v>
      </c>
      <c r="T72" s="55"/>
      <c r="U72" s="3"/>
      <c r="V72" s="41">
        <f>Table432[[#This Row],[BALANCE]]-Table432[[#This Row],[RECIVED AMOUNT2]]</f>
        <v>21068</v>
      </c>
      <c r="W72" s="50"/>
      <c r="X72" s="50"/>
    </row>
    <row r="73" spans="1:24" ht="19.95" customHeight="1">
      <c r="A73" s="2">
        <v>45199</v>
      </c>
      <c r="B73" s="3" t="s">
        <v>180</v>
      </c>
      <c r="C73" s="3" t="s">
        <v>42</v>
      </c>
      <c r="D73" s="3" t="s">
        <v>43</v>
      </c>
      <c r="E73" s="3" t="s">
        <v>163</v>
      </c>
      <c r="F73" s="4" t="s">
        <v>26</v>
      </c>
      <c r="G73" s="22">
        <v>998531</v>
      </c>
      <c r="H73" s="23">
        <v>0.18</v>
      </c>
      <c r="I73" s="9">
        <v>9500</v>
      </c>
      <c r="J73" s="9">
        <f t="shared" si="4"/>
        <v>855</v>
      </c>
      <c r="K73" s="9">
        <f t="shared" si="5"/>
        <v>855</v>
      </c>
      <c r="L73" s="41"/>
      <c r="M73" s="37">
        <f>Table432[[#This Row],[Taxable Amount]]+Table432[[#This Row],[SGST]]+Table432[[#This Row],[CGST]]</f>
        <v>11210</v>
      </c>
      <c r="N73" s="71">
        <f>Table432[[#This Row],[Taxable Amount]]*1%</f>
        <v>95</v>
      </c>
      <c r="O73" s="157">
        <v>238</v>
      </c>
      <c r="P73" s="145"/>
      <c r="Q73" s="59"/>
      <c r="R73" s="117" t="s">
        <v>134</v>
      </c>
      <c r="S73" s="138">
        <f>Table432[[#This Row],[Invoice Amount]]-Table432[[#This Row],[TDS]]-Table432[[#This Row],[RTN]]-Table432[[#This Row],[RECIVED AMOUNT]]</f>
        <v>10877</v>
      </c>
      <c r="T73" s="55"/>
      <c r="U73" s="3"/>
      <c r="V73" s="41">
        <f>Table432[[#This Row],[BALANCE]]-Table432[[#This Row],[RECIVED AMOUNT2]]</f>
        <v>10877</v>
      </c>
      <c r="W73" s="50"/>
      <c r="X73" s="50"/>
    </row>
    <row r="74" spans="1:24" ht="19.95" customHeight="1">
      <c r="A74" s="2">
        <v>45199</v>
      </c>
      <c r="B74" s="3" t="s">
        <v>181</v>
      </c>
      <c r="C74" s="3" t="s">
        <v>182</v>
      </c>
      <c r="D74" s="3" t="s">
        <v>183</v>
      </c>
      <c r="E74" s="3"/>
      <c r="F74" s="4" t="s">
        <v>26</v>
      </c>
      <c r="G74" s="22">
        <v>998531</v>
      </c>
      <c r="H74" s="23">
        <v>0.18</v>
      </c>
      <c r="I74" s="9">
        <v>4500</v>
      </c>
      <c r="J74" s="9">
        <f t="shared" si="4"/>
        <v>405</v>
      </c>
      <c r="K74" s="9">
        <f t="shared" si="5"/>
        <v>405</v>
      </c>
      <c r="L74" s="41"/>
      <c r="M74" s="37">
        <f>Table432[[#This Row],[Taxable Amount]]+Table432[[#This Row],[SGST]]+Table432[[#This Row],[CGST]]</f>
        <v>5310</v>
      </c>
      <c r="N74" s="71">
        <f>Table432[[#This Row],[Taxable Amount]]*1%</f>
        <v>45</v>
      </c>
      <c r="O74" s="149">
        <v>0</v>
      </c>
      <c r="P74" s="57">
        <v>2500</v>
      </c>
      <c r="Q74" s="59">
        <v>45215</v>
      </c>
      <c r="R74" s="117" t="s">
        <v>134</v>
      </c>
      <c r="S74" s="138">
        <f>Table432[[#This Row],[Invoice Amount]]-Table432[[#This Row],[TDS]]-Table432[[#This Row],[RTN]]-Table432[[#This Row],[RECIVED AMOUNT]]</f>
        <v>2765</v>
      </c>
      <c r="T74" s="55"/>
      <c r="U74" s="3"/>
      <c r="V74" s="41">
        <f>Table432[[#This Row],[BALANCE]]-Table432[[#This Row],[RECIVED AMOUNT2]]</f>
        <v>2765</v>
      </c>
      <c r="W74" s="50"/>
      <c r="X74" s="50"/>
    </row>
    <row r="75" spans="1:24" ht="19.95" customHeight="1">
      <c r="A75" s="2">
        <v>45202</v>
      </c>
      <c r="B75" s="3" t="s">
        <v>184</v>
      </c>
      <c r="C75" s="3" t="s">
        <v>42</v>
      </c>
      <c r="D75" s="3" t="s">
        <v>43</v>
      </c>
      <c r="E75" s="3" t="s">
        <v>101</v>
      </c>
      <c r="F75" s="4" t="s">
        <v>26</v>
      </c>
      <c r="G75" s="22">
        <v>998531</v>
      </c>
      <c r="H75" s="23">
        <v>0.18</v>
      </c>
      <c r="I75" s="9">
        <v>6000</v>
      </c>
      <c r="J75" s="9">
        <f t="shared" si="4"/>
        <v>540</v>
      </c>
      <c r="K75" s="9">
        <f t="shared" si="5"/>
        <v>540</v>
      </c>
      <c r="L75" s="41"/>
      <c r="M75" s="37">
        <f>Table432[[#This Row],[Taxable Amount]]+Table432[[#This Row],[SGST]]+Table432[[#This Row],[CGST]]</f>
        <v>7080</v>
      </c>
      <c r="N75" s="71">
        <f>Table432[[#This Row],[Taxable Amount]]*1%</f>
        <v>60</v>
      </c>
      <c r="O75" s="157">
        <v>0</v>
      </c>
      <c r="P75" s="57"/>
      <c r="Q75" s="64"/>
      <c r="R75" s="195" t="s">
        <v>185</v>
      </c>
      <c r="S75" s="138">
        <f>Table432[[#This Row],[Invoice Amount]]-Table432[[#This Row],[TDS]]-Table432[[#This Row],[RTN]]-Table432[[#This Row],[RECIVED AMOUNT]]</f>
        <v>7020</v>
      </c>
      <c r="T75" s="55"/>
      <c r="U75" s="3"/>
      <c r="V75" s="41">
        <f>Table432[[#This Row],[BALANCE]]-Table432[[#This Row],[RECIVED AMOUNT2]]</f>
        <v>7020</v>
      </c>
      <c r="W75" s="50"/>
      <c r="X75" s="50"/>
    </row>
    <row r="76" spans="1:24" ht="19.95" customHeight="1">
      <c r="A76" s="2">
        <v>45202</v>
      </c>
      <c r="B76" s="3" t="s">
        <v>186</v>
      </c>
      <c r="C76" s="21" t="s">
        <v>116</v>
      </c>
      <c r="D76" s="3" t="s">
        <v>117</v>
      </c>
      <c r="E76" s="3" t="s">
        <v>59</v>
      </c>
      <c r="F76" s="4" t="s">
        <v>26</v>
      </c>
      <c r="G76" s="22">
        <v>998531</v>
      </c>
      <c r="H76" s="23">
        <v>0.18</v>
      </c>
      <c r="I76" s="9">
        <v>17300</v>
      </c>
      <c r="J76" s="9">
        <f t="shared" si="4"/>
        <v>1557</v>
      </c>
      <c r="K76" s="9">
        <f t="shared" si="5"/>
        <v>1557</v>
      </c>
      <c r="L76" s="41"/>
      <c r="M76" s="37">
        <f>Table432[[#This Row],[Taxable Amount]]+Table432[[#This Row],[SGST]]+Table432[[#This Row],[CGST]]</f>
        <v>20414</v>
      </c>
      <c r="N76" s="71">
        <f>Table432[[#This Row],[Taxable Amount]]*1%</f>
        <v>173</v>
      </c>
      <c r="O76" s="157">
        <v>0</v>
      </c>
      <c r="P76" s="57">
        <v>36387</v>
      </c>
      <c r="Q76" s="57" t="s">
        <v>187</v>
      </c>
      <c r="R76" s="195" t="s">
        <v>185</v>
      </c>
      <c r="S76" s="138">
        <f>Table432[[#This Row],[Invoice Amount]]-Table432[[#This Row],[TDS]]-Table432[[#This Row],[RTN]]-Table432[[#This Row],[RECIVED AMOUNT]]</f>
        <v>-16146</v>
      </c>
      <c r="T76" s="55"/>
      <c r="U76" s="3"/>
      <c r="V76" s="41">
        <f>Table432[[#This Row],[BALANCE]]-Table432[[#This Row],[RECIVED AMOUNT2]]</f>
        <v>-16146</v>
      </c>
      <c r="W76" s="50"/>
      <c r="X76" s="50"/>
    </row>
    <row r="77" spans="1:24" ht="19.95" customHeight="1">
      <c r="A77" s="2">
        <v>45202</v>
      </c>
      <c r="B77" s="3" t="s">
        <v>188</v>
      </c>
      <c r="C77" s="3" t="s">
        <v>96</v>
      </c>
      <c r="D77" s="3" t="s">
        <v>97</v>
      </c>
      <c r="E77" s="3" t="s">
        <v>89</v>
      </c>
      <c r="F77" s="4" t="s">
        <v>26</v>
      </c>
      <c r="G77" s="22">
        <v>998531</v>
      </c>
      <c r="H77" s="23">
        <v>0.18</v>
      </c>
      <c r="I77" s="9">
        <v>8280</v>
      </c>
      <c r="J77" s="9">
        <f t="shared" si="4"/>
        <v>745.2</v>
      </c>
      <c r="K77" s="9">
        <f t="shared" si="5"/>
        <v>745.2</v>
      </c>
      <c r="L77" s="41"/>
      <c r="M77" s="37">
        <f>Table432[[#This Row],[Taxable Amount]]+Table432[[#This Row],[SGST]]+Table432[[#This Row],[CGST]]</f>
        <v>9770.4000000000015</v>
      </c>
      <c r="N77" s="71">
        <f>Table432[[#This Row],[Taxable Amount]]*1%</f>
        <v>82.8</v>
      </c>
      <c r="O77" s="157">
        <v>0</v>
      </c>
      <c r="P77" s="147">
        <v>9786</v>
      </c>
      <c r="Q77" s="72">
        <v>45176</v>
      </c>
      <c r="R77" s="195" t="s">
        <v>185</v>
      </c>
      <c r="S77" s="138">
        <f>Table432[[#This Row],[Invoice Amount]]-Table432[[#This Row],[TDS]]-Table432[[#This Row],[RTN]]-Table432[[#This Row],[RECIVED AMOUNT]]</f>
        <v>-98.399999999997817</v>
      </c>
      <c r="T77" s="55"/>
      <c r="U77" s="3"/>
      <c r="V77" s="41">
        <f>Table432[[#This Row],[BALANCE]]-Table432[[#This Row],[RECIVED AMOUNT2]]</f>
        <v>-98.399999999997817</v>
      </c>
      <c r="W77" s="50"/>
      <c r="X77" s="50"/>
    </row>
    <row r="78" spans="1:24" ht="19.95" customHeight="1">
      <c r="A78" s="2">
        <v>45202</v>
      </c>
      <c r="B78" s="3" t="s">
        <v>189</v>
      </c>
      <c r="C78" s="3" t="s">
        <v>177</v>
      </c>
      <c r="D78" s="3" t="s">
        <v>178</v>
      </c>
      <c r="E78" s="3" t="s">
        <v>44</v>
      </c>
      <c r="F78" s="4" t="s">
        <v>26</v>
      </c>
      <c r="G78" s="22">
        <v>998531</v>
      </c>
      <c r="H78" s="23">
        <v>0.18</v>
      </c>
      <c r="I78" s="9">
        <v>16400</v>
      </c>
      <c r="J78" s="9">
        <f t="shared" si="4"/>
        <v>1476</v>
      </c>
      <c r="K78" s="9">
        <f t="shared" si="5"/>
        <v>1476</v>
      </c>
      <c r="L78" s="41"/>
      <c r="M78" s="37">
        <f>Table432[[#This Row],[Taxable Amount]]+Table432[[#This Row],[SGST]]+Table432[[#This Row],[CGST]]</f>
        <v>19352</v>
      </c>
      <c r="N78" s="71">
        <f>Table432[[#This Row],[Taxable Amount]]*1%</f>
        <v>164</v>
      </c>
      <c r="O78" s="149">
        <v>0</v>
      </c>
      <c r="P78" s="148">
        <v>19396</v>
      </c>
      <c r="Q78" s="58">
        <v>45456</v>
      </c>
      <c r="R78" s="193"/>
      <c r="S78" s="138">
        <f>Table432[[#This Row],[Invoice Amount]]-Table432[[#This Row],[TDS]]-Table432[[#This Row],[RTN]]-Table432[[#This Row],[RECIVED AMOUNT]]</f>
        <v>-208</v>
      </c>
      <c r="T78" s="55"/>
      <c r="U78" s="3"/>
      <c r="V78" s="41">
        <f>Table432[[#This Row],[BALANCE]]-Table432[[#This Row],[RECIVED AMOUNT2]]</f>
        <v>-208</v>
      </c>
      <c r="W78" s="50"/>
      <c r="X78" s="50"/>
    </row>
    <row r="79" spans="1:24" ht="19.95" customHeight="1">
      <c r="A79" s="24">
        <v>45202</v>
      </c>
      <c r="B79" s="25" t="s">
        <v>190</v>
      </c>
      <c r="C79" s="25" t="s">
        <v>177</v>
      </c>
      <c r="D79" s="25" t="s">
        <v>54</v>
      </c>
      <c r="E79" s="25" t="s">
        <v>191</v>
      </c>
      <c r="F79" s="27"/>
      <c r="G79" s="28">
        <v>998531</v>
      </c>
      <c r="H79" s="23">
        <v>0.18</v>
      </c>
      <c r="I79" s="38">
        <v>16400</v>
      </c>
      <c r="J79" s="38">
        <f t="shared" si="4"/>
        <v>1476</v>
      </c>
      <c r="K79" s="38">
        <f t="shared" si="5"/>
        <v>1476</v>
      </c>
      <c r="L79" s="39"/>
      <c r="M79" s="40">
        <f>Table432[[#This Row],[Taxable Amount]]+Table432[[#This Row],[SGST]]+Table432[[#This Row],[CGST]]</f>
        <v>19352</v>
      </c>
      <c r="N79" s="140">
        <f>Table432[[#This Row],[Taxable Amount]]*1%</f>
        <v>164</v>
      </c>
      <c r="O79" s="174"/>
      <c r="P79" s="141"/>
      <c r="Q79" s="51">
        <v>45215</v>
      </c>
      <c r="R79" s="191"/>
      <c r="S79" s="138">
        <f>Table432[[#This Row],[Invoice Amount]]-Table432[[#This Row],[TDS]]-Table432[[#This Row],[RTN]]-Table432[[#This Row],[RECIVED AMOUNT]]</f>
        <v>19188</v>
      </c>
      <c r="T79" s="52"/>
      <c r="U79" s="25"/>
      <c r="V79" s="41">
        <f>Table432[[#This Row],[BALANCE]]-Table432[[#This Row],[RECIVED AMOUNT2]]</f>
        <v>19188</v>
      </c>
      <c r="W79" s="50"/>
      <c r="X79" s="50"/>
    </row>
    <row r="80" spans="1:24" ht="19.95" customHeight="1">
      <c r="A80" s="2">
        <v>45203</v>
      </c>
      <c r="B80" s="3" t="s">
        <v>192</v>
      </c>
      <c r="C80" s="3" t="s">
        <v>23</v>
      </c>
      <c r="D80" s="3" t="s">
        <v>24</v>
      </c>
      <c r="E80" s="3" t="s">
        <v>25</v>
      </c>
      <c r="F80" s="4" t="s">
        <v>26</v>
      </c>
      <c r="G80" s="22">
        <v>998531</v>
      </c>
      <c r="H80" s="23">
        <v>0.18</v>
      </c>
      <c r="I80" s="9">
        <v>3850</v>
      </c>
      <c r="J80" s="9">
        <f t="shared" si="4"/>
        <v>346.5</v>
      </c>
      <c r="K80" s="9">
        <f t="shared" si="5"/>
        <v>346.5</v>
      </c>
      <c r="L80" s="41"/>
      <c r="M80" s="37">
        <f>Table432[[#This Row],[Taxable Amount]]+Table432[[#This Row],[SGST]]+Table432[[#This Row],[CGST]]</f>
        <v>4543</v>
      </c>
      <c r="N80" s="71">
        <f>Table432[[#This Row],[Taxable Amount]]*1%</f>
        <v>38.5</v>
      </c>
      <c r="O80" s="157">
        <v>0</v>
      </c>
      <c r="P80" s="57"/>
      <c r="Q80" s="56" t="s">
        <v>171</v>
      </c>
      <c r="R80" s="195" t="s">
        <v>185</v>
      </c>
      <c r="S80" s="138">
        <f>Table432[[#This Row],[Invoice Amount]]-Table432[[#This Row],[TDS]]-Table432[[#This Row],[RTN]]-Table432[[#This Row],[RECIVED AMOUNT]]</f>
        <v>4504.5</v>
      </c>
      <c r="T80" s="55"/>
      <c r="U80" s="3"/>
      <c r="V80" s="41">
        <f>Table432[[#This Row],[BALANCE]]-Table432[[#This Row],[RECIVED AMOUNT2]]</f>
        <v>4504.5</v>
      </c>
      <c r="W80" s="50"/>
      <c r="X80" s="50"/>
    </row>
    <row r="81" spans="1:121" ht="19.95" customHeight="1">
      <c r="A81" s="24">
        <v>45215</v>
      </c>
      <c r="B81" s="25" t="s">
        <v>193</v>
      </c>
      <c r="C81" s="25"/>
      <c r="D81" s="25"/>
      <c r="E81" s="25"/>
      <c r="F81" s="27"/>
      <c r="G81" s="28">
        <v>998531</v>
      </c>
      <c r="H81" s="23">
        <v>0.18</v>
      </c>
      <c r="I81" s="25"/>
      <c r="J81" s="25"/>
      <c r="K81" s="25"/>
      <c r="L81" s="52"/>
      <c r="M81" s="40">
        <f>Table432[[#This Row],[Taxable Amount]]+Table432[[#This Row],[SGST]]+Table432[[#This Row],[CGST]]</f>
        <v>0</v>
      </c>
      <c r="N81" s="140">
        <f>Table432[[#This Row],[Taxable Amount]]*1%</f>
        <v>0</v>
      </c>
      <c r="O81" s="174"/>
      <c r="P81" s="141"/>
      <c r="Q81" s="51">
        <v>45215</v>
      </c>
      <c r="R81" s="191"/>
      <c r="S81" s="138">
        <f>Table432[[#This Row],[Invoice Amount]]-Table432[[#This Row],[TDS]]-Table432[[#This Row],[RTN]]-Table432[[#This Row],[RECIVED AMOUNT]]</f>
        <v>0</v>
      </c>
      <c r="T81" s="52"/>
      <c r="U81" s="25"/>
      <c r="V81" s="41">
        <f>Table432[[#This Row],[BALANCE]]-Table432[[#This Row],[RECIVED AMOUNT2]]</f>
        <v>0</v>
      </c>
      <c r="W81" s="50"/>
      <c r="X81" s="50"/>
    </row>
    <row r="82" spans="1:121" ht="19.95" customHeight="1">
      <c r="A82" s="2">
        <v>45230</v>
      </c>
      <c r="B82" s="3" t="s">
        <v>194</v>
      </c>
      <c r="C82" s="3" t="s">
        <v>42</v>
      </c>
      <c r="D82" s="3" t="s">
        <v>43</v>
      </c>
      <c r="E82" s="3" t="s">
        <v>44</v>
      </c>
      <c r="F82" s="4" t="s">
        <v>45</v>
      </c>
      <c r="G82" s="22">
        <v>998531</v>
      </c>
      <c r="H82" s="23">
        <v>0.18</v>
      </c>
      <c r="I82" s="9">
        <v>18400</v>
      </c>
      <c r="J82" s="9">
        <f t="shared" ref="J82:J90" si="6">I82*9/100</f>
        <v>1656</v>
      </c>
      <c r="K82" s="9">
        <f t="shared" ref="K82:K90" si="7">I82*9/100</f>
        <v>1656</v>
      </c>
      <c r="L82" s="41"/>
      <c r="M82" s="37">
        <f>Table432[[#This Row],[Taxable Amount]]+Table432[[#This Row],[SGST]]+Table432[[#This Row],[CGST]]</f>
        <v>21712</v>
      </c>
      <c r="N82" s="71">
        <f>Table432[[#This Row],[Taxable Amount]]*1%</f>
        <v>184</v>
      </c>
      <c r="O82" s="157">
        <v>460</v>
      </c>
      <c r="P82" s="145"/>
      <c r="Q82" s="65"/>
      <c r="R82" s="193" t="s">
        <v>148</v>
      </c>
      <c r="S82" s="138">
        <f>Table432[[#This Row],[Invoice Amount]]-Table432[[#This Row],[TDS]]-Table432[[#This Row],[RTN]]-Table432[[#This Row],[RECIVED AMOUNT]]</f>
        <v>21068</v>
      </c>
      <c r="T82" s="55"/>
      <c r="U82" s="3"/>
      <c r="V82" s="41">
        <f>Table432[[#This Row],[BALANCE]]-Table432[[#This Row],[RECIVED AMOUNT2]]</f>
        <v>21068</v>
      </c>
      <c r="W82" s="50"/>
      <c r="X82" s="50"/>
    </row>
    <row r="83" spans="1:121" ht="19.95" customHeight="1">
      <c r="A83" s="2">
        <v>45230</v>
      </c>
      <c r="B83" s="3" t="s">
        <v>195</v>
      </c>
      <c r="C83" s="3" t="s">
        <v>42</v>
      </c>
      <c r="D83" s="3" t="s">
        <v>43</v>
      </c>
      <c r="E83" s="3" t="s">
        <v>163</v>
      </c>
      <c r="F83" s="4" t="s">
        <v>26</v>
      </c>
      <c r="G83" s="22">
        <v>998531</v>
      </c>
      <c r="H83" s="23">
        <v>0.18</v>
      </c>
      <c r="I83" s="9">
        <v>8400</v>
      </c>
      <c r="J83" s="9">
        <f t="shared" si="6"/>
        <v>756</v>
      </c>
      <c r="K83" s="9">
        <f t="shared" si="7"/>
        <v>756</v>
      </c>
      <c r="L83" s="41"/>
      <c r="M83" s="37">
        <f>Table432[[#This Row],[Taxable Amount]]+Table432[[#This Row],[SGST]]+Table432[[#This Row],[CGST]]</f>
        <v>9912</v>
      </c>
      <c r="N83" s="71">
        <f>Table432[[#This Row],[Taxable Amount]]*1%</f>
        <v>84</v>
      </c>
      <c r="O83" s="157">
        <v>210</v>
      </c>
      <c r="P83" s="145"/>
      <c r="Q83" s="59"/>
      <c r="R83" s="195" t="s">
        <v>185</v>
      </c>
      <c r="S83" s="138">
        <f>Table432[[#This Row],[Invoice Amount]]-Table432[[#This Row],[TDS]]-Table432[[#This Row],[RTN]]-Table432[[#This Row],[RECIVED AMOUNT]]</f>
        <v>9618</v>
      </c>
      <c r="T83" s="55"/>
      <c r="U83" s="3"/>
      <c r="V83" s="41">
        <f>Table432[[#This Row],[BALANCE]]-Table432[[#This Row],[RECIVED AMOUNT2]]</f>
        <v>9618</v>
      </c>
      <c r="W83" s="50"/>
      <c r="X83" s="50"/>
    </row>
    <row r="84" spans="1:121" ht="19.95" customHeight="1">
      <c r="A84" s="2">
        <v>45232</v>
      </c>
      <c r="B84" s="3" t="s">
        <v>196</v>
      </c>
      <c r="C84" s="3" t="s">
        <v>42</v>
      </c>
      <c r="D84" s="3" t="s">
        <v>43</v>
      </c>
      <c r="E84" s="3" t="s">
        <v>101</v>
      </c>
      <c r="F84" s="4" t="s">
        <v>26</v>
      </c>
      <c r="G84" s="22">
        <v>998531</v>
      </c>
      <c r="H84" s="23">
        <v>0.18</v>
      </c>
      <c r="I84" s="9">
        <v>4500</v>
      </c>
      <c r="J84" s="9">
        <f t="shared" si="6"/>
        <v>405</v>
      </c>
      <c r="K84" s="9">
        <f t="shared" si="7"/>
        <v>405</v>
      </c>
      <c r="L84" s="41"/>
      <c r="M84" s="37">
        <f>Table432[[#This Row],[Taxable Amount]]+Table432[[#This Row],[SGST]]+Table432[[#This Row],[CGST]]</f>
        <v>5310</v>
      </c>
      <c r="N84" s="71">
        <f>Table432[[#This Row],[Taxable Amount]]*1%</f>
        <v>45</v>
      </c>
      <c r="O84" s="157">
        <v>0</v>
      </c>
      <c r="P84" s="57"/>
      <c r="Q84" s="64"/>
      <c r="R84" s="195" t="s">
        <v>185</v>
      </c>
      <c r="S84" s="138">
        <f>Table432[[#This Row],[Invoice Amount]]-Table432[[#This Row],[TDS]]-Table432[[#This Row],[RTN]]-Table432[[#This Row],[RECIVED AMOUNT]]</f>
        <v>5265</v>
      </c>
      <c r="T84" s="55"/>
      <c r="U84" s="3"/>
      <c r="V84" s="41">
        <f>Table432[[#This Row],[BALANCE]]-Table432[[#This Row],[RECIVED AMOUNT2]]</f>
        <v>5265</v>
      </c>
      <c r="W84" s="50"/>
      <c r="X84" s="50"/>
    </row>
    <row r="85" spans="1:121" ht="19.95" customHeight="1">
      <c r="A85" s="2">
        <v>45232</v>
      </c>
      <c r="B85" s="3" t="s">
        <v>197</v>
      </c>
      <c r="C85" s="21" t="s">
        <v>116</v>
      </c>
      <c r="D85" s="3" t="s">
        <v>117</v>
      </c>
      <c r="E85" s="3" t="s">
        <v>59</v>
      </c>
      <c r="F85" s="4" t="s">
        <v>26</v>
      </c>
      <c r="G85" s="22">
        <v>998531</v>
      </c>
      <c r="H85" s="23">
        <v>0.18</v>
      </c>
      <c r="I85" s="9">
        <v>19300</v>
      </c>
      <c r="J85" s="9">
        <f t="shared" si="6"/>
        <v>1737</v>
      </c>
      <c r="K85" s="9">
        <f t="shared" si="7"/>
        <v>1737</v>
      </c>
      <c r="L85" s="41"/>
      <c r="M85" s="37">
        <f>Table432[[#This Row],[Taxable Amount]]+Table432[[#This Row],[SGST]]+Table432[[#This Row],[CGST]]</f>
        <v>22774</v>
      </c>
      <c r="N85" s="71">
        <f>Table432[[#This Row],[Taxable Amount]]*1%</f>
        <v>193</v>
      </c>
      <c r="O85" s="157">
        <v>0</v>
      </c>
      <c r="P85" s="57">
        <v>22581</v>
      </c>
      <c r="Q85" s="57" t="s">
        <v>198</v>
      </c>
      <c r="R85" s="195" t="s">
        <v>185</v>
      </c>
      <c r="S85" s="138">
        <f>Table432[[#This Row],[Invoice Amount]]-Table432[[#This Row],[TDS]]-Table432[[#This Row],[RTN]]-Table432[[#This Row],[RECIVED AMOUNT]]</f>
        <v>0</v>
      </c>
      <c r="T85" s="55"/>
      <c r="U85" s="3"/>
      <c r="V85" s="41">
        <f>Table432[[#This Row],[BALANCE]]-Table432[[#This Row],[RECIVED AMOUNT2]]</f>
        <v>0</v>
      </c>
      <c r="W85" s="50"/>
      <c r="X85" s="50"/>
    </row>
    <row r="86" spans="1:121" ht="19.95" customHeight="1">
      <c r="A86" s="2">
        <v>45232</v>
      </c>
      <c r="B86" s="3" t="s">
        <v>199</v>
      </c>
      <c r="C86" s="3" t="s">
        <v>47</v>
      </c>
      <c r="D86" s="3" t="s">
        <v>48</v>
      </c>
      <c r="E86" s="3" t="s">
        <v>59</v>
      </c>
      <c r="F86" s="4" t="s">
        <v>26</v>
      </c>
      <c r="G86" s="22">
        <v>998531</v>
      </c>
      <c r="H86" s="23">
        <v>0.18</v>
      </c>
      <c r="I86" s="9">
        <v>6125</v>
      </c>
      <c r="J86" s="9">
        <f t="shared" si="6"/>
        <v>551.25</v>
      </c>
      <c r="K86" s="9">
        <f t="shared" si="7"/>
        <v>551.25</v>
      </c>
      <c r="L86" s="41"/>
      <c r="M86" s="37">
        <f>Table432[[#This Row],[Taxable Amount]]+Table432[[#This Row],[SGST]]+Table432[[#This Row],[CGST]]</f>
        <v>7227.5</v>
      </c>
      <c r="N86" s="71"/>
      <c r="O86" s="175">
        <v>0</v>
      </c>
      <c r="P86" s="57">
        <v>7227</v>
      </c>
      <c r="Q86" s="58">
        <v>45372</v>
      </c>
      <c r="R86" s="195" t="s">
        <v>185</v>
      </c>
      <c r="S86" s="138">
        <f>Table432[[#This Row],[Invoice Amount]]-Table432[[#This Row],[TDS]]-Table432[[#This Row],[RTN]]-Table432[[#This Row],[RECIVED AMOUNT]]</f>
        <v>0.5</v>
      </c>
      <c r="T86" s="55"/>
      <c r="U86" s="3"/>
      <c r="V86" s="41">
        <f>Table432[[#This Row],[BALANCE]]-Table432[[#This Row],[RECIVED AMOUNT2]]</f>
        <v>0.5</v>
      </c>
      <c r="W86" s="50"/>
      <c r="X86" s="50"/>
    </row>
    <row r="87" spans="1:121" ht="19.95" customHeight="1">
      <c r="A87" s="2">
        <v>45232</v>
      </c>
      <c r="B87" s="3" t="s">
        <v>200</v>
      </c>
      <c r="C87" s="3" t="s">
        <v>96</v>
      </c>
      <c r="D87" s="3" t="s">
        <v>97</v>
      </c>
      <c r="E87" s="3" t="s">
        <v>89</v>
      </c>
      <c r="F87" s="4" t="s">
        <v>26</v>
      </c>
      <c r="G87" s="22">
        <v>998531</v>
      </c>
      <c r="H87" s="23">
        <v>0.18</v>
      </c>
      <c r="I87" s="9">
        <v>8280</v>
      </c>
      <c r="J87" s="9">
        <f t="shared" si="6"/>
        <v>745.2</v>
      </c>
      <c r="K87" s="9">
        <f t="shared" si="7"/>
        <v>745.2</v>
      </c>
      <c r="L87" s="41"/>
      <c r="M87" s="37">
        <f>Table432[[#This Row],[Taxable Amount]]+Table432[[#This Row],[SGST]]+Table432[[#This Row],[CGST]]</f>
        <v>9770.4000000000015</v>
      </c>
      <c r="N87" s="71">
        <f>Table432[[#This Row],[Taxable Amount]]*1%</f>
        <v>82.8</v>
      </c>
      <c r="O87" s="157">
        <v>0</v>
      </c>
      <c r="P87" s="147">
        <v>9786</v>
      </c>
      <c r="Q87" s="72">
        <v>45185</v>
      </c>
      <c r="R87" s="195" t="s">
        <v>185</v>
      </c>
      <c r="S87" s="138">
        <f>Table432[[#This Row],[Invoice Amount]]-Table432[[#This Row],[TDS]]-Table432[[#This Row],[RTN]]-Table432[[#This Row],[RECIVED AMOUNT]]</f>
        <v>-98.399999999997817</v>
      </c>
      <c r="T87" s="55"/>
      <c r="U87" s="3"/>
      <c r="V87" s="41">
        <f>Table432[[#This Row],[BALANCE]]-Table432[[#This Row],[RECIVED AMOUNT2]]</f>
        <v>-98.399999999997817</v>
      </c>
      <c r="W87" s="50"/>
      <c r="X87" s="50"/>
    </row>
    <row r="88" spans="1:121" ht="19.95" customHeight="1">
      <c r="A88" s="2">
        <v>45232</v>
      </c>
      <c r="B88" s="3" t="s">
        <v>201</v>
      </c>
      <c r="C88" s="3" t="s">
        <v>177</v>
      </c>
      <c r="D88" s="3" t="s">
        <v>178</v>
      </c>
      <c r="E88" s="3" t="s">
        <v>44</v>
      </c>
      <c r="F88" s="4" t="s">
        <v>26</v>
      </c>
      <c r="G88" s="22">
        <v>998531</v>
      </c>
      <c r="H88" s="23">
        <v>0.18</v>
      </c>
      <c r="I88" s="9">
        <v>16400</v>
      </c>
      <c r="J88" s="9">
        <f t="shared" si="6"/>
        <v>1476</v>
      </c>
      <c r="K88" s="9">
        <f t="shared" si="7"/>
        <v>1476</v>
      </c>
      <c r="L88" s="41"/>
      <c r="M88" s="37">
        <f>Table432[[#This Row],[Taxable Amount]]+Table432[[#This Row],[SGST]]+Table432[[#This Row],[CGST]]</f>
        <v>19352</v>
      </c>
      <c r="N88" s="71">
        <f>Table432[[#This Row],[Taxable Amount]]*1%</f>
        <v>164</v>
      </c>
      <c r="O88" s="149">
        <v>0</v>
      </c>
      <c r="P88" s="148">
        <v>20044</v>
      </c>
      <c r="Q88" s="58">
        <v>45595</v>
      </c>
      <c r="R88" s="193"/>
      <c r="S88" s="138">
        <f>Table432[[#This Row],[Invoice Amount]]-Table432[[#This Row],[TDS]]-Table432[[#This Row],[RTN]]-Table432[[#This Row],[RECIVED AMOUNT]]</f>
        <v>-856</v>
      </c>
      <c r="T88" s="55"/>
      <c r="U88" s="3"/>
      <c r="V88" s="41">
        <f>Table432[[#This Row],[BALANCE]]-Table432[[#This Row],[RECIVED AMOUNT2]]</f>
        <v>-856</v>
      </c>
      <c r="W88" s="50"/>
      <c r="X88" s="50"/>
    </row>
    <row r="89" spans="1:121" ht="19.95" customHeight="1">
      <c r="A89" s="24">
        <v>45232</v>
      </c>
      <c r="B89" s="25" t="s">
        <v>202</v>
      </c>
      <c r="C89" s="25" t="s">
        <v>177</v>
      </c>
      <c r="D89" s="25" t="s">
        <v>54</v>
      </c>
      <c r="E89" s="25" t="s">
        <v>203</v>
      </c>
      <c r="F89" s="27"/>
      <c r="G89" s="28">
        <v>998531</v>
      </c>
      <c r="H89" s="23">
        <v>0.18</v>
      </c>
      <c r="I89" s="38">
        <v>16400</v>
      </c>
      <c r="J89" s="38">
        <f t="shared" si="6"/>
        <v>1476</v>
      </c>
      <c r="K89" s="38">
        <f t="shared" si="7"/>
        <v>1476</v>
      </c>
      <c r="L89" s="39"/>
      <c r="M89" s="40">
        <f>Table432[[#This Row],[Taxable Amount]]+Table432[[#This Row],[SGST]]+Table432[[#This Row],[CGST]]</f>
        <v>19352</v>
      </c>
      <c r="N89" s="140">
        <f>Table432[[#This Row],[Taxable Amount]]*1%</f>
        <v>164</v>
      </c>
      <c r="O89" s="174"/>
      <c r="P89" s="141"/>
      <c r="Q89" s="51">
        <v>45215</v>
      </c>
      <c r="R89" s="191"/>
      <c r="S89" s="138">
        <f>Table432[[#This Row],[Invoice Amount]]-Table432[[#This Row],[TDS]]-Table432[[#This Row],[RTN]]-Table432[[#This Row],[RECIVED AMOUNT]]</f>
        <v>19188</v>
      </c>
      <c r="T89" s="52"/>
      <c r="U89" s="25"/>
      <c r="V89" s="41">
        <f>Table432[[#This Row],[BALANCE]]-Table432[[#This Row],[RECIVED AMOUNT2]]</f>
        <v>19188</v>
      </c>
      <c r="W89" s="50"/>
      <c r="X89" s="50"/>
    </row>
    <row r="90" spans="1:121" ht="19.95" customHeight="1">
      <c r="A90" s="2">
        <v>45236</v>
      </c>
      <c r="B90" s="3" t="s">
        <v>204</v>
      </c>
      <c r="C90" s="3" t="s">
        <v>955</v>
      </c>
      <c r="D90" s="3" t="s">
        <v>205</v>
      </c>
      <c r="E90" s="3" t="s">
        <v>206</v>
      </c>
      <c r="F90" s="4" t="s">
        <v>37</v>
      </c>
      <c r="G90" s="22">
        <v>998531</v>
      </c>
      <c r="H90" s="23">
        <v>0.18</v>
      </c>
      <c r="I90" s="9">
        <v>11816</v>
      </c>
      <c r="J90" s="69">
        <f t="shared" si="6"/>
        <v>1063.44</v>
      </c>
      <c r="K90" s="69">
        <f t="shared" si="7"/>
        <v>1063.44</v>
      </c>
      <c r="L90" s="70"/>
      <c r="M90" s="37">
        <f>Table432[[#This Row],[Taxable Amount]]+Table432[[#This Row],[SGST]]+Table432[[#This Row],[CGST]]</f>
        <v>13942.880000000001</v>
      </c>
      <c r="N90" s="71">
        <v>0</v>
      </c>
      <c r="O90" s="157">
        <v>0</v>
      </c>
      <c r="P90" s="148">
        <v>11816</v>
      </c>
      <c r="Q90" s="58">
        <v>45282</v>
      </c>
      <c r="R90" s="195" t="s">
        <v>185</v>
      </c>
      <c r="S90" s="138">
        <f>Table432[[#This Row],[Invoice Amount]]-Table432[[#This Row],[TDS]]-Table432[[#This Row],[RTN]]-Table432[[#This Row],[RECIVED AMOUNT]]</f>
        <v>2126.880000000001</v>
      </c>
      <c r="T90" s="45"/>
      <c r="U90" s="58"/>
      <c r="V90" s="41">
        <f>Table432[[#This Row],[BALANCE]]-Table432[[#This Row],[RECIVED AMOUNT2]]</f>
        <v>2126.880000000001</v>
      </c>
      <c r="W90" s="50"/>
      <c r="X90" s="50"/>
    </row>
    <row r="91" spans="1:121" ht="19.95" customHeight="1">
      <c r="A91" s="2">
        <v>45243</v>
      </c>
      <c r="B91" s="3" t="s">
        <v>207</v>
      </c>
      <c r="C91" s="3" t="s">
        <v>208</v>
      </c>
      <c r="D91" s="3" t="s">
        <v>209</v>
      </c>
      <c r="E91" s="3" t="s">
        <v>210</v>
      </c>
      <c r="F91" s="4" t="s">
        <v>37</v>
      </c>
      <c r="G91" s="22">
        <v>998531</v>
      </c>
      <c r="H91" s="23">
        <v>0.18</v>
      </c>
      <c r="I91" s="9">
        <v>17892</v>
      </c>
      <c r="J91" s="9"/>
      <c r="K91" s="9"/>
      <c r="L91" s="41">
        <f>Table432[[#This Row],[Taxable Amount]]*18%</f>
        <v>3220.56</v>
      </c>
      <c r="M91" s="37">
        <f>Table432[[#This Row],[Taxable Amount]]+Table432[[#This Row],[IGST]]</f>
        <v>21112.560000000001</v>
      </c>
      <c r="N91" s="71">
        <f>Table432[[#This Row],[Taxable Amount]]*2%</f>
        <v>357.84000000000003</v>
      </c>
      <c r="O91" s="149">
        <v>0</v>
      </c>
      <c r="P91" s="57">
        <v>20755</v>
      </c>
      <c r="Q91" s="59">
        <v>45215</v>
      </c>
      <c r="R91" s="195" t="s">
        <v>185</v>
      </c>
      <c r="S91" s="138">
        <f>Table432[[#This Row],[Invoice Amount]]-Table432[[#This Row],[TDS]]-Table432[[#This Row],[RTN]]-Table432[[#This Row],[RECIVED AMOUNT]]</f>
        <v>-0.27999999999883585</v>
      </c>
      <c r="T91" s="55"/>
      <c r="U91" s="3"/>
      <c r="V91" s="41">
        <f>Table432[[#This Row],[BALANCE]]-Table432[[#This Row],[RECIVED AMOUNT2]]</f>
        <v>-0.27999999999883585</v>
      </c>
      <c r="W91" s="50"/>
      <c r="X91" s="50"/>
    </row>
    <row r="92" spans="1:121" s="14" customFormat="1" ht="19.95" customHeight="1">
      <c r="A92" s="2">
        <v>45260</v>
      </c>
      <c r="B92" s="3" t="s">
        <v>211</v>
      </c>
      <c r="C92" s="3" t="s">
        <v>42</v>
      </c>
      <c r="D92" s="3" t="s">
        <v>43</v>
      </c>
      <c r="E92" s="3" t="s">
        <v>44</v>
      </c>
      <c r="F92" s="4" t="s">
        <v>45</v>
      </c>
      <c r="G92" s="22">
        <v>998531</v>
      </c>
      <c r="H92" s="23">
        <v>0.18</v>
      </c>
      <c r="I92" s="9">
        <v>16900</v>
      </c>
      <c r="J92" s="9">
        <f t="shared" ref="J92:J123" si="8">I92*9/100</f>
        <v>1521</v>
      </c>
      <c r="K92" s="9">
        <f t="shared" ref="K92:K123" si="9">I92*9/100</f>
        <v>1521</v>
      </c>
      <c r="L92" s="9"/>
      <c r="M92" s="37">
        <f>Table432[[#This Row],[Taxable Amount]]+Table432[[#This Row],[SGST]]+Table432[[#This Row],[CGST]]</f>
        <v>19942</v>
      </c>
      <c r="N92" s="71">
        <f>Table432[[#This Row],[Taxable Amount]]*1%</f>
        <v>169</v>
      </c>
      <c r="O92" s="150">
        <v>423</v>
      </c>
      <c r="P92" s="145"/>
      <c r="Q92" s="65"/>
      <c r="R92" s="193" t="s">
        <v>148</v>
      </c>
      <c r="S92" s="138">
        <f>Table432[[#This Row],[Invoice Amount]]-Table432[[#This Row],[TDS]]-Table432[[#This Row],[RTN]]-Table432[[#This Row],[RECIVED AMOUNT]]</f>
        <v>19350</v>
      </c>
      <c r="T92" s="55"/>
      <c r="U92" s="3"/>
      <c r="V92" s="41">
        <f>Table432[[#This Row],[BALANCE]]-Table432[[#This Row],[RECIVED AMOUNT2]]</f>
        <v>19350</v>
      </c>
      <c r="W92" s="209"/>
      <c r="X92" s="209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</row>
    <row r="93" spans="1:121" s="14" customFormat="1" ht="19.95" customHeight="1">
      <c r="A93" s="2">
        <v>45260</v>
      </c>
      <c r="B93" s="3" t="s">
        <v>212</v>
      </c>
      <c r="C93" s="3" t="s">
        <v>42</v>
      </c>
      <c r="D93" s="3" t="s">
        <v>43</v>
      </c>
      <c r="E93" s="3" t="s">
        <v>163</v>
      </c>
      <c r="F93" s="4" t="s">
        <v>26</v>
      </c>
      <c r="G93" s="22">
        <v>998531</v>
      </c>
      <c r="H93" s="23">
        <v>0.18</v>
      </c>
      <c r="I93" s="9">
        <v>9500</v>
      </c>
      <c r="J93" s="9">
        <f t="shared" si="8"/>
        <v>855</v>
      </c>
      <c r="K93" s="9">
        <f t="shared" si="9"/>
        <v>855</v>
      </c>
      <c r="L93" s="9"/>
      <c r="M93" s="37">
        <f>Table432[[#This Row],[Taxable Amount]]+Table432[[#This Row],[SGST]]+Table432[[#This Row],[CGST]]</f>
        <v>11210</v>
      </c>
      <c r="N93" s="71">
        <f>Table432[[#This Row],[Taxable Amount]]*1%</f>
        <v>95</v>
      </c>
      <c r="O93" s="150">
        <v>238</v>
      </c>
      <c r="P93" s="146">
        <v>38027</v>
      </c>
      <c r="Q93" s="65">
        <v>45183</v>
      </c>
      <c r="R93" s="195" t="s">
        <v>185</v>
      </c>
      <c r="S93" s="138">
        <f>Table432[[#This Row],[Invoice Amount]]-Table432[[#This Row],[TDS]]-Table432[[#This Row],[RTN]]-Table432[[#This Row],[RECIVED AMOUNT]]</f>
        <v>-27150</v>
      </c>
      <c r="T93" s="55"/>
      <c r="U93" s="3"/>
      <c r="V93" s="41">
        <f>Table432[[#This Row],[BALANCE]]-Table432[[#This Row],[RECIVED AMOUNT2]]</f>
        <v>-27150</v>
      </c>
      <c r="W93" s="209"/>
      <c r="X93" s="209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</row>
    <row r="94" spans="1:121" s="14" customFormat="1" ht="19.95" customHeight="1">
      <c r="A94" s="2">
        <v>45260</v>
      </c>
      <c r="B94" s="3" t="s">
        <v>213</v>
      </c>
      <c r="C94" s="3" t="s">
        <v>42</v>
      </c>
      <c r="D94" s="3" t="s">
        <v>43</v>
      </c>
      <c r="E94" s="3" t="s">
        <v>101</v>
      </c>
      <c r="F94" s="4" t="s">
        <v>26</v>
      </c>
      <c r="G94" s="22">
        <v>998531</v>
      </c>
      <c r="H94" s="23">
        <v>0.18</v>
      </c>
      <c r="I94" s="9">
        <v>5250</v>
      </c>
      <c r="J94" s="9">
        <f t="shared" si="8"/>
        <v>472.5</v>
      </c>
      <c r="K94" s="9">
        <f t="shared" si="9"/>
        <v>472.5</v>
      </c>
      <c r="L94" s="9"/>
      <c r="M94" s="37">
        <f>Table432[[#This Row],[Taxable Amount]]+Table432[[#This Row],[SGST]]+Table432[[#This Row],[CGST]]</f>
        <v>6195</v>
      </c>
      <c r="N94" s="71">
        <f>Table432[[#This Row],[Taxable Amount]]*1%</f>
        <v>52.5</v>
      </c>
      <c r="O94" s="150">
        <v>0</v>
      </c>
      <c r="P94" s="57"/>
      <c r="Q94" s="59"/>
      <c r="R94" s="195" t="s">
        <v>185</v>
      </c>
      <c r="S94" s="138">
        <f>Table432[[#This Row],[Invoice Amount]]-Table432[[#This Row],[TDS]]-Table432[[#This Row],[RTN]]-Table432[[#This Row],[RECIVED AMOUNT]]</f>
        <v>6142.5</v>
      </c>
      <c r="T94" s="55"/>
      <c r="U94" s="3"/>
      <c r="V94" s="41">
        <f>Table432[[#This Row],[BALANCE]]-Table432[[#This Row],[RECIVED AMOUNT2]]</f>
        <v>6142.5</v>
      </c>
      <c r="W94" s="209"/>
      <c r="X94" s="209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</row>
    <row r="95" spans="1:121" s="15" customFormat="1" ht="19.95" customHeight="1">
      <c r="A95" s="2">
        <v>45264</v>
      </c>
      <c r="B95" s="3" t="s">
        <v>214</v>
      </c>
      <c r="C95" s="21" t="s">
        <v>116</v>
      </c>
      <c r="D95" s="3" t="s">
        <v>117</v>
      </c>
      <c r="E95" s="3" t="s">
        <v>59</v>
      </c>
      <c r="F95" s="4" t="s">
        <v>26</v>
      </c>
      <c r="G95" s="22">
        <v>998531</v>
      </c>
      <c r="H95" s="23">
        <v>0.18</v>
      </c>
      <c r="I95" s="9">
        <v>12300</v>
      </c>
      <c r="J95" s="9">
        <f t="shared" si="8"/>
        <v>1107</v>
      </c>
      <c r="K95" s="9">
        <f t="shared" si="9"/>
        <v>1107</v>
      </c>
      <c r="L95" s="9"/>
      <c r="M95" s="37">
        <f>Table432[[#This Row],[Taxable Amount]]+Table432[[#This Row],[SGST]]+Table432[[#This Row],[CGST]]</f>
        <v>14514</v>
      </c>
      <c r="N95" s="71">
        <f>Table432[[#This Row],[Taxable Amount]]*1%</f>
        <v>123</v>
      </c>
      <c r="O95" s="150">
        <v>0</v>
      </c>
      <c r="P95" s="57">
        <v>14391</v>
      </c>
      <c r="Q95" s="57" t="s">
        <v>198</v>
      </c>
      <c r="R95" s="195" t="s">
        <v>185</v>
      </c>
      <c r="S95" s="138">
        <f>Table432[[#This Row],[Invoice Amount]]-Table432[[#This Row],[TDS]]-Table432[[#This Row],[RTN]]-Table432[[#This Row],[RECIVED AMOUNT]]</f>
        <v>0</v>
      </c>
      <c r="T95" s="55"/>
      <c r="U95" s="3"/>
      <c r="V95" s="41">
        <f>Table432[[#This Row],[BALANCE]]-Table432[[#This Row],[RECIVED AMOUNT2]]</f>
        <v>0</v>
      </c>
      <c r="W95" s="208"/>
      <c r="X95" s="208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</row>
    <row r="96" spans="1:121" s="14" customFormat="1" ht="19.95" customHeight="1">
      <c r="A96" s="2">
        <v>45264</v>
      </c>
      <c r="B96" s="3" t="s">
        <v>215</v>
      </c>
      <c r="C96" s="3" t="s">
        <v>96</v>
      </c>
      <c r="D96" s="3" t="s">
        <v>97</v>
      </c>
      <c r="E96" s="3" t="s">
        <v>89</v>
      </c>
      <c r="F96" s="4" t="s">
        <v>26</v>
      </c>
      <c r="G96" s="22">
        <v>998531</v>
      </c>
      <c r="H96" s="23">
        <v>0.18</v>
      </c>
      <c r="I96" s="9">
        <v>8280</v>
      </c>
      <c r="J96" s="9">
        <f t="shared" si="8"/>
        <v>745.2</v>
      </c>
      <c r="K96" s="9">
        <f t="shared" si="9"/>
        <v>745.2</v>
      </c>
      <c r="L96" s="9"/>
      <c r="M96" s="37">
        <f>Table432[[#This Row],[Taxable Amount]]+Table432[[#This Row],[SGST]]+Table432[[#This Row],[CGST]]</f>
        <v>9770.4000000000015</v>
      </c>
      <c r="N96" s="71">
        <f>Table432[[#This Row],[Taxable Amount]]*1%</f>
        <v>82.8</v>
      </c>
      <c r="O96" s="150">
        <v>0</v>
      </c>
      <c r="P96" s="147">
        <v>9786</v>
      </c>
      <c r="Q96" s="72">
        <v>45225</v>
      </c>
      <c r="R96" s="195" t="s">
        <v>185</v>
      </c>
      <c r="S96" s="138">
        <f>Table432[[#This Row],[Invoice Amount]]-Table432[[#This Row],[TDS]]-Table432[[#This Row],[RTN]]-Table432[[#This Row],[RECIVED AMOUNT]]</f>
        <v>-98.399999999997817</v>
      </c>
      <c r="T96" s="55"/>
      <c r="U96" s="3"/>
      <c r="V96" s="41">
        <f>Table432[[#This Row],[BALANCE]]-Table432[[#This Row],[RECIVED AMOUNT2]]</f>
        <v>-98.399999999997817</v>
      </c>
      <c r="W96" s="209"/>
      <c r="X96" s="209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</row>
    <row r="97" spans="1:121" s="14" customFormat="1" ht="19.95" customHeight="1">
      <c r="A97" s="2">
        <v>45266</v>
      </c>
      <c r="B97" s="3" t="s">
        <v>216</v>
      </c>
      <c r="C97" s="3" t="s">
        <v>177</v>
      </c>
      <c r="D97" s="3" t="s">
        <v>178</v>
      </c>
      <c r="E97" s="3" t="s">
        <v>44</v>
      </c>
      <c r="F97" s="4" t="s">
        <v>37</v>
      </c>
      <c r="G97" s="22">
        <v>998531</v>
      </c>
      <c r="H97" s="23">
        <v>0.18</v>
      </c>
      <c r="I97" s="9">
        <v>7513</v>
      </c>
      <c r="J97" s="9">
        <f t="shared" si="8"/>
        <v>676.17</v>
      </c>
      <c r="K97" s="9">
        <f t="shared" si="9"/>
        <v>676.17</v>
      </c>
      <c r="L97" s="9"/>
      <c r="M97" s="37">
        <f>Table432[[#This Row],[Taxable Amount]]+Table432[[#This Row],[SGST]]+Table432[[#This Row],[CGST]]</f>
        <v>8865.34</v>
      </c>
      <c r="N97" s="71">
        <f>Table432[[#This Row],[Taxable Amount]]*1%</f>
        <v>75.13</v>
      </c>
      <c r="O97" s="176"/>
      <c r="P97" s="148"/>
      <c r="Q97" s="58"/>
      <c r="R97" s="193"/>
      <c r="S97" s="138">
        <f>Table432[[#This Row],[Invoice Amount]]-Table432[[#This Row],[TDS]]-Table432[[#This Row],[RTN]]-Table432[[#This Row],[RECIVED AMOUNT]]</f>
        <v>8790.2100000000009</v>
      </c>
      <c r="T97" s="55"/>
      <c r="U97" s="3"/>
      <c r="V97" s="41">
        <f>Table432[[#This Row],[BALANCE]]-Table432[[#This Row],[RECIVED AMOUNT2]]</f>
        <v>8790.2100000000009</v>
      </c>
      <c r="W97" s="209"/>
      <c r="X97" s="209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</row>
    <row r="98" spans="1:121" s="14" customFormat="1" ht="19.95" customHeight="1">
      <c r="A98" s="24">
        <v>45266</v>
      </c>
      <c r="B98" s="25" t="s">
        <v>216</v>
      </c>
      <c r="C98" s="25" t="s">
        <v>177</v>
      </c>
      <c r="D98" s="25" t="s">
        <v>54</v>
      </c>
      <c r="E98" s="25" t="s">
        <v>217</v>
      </c>
      <c r="F98" s="27"/>
      <c r="G98" s="28">
        <v>998531</v>
      </c>
      <c r="H98" s="23">
        <v>0.18</v>
      </c>
      <c r="I98" s="38">
        <v>7513</v>
      </c>
      <c r="J98" s="38">
        <f t="shared" si="8"/>
        <v>676.17</v>
      </c>
      <c r="K98" s="38">
        <f t="shared" si="9"/>
        <v>676.17</v>
      </c>
      <c r="L98" s="38"/>
      <c r="M98" s="40">
        <f>Table432[[#This Row],[Taxable Amount]]+Table432[[#This Row],[SGST]]+Table432[[#This Row],[CGST]]</f>
        <v>8865.34</v>
      </c>
      <c r="N98" s="140">
        <f>Table432[[#This Row],[Taxable Amount]]*1%</f>
        <v>75.13</v>
      </c>
      <c r="O98" s="177"/>
      <c r="P98" s="141"/>
      <c r="Q98" s="51">
        <v>45215</v>
      </c>
      <c r="R98" s="196"/>
      <c r="S98" s="138">
        <f>Table432[[#This Row],[Invoice Amount]]-Table432[[#This Row],[TDS]]-Table432[[#This Row],[RTN]]-Table432[[#This Row],[RECIVED AMOUNT]]</f>
        <v>8790.2100000000009</v>
      </c>
      <c r="T98" s="52"/>
      <c r="U98" s="25"/>
      <c r="V98" s="41">
        <f>Table432[[#This Row],[BALANCE]]-Table432[[#This Row],[RECIVED AMOUNT2]]</f>
        <v>8790.2100000000009</v>
      </c>
      <c r="W98" s="209"/>
      <c r="X98" s="209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</row>
    <row r="99" spans="1:121" s="10" customFormat="1" ht="19.95" customHeight="1">
      <c r="A99" s="92">
        <v>45272</v>
      </c>
      <c r="B99" s="7" t="s">
        <v>218</v>
      </c>
      <c r="C99" s="7" t="s">
        <v>157</v>
      </c>
      <c r="D99" s="7" t="s">
        <v>158</v>
      </c>
      <c r="E99" s="7" t="s">
        <v>159</v>
      </c>
      <c r="F99" s="5" t="s">
        <v>26</v>
      </c>
      <c r="G99" s="85">
        <v>998531</v>
      </c>
      <c r="H99" s="221">
        <v>0.18</v>
      </c>
      <c r="I99" s="69">
        <v>9240</v>
      </c>
      <c r="J99" s="69">
        <f t="shared" si="8"/>
        <v>831.6</v>
      </c>
      <c r="K99" s="69">
        <f t="shared" si="9"/>
        <v>831.6</v>
      </c>
      <c r="L99" s="70"/>
      <c r="M99" s="94">
        <f>Table432[[#This Row],[Taxable Amount]]+Table432[[#This Row],[SGST]]+Table432[[#This Row],[CGST]]</f>
        <v>10903.2</v>
      </c>
      <c r="N99" s="155">
        <f>Table432[[#This Row],[Taxable Amount]]*1%</f>
        <v>92.4</v>
      </c>
      <c r="O99" s="158">
        <v>0</v>
      </c>
      <c r="P99" s="102">
        <v>9240</v>
      </c>
      <c r="Q99" s="363">
        <v>45401</v>
      </c>
      <c r="R99" s="364" t="s">
        <v>219</v>
      </c>
      <c r="S99" s="93">
        <f>Table432[[#This Row],[Invoice Amount]]-Table432[[#This Row],[TDS]]-Table432[[#This Row],[RTN]]-Table432[[#This Row],[RECIVED AMOUNT]]</f>
        <v>1570.8000000000011</v>
      </c>
      <c r="T99" s="100"/>
      <c r="U99" s="7"/>
      <c r="V99" s="70">
        <f>Table432[[#This Row],[BALANCE]]-Table432[[#This Row],[RECIVED AMOUNT2]]</f>
        <v>1570.8000000000011</v>
      </c>
      <c r="W99" s="211"/>
      <c r="X99" s="211"/>
    </row>
    <row r="100" spans="1:121" ht="19.95" customHeight="1">
      <c r="A100" s="2">
        <v>45272</v>
      </c>
      <c r="B100" s="3" t="s">
        <v>220</v>
      </c>
      <c r="C100" s="3" t="s">
        <v>955</v>
      </c>
      <c r="D100" s="3" t="s">
        <v>205</v>
      </c>
      <c r="E100" s="3" t="s">
        <v>67</v>
      </c>
      <c r="F100" s="4" t="s">
        <v>26</v>
      </c>
      <c r="G100" s="22">
        <v>998531</v>
      </c>
      <c r="H100" s="23">
        <v>0.18</v>
      </c>
      <c r="I100" s="9">
        <v>8000</v>
      </c>
      <c r="J100" s="69">
        <f t="shared" si="8"/>
        <v>720</v>
      </c>
      <c r="K100" s="69">
        <f t="shared" si="9"/>
        <v>720</v>
      </c>
      <c r="L100" s="70"/>
      <c r="M100" s="37">
        <f>Table432[[#This Row],[Taxable Amount]]+Table432[[#This Row],[SGST]]+Table432[[#This Row],[CGST]]</f>
        <v>9440</v>
      </c>
      <c r="N100" s="71">
        <f>Table432[[#This Row],[Taxable Amount]]*1%</f>
        <v>80</v>
      </c>
      <c r="O100" s="157">
        <v>0</v>
      </c>
      <c r="P100" s="148"/>
      <c r="Q100" s="59">
        <v>45657</v>
      </c>
      <c r="R100" s="113"/>
      <c r="S100" s="138">
        <f>Table432[[#This Row],[Invoice Amount]]-Table432[[#This Row],[TDS]]-Table432[[#This Row],[RTN]]-Table432[[#This Row],[RECIVED AMOUNT]]</f>
        <v>9360</v>
      </c>
      <c r="T100" s="55"/>
      <c r="U100" s="3"/>
      <c r="V100" s="41">
        <f>Table432[[#This Row],[BALANCE]]-Table432[[#This Row],[RECIVED AMOUNT2]]</f>
        <v>9360</v>
      </c>
      <c r="W100" s="50"/>
      <c r="X100" s="50"/>
    </row>
    <row r="101" spans="1:121" ht="19.95" customHeight="1">
      <c r="A101" s="2">
        <v>45276</v>
      </c>
      <c r="B101" s="3" t="s">
        <v>221</v>
      </c>
      <c r="C101" s="3" t="s">
        <v>34</v>
      </c>
      <c r="D101" s="3" t="s">
        <v>110</v>
      </c>
      <c r="E101" s="3" t="s">
        <v>36</v>
      </c>
      <c r="F101" s="4" t="s">
        <v>37</v>
      </c>
      <c r="G101" s="22">
        <v>998531</v>
      </c>
      <c r="H101" s="23">
        <v>0.18</v>
      </c>
      <c r="I101" s="9">
        <v>19620</v>
      </c>
      <c r="J101" s="9">
        <f t="shared" si="8"/>
        <v>1765.8</v>
      </c>
      <c r="K101" s="9">
        <f t="shared" si="9"/>
        <v>1765.8</v>
      </c>
      <c r="L101" s="41"/>
      <c r="M101" s="37">
        <f>Table432[[#This Row],[Taxable Amount]]+Table432[[#This Row],[SGST]]+Table432[[#This Row],[CGST]]</f>
        <v>23151.599999999999</v>
      </c>
      <c r="N101" s="71"/>
      <c r="O101" s="149">
        <v>0</v>
      </c>
      <c r="P101" s="57">
        <v>23151</v>
      </c>
      <c r="Q101" s="58">
        <v>45297</v>
      </c>
      <c r="R101" s="190" t="s">
        <v>219</v>
      </c>
      <c r="S101" s="138">
        <f>Table432[[#This Row],[Invoice Amount]]-Table432[[#This Row],[TDS]]-Table432[[#This Row],[RTN]]-Table432[[#This Row],[RECIVED AMOUNT]]</f>
        <v>0.59999999999854481</v>
      </c>
      <c r="T101" s="55"/>
      <c r="U101" s="3"/>
      <c r="V101" s="41">
        <f>Table432[[#This Row],[BALANCE]]-Table432[[#This Row],[RECIVED AMOUNT2]]</f>
        <v>0.59999999999854481</v>
      </c>
      <c r="W101" s="50"/>
      <c r="X101" s="50"/>
    </row>
    <row r="102" spans="1:121" ht="19.95" customHeight="1">
      <c r="A102" s="2">
        <v>45290</v>
      </c>
      <c r="B102" s="3" t="s">
        <v>222</v>
      </c>
      <c r="C102" s="3" t="s">
        <v>42</v>
      </c>
      <c r="D102" s="3" t="s">
        <v>43</v>
      </c>
      <c r="E102" s="3" t="s">
        <v>101</v>
      </c>
      <c r="F102" s="4" t="s">
        <v>26</v>
      </c>
      <c r="G102" s="22">
        <v>998531</v>
      </c>
      <c r="H102" s="23">
        <v>0.18</v>
      </c>
      <c r="I102" s="9">
        <v>2250</v>
      </c>
      <c r="J102" s="9">
        <f t="shared" si="8"/>
        <v>202.5</v>
      </c>
      <c r="K102" s="9">
        <f t="shared" si="9"/>
        <v>202.5</v>
      </c>
      <c r="L102" s="41"/>
      <c r="M102" s="37">
        <f>Table432[[#This Row],[Taxable Amount]]+Table432[[#This Row],[SGST]]+Table432[[#This Row],[CGST]]</f>
        <v>2655</v>
      </c>
      <c r="N102" s="71">
        <f>Table432[[#This Row],[Taxable Amount]]*1%</f>
        <v>22.5</v>
      </c>
      <c r="O102" s="157">
        <v>0</v>
      </c>
      <c r="P102" s="57"/>
      <c r="Q102" s="59"/>
      <c r="R102" s="195" t="s">
        <v>185</v>
      </c>
      <c r="S102" s="138">
        <f>Table432[[#This Row],[Invoice Amount]]-Table432[[#This Row],[TDS]]-Table432[[#This Row],[RTN]]-Table432[[#This Row],[RECIVED AMOUNT]]</f>
        <v>2632.5</v>
      </c>
      <c r="T102" s="55"/>
      <c r="U102" s="3"/>
      <c r="V102" s="41">
        <f>Table432[[#This Row],[BALANCE]]-Table432[[#This Row],[RECIVED AMOUNT2]]</f>
        <v>2632.5</v>
      </c>
      <c r="W102" s="50"/>
      <c r="X102" s="50"/>
    </row>
    <row r="103" spans="1:121" ht="19.95" customHeight="1">
      <c r="A103" s="2">
        <v>45290</v>
      </c>
      <c r="B103" s="3" t="s">
        <v>223</v>
      </c>
      <c r="C103" s="21" t="s">
        <v>116</v>
      </c>
      <c r="D103" s="3" t="s">
        <v>117</v>
      </c>
      <c r="E103" s="3" t="s">
        <v>59</v>
      </c>
      <c r="F103" s="4" t="s">
        <v>26</v>
      </c>
      <c r="G103" s="22">
        <v>998531</v>
      </c>
      <c r="H103" s="23">
        <v>0.18</v>
      </c>
      <c r="I103" s="9">
        <v>17300</v>
      </c>
      <c r="J103" s="9">
        <f t="shared" si="8"/>
        <v>1557</v>
      </c>
      <c r="K103" s="9">
        <f t="shared" si="9"/>
        <v>1557</v>
      </c>
      <c r="L103" s="41"/>
      <c r="M103" s="37">
        <f>Table432[[#This Row],[Taxable Amount]]+Table432[[#This Row],[SGST]]+Table432[[#This Row],[CGST]]</f>
        <v>20414</v>
      </c>
      <c r="N103" s="71">
        <f>Table432[[#This Row],[Taxable Amount]]*1%</f>
        <v>173</v>
      </c>
      <c r="O103" s="157">
        <v>0</v>
      </c>
      <c r="P103" s="148">
        <v>20241</v>
      </c>
      <c r="Q103" s="57" t="s">
        <v>198</v>
      </c>
      <c r="R103" s="195" t="s">
        <v>185</v>
      </c>
      <c r="S103" s="138">
        <f>Table432[[#This Row],[Invoice Amount]]-Table432[[#This Row],[TDS]]-Table432[[#This Row],[RTN]]-Table432[[#This Row],[RECIVED AMOUNT]]</f>
        <v>0</v>
      </c>
      <c r="T103" s="55"/>
      <c r="U103" s="3"/>
      <c r="V103" s="41">
        <f>Table432[[#This Row],[BALANCE]]-Table432[[#This Row],[RECIVED AMOUNT2]]</f>
        <v>0</v>
      </c>
      <c r="W103" s="50"/>
      <c r="X103" s="50"/>
    </row>
    <row r="104" spans="1:121" ht="19.95" customHeight="1">
      <c r="A104" s="2">
        <v>45290</v>
      </c>
      <c r="B104" s="3" t="s">
        <v>224</v>
      </c>
      <c r="C104" s="3" t="s">
        <v>96</v>
      </c>
      <c r="D104" s="3" t="s">
        <v>97</v>
      </c>
      <c r="E104" s="3" t="s">
        <v>89</v>
      </c>
      <c r="F104" s="4" t="s">
        <v>26</v>
      </c>
      <c r="G104" s="22">
        <v>998531</v>
      </c>
      <c r="H104" s="23">
        <v>0.18</v>
      </c>
      <c r="I104" s="9">
        <v>8280</v>
      </c>
      <c r="J104" s="9">
        <f t="shared" si="8"/>
        <v>745.2</v>
      </c>
      <c r="K104" s="9">
        <f t="shared" si="9"/>
        <v>745.2</v>
      </c>
      <c r="L104" s="41"/>
      <c r="M104" s="37">
        <f>Table432[[#This Row],[Taxable Amount]]+Table432[[#This Row],[SGST]]+Table432[[#This Row],[CGST]]</f>
        <v>9770.4000000000015</v>
      </c>
      <c r="N104" s="71">
        <f>Table432[[#This Row],[Taxable Amount]]*1%</f>
        <v>82.8</v>
      </c>
      <c r="O104" s="157">
        <v>0</v>
      </c>
      <c r="P104" s="147">
        <v>9786</v>
      </c>
      <c r="Q104" s="72">
        <v>45260</v>
      </c>
      <c r="R104" s="197" t="s">
        <v>185</v>
      </c>
      <c r="S104" s="138">
        <f>Table432[[#This Row],[Invoice Amount]]-Table432[[#This Row],[TDS]]-Table432[[#This Row],[RTN]]-Table432[[#This Row],[RECIVED AMOUNT]]</f>
        <v>-98.399999999997817</v>
      </c>
      <c r="T104" s="55"/>
      <c r="U104" s="3"/>
      <c r="V104" s="41">
        <f>Table432[[#This Row],[BALANCE]]-Table432[[#This Row],[RECIVED AMOUNT2]]</f>
        <v>-98.399999999997817</v>
      </c>
      <c r="W104" s="50"/>
      <c r="X104" s="50"/>
    </row>
    <row r="105" spans="1:121" ht="19.95" customHeight="1">
      <c r="A105" s="2">
        <v>45291</v>
      </c>
      <c r="B105" s="3" t="s">
        <v>225</v>
      </c>
      <c r="C105" s="3" t="s">
        <v>42</v>
      </c>
      <c r="D105" s="3" t="s">
        <v>43</v>
      </c>
      <c r="E105" s="3" t="s">
        <v>44</v>
      </c>
      <c r="F105" s="4" t="s">
        <v>45</v>
      </c>
      <c r="G105" s="22">
        <v>998531</v>
      </c>
      <c r="H105" s="23">
        <v>0.18</v>
      </c>
      <c r="I105" s="9">
        <v>18400</v>
      </c>
      <c r="J105" s="9">
        <f t="shared" si="8"/>
        <v>1656</v>
      </c>
      <c r="K105" s="9">
        <f t="shared" si="9"/>
        <v>1656</v>
      </c>
      <c r="L105" s="41"/>
      <c r="M105" s="37">
        <f>Table432[[#This Row],[Taxable Amount]]+Table432[[#This Row],[SGST]]+Table432[[#This Row],[CGST]]</f>
        <v>21712</v>
      </c>
      <c r="N105" s="71">
        <f>Table432[[#This Row],[Taxable Amount]]*1%</f>
        <v>184</v>
      </c>
      <c r="O105" s="157">
        <v>460</v>
      </c>
      <c r="P105" s="145"/>
      <c r="Q105" s="65"/>
      <c r="R105" s="193" t="s">
        <v>148</v>
      </c>
      <c r="S105" s="138">
        <f>Table432[[#This Row],[Invoice Amount]]-Table432[[#This Row],[TDS]]-Table432[[#This Row],[RTN]]-Table432[[#This Row],[RECIVED AMOUNT]]</f>
        <v>21068</v>
      </c>
      <c r="T105" s="55"/>
      <c r="U105" s="3"/>
      <c r="V105" s="41">
        <f>Table432[[#This Row],[BALANCE]]-Table432[[#This Row],[RECIVED AMOUNT2]]</f>
        <v>21068</v>
      </c>
      <c r="W105" s="50"/>
      <c r="X105" s="50"/>
    </row>
    <row r="106" spans="1:121" ht="19.95" customHeight="1">
      <c r="A106" s="2">
        <v>45291</v>
      </c>
      <c r="B106" s="3" t="s">
        <v>226</v>
      </c>
      <c r="C106" s="3" t="s">
        <v>42</v>
      </c>
      <c r="D106" s="3" t="s">
        <v>43</v>
      </c>
      <c r="E106" s="3" t="s">
        <v>163</v>
      </c>
      <c r="F106" s="4" t="s">
        <v>26</v>
      </c>
      <c r="G106" s="22">
        <v>998531</v>
      </c>
      <c r="H106" s="23">
        <v>0.18</v>
      </c>
      <c r="I106" s="9">
        <v>9500</v>
      </c>
      <c r="J106" s="9">
        <f t="shared" si="8"/>
        <v>855</v>
      </c>
      <c r="K106" s="9">
        <f t="shared" si="9"/>
        <v>855</v>
      </c>
      <c r="L106" s="41"/>
      <c r="M106" s="37">
        <f>Table432[[#This Row],[Taxable Amount]]+Table432[[#This Row],[SGST]]+Table432[[#This Row],[CGST]]</f>
        <v>11210</v>
      </c>
      <c r="N106" s="71">
        <f>Table432[[#This Row],[Taxable Amount]]*1%</f>
        <v>95</v>
      </c>
      <c r="O106" s="157">
        <v>238</v>
      </c>
      <c r="P106" s="148">
        <v>10877</v>
      </c>
      <c r="Q106" s="65">
        <v>45217</v>
      </c>
      <c r="R106" s="193" t="s">
        <v>148</v>
      </c>
      <c r="S106" s="138">
        <f>Table432[[#This Row],[Invoice Amount]]-Table432[[#This Row],[TDS]]-Table432[[#This Row],[RTN]]-Table432[[#This Row],[RECIVED AMOUNT]]</f>
        <v>0</v>
      </c>
      <c r="T106" s="55"/>
      <c r="U106" s="3"/>
      <c r="V106" s="41">
        <f>Table432[[#This Row],[BALANCE]]-Table432[[#This Row],[RECIVED AMOUNT2]]</f>
        <v>0</v>
      </c>
      <c r="W106" s="50"/>
      <c r="X106" s="50"/>
    </row>
    <row r="107" spans="1:121" s="10" customFormat="1" ht="19.95" customHeight="1">
      <c r="A107" s="92">
        <v>45296</v>
      </c>
      <c r="B107" s="7" t="s">
        <v>227</v>
      </c>
      <c r="C107" s="7" t="s">
        <v>157</v>
      </c>
      <c r="D107" s="7" t="s">
        <v>158</v>
      </c>
      <c r="E107" s="7" t="s">
        <v>59</v>
      </c>
      <c r="F107" s="5" t="s">
        <v>26</v>
      </c>
      <c r="G107" s="85">
        <v>998531</v>
      </c>
      <c r="H107" s="221">
        <v>0.18</v>
      </c>
      <c r="I107" s="69">
        <v>14280</v>
      </c>
      <c r="J107" s="69">
        <f t="shared" si="8"/>
        <v>1285.2</v>
      </c>
      <c r="K107" s="69">
        <f t="shared" si="9"/>
        <v>1285.2</v>
      </c>
      <c r="L107" s="70"/>
      <c r="M107" s="94">
        <f>Table432[[#This Row],[Taxable Amount]]+Table432[[#This Row],[SGST]]+Table432[[#This Row],[CGST]]</f>
        <v>16850.400000000001</v>
      </c>
      <c r="N107" s="155">
        <f>Table432[[#This Row],[Taxable Amount]]*1%</f>
        <v>142.80000000000001</v>
      </c>
      <c r="O107" s="158">
        <v>0</v>
      </c>
      <c r="P107" s="102">
        <v>14137</v>
      </c>
      <c r="Q107" s="363">
        <v>45401</v>
      </c>
      <c r="R107" s="364" t="s">
        <v>219</v>
      </c>
      <c r="S107" s="93">
        <f>Table432[[#This Row],[Invoice Amount]]-Table432[[#This Row],[TDS]]-Table432[[#This Row],[RTN]]-Table432[[#This Row],[RECIVED AMOUNT]]</f>
        <v>2570.6000000000022</v>
      </c>
      <c r="T107" s="99"/>
      <c r="U107" s="7"/>
      <c r="V107" s="70">
        <f>Table432[[#This Row],[BALANCE]]-Table432[[#This Row],[RECIVED AMOUNT2]]</f>
        <v>2570.6000000000022</v>
      </c>
      <c r="W107" s="211"/>
      <c r="X107" s="211"/>
    </row>
    <row r="108" spans="1:121" ht="19.95" customHeight="1">
      <c r="A108" s="2">
        <v>45296</v>
      </c>
      <c r="B108" s="3" t="s">
        <v>228</v>
      </c>
      <c r="C108" s="3" t="s">
        <v>963</v>
      </c>
      <c r="D108" s="7" t="s">
        <v>143</v>
      </c>
      <c r="E108" s="3"/>
      <c r="F108" s="4" t="s">
        <v>37</v>
      </c>
      <c r="G108" s="22">
        <v>998531</v>
      </c>
      <c r="H108" s="23">
        <v>0.18</v>
      </c>
      <c r="I108" s="9">
        <v>89162</v>
      </c>
      <c r="J108" s="9">
        <f t="shared" si="8"/>
        <v>8024.58</v>
      </c>
      <c r="K108" s="9">
        <f t="shared" si="9"/>
        <v>8024.58</v>
      </c>
      <c r="L108" s="41"/>
      <c r="M108" s="37">
        <f>Table432[[#This Row],[Taxable Amount]]+Table432[[#This Row],[SGST]]+Table432[[#This Row],[CGST]]</f>
        <v>105211.16</v>
      </c>
      <c r="N108" s="71">
        <f>Table432[[#This Row],[Taxable Amount]]*1%</f>
        <v>891.62</v>
      </c>
      <c r="O108" s="149">
        <v>2229</v>
      </c>
      <c r="P108" s="148">
        <v>49500</v>
      </c>
      <c r="Q108" s="58">
        <v>45350</v>
      </c>
      <c r="R108" s="190" t="s">
        <v>219</v>
      </c>
      <c r="S108" s="138">
        <f>Table432[[#This Row],[Invoice Amount]]-Table432[[#This Row],[TDS]]-Table432[[#This Row],[RTN]]-Table432[[#This Row],[RECIVED AMOUNT]]</f>
        <v>52590.540000000008</v>
      </c>
      <c r="T108" s="45">
        <v>46795</v>
      </c>
      <c r="U108" s="58">
        <v>45430</v>
      </c>
      <c r="V108" s="41">
        <f>Table432[[#This Row],[BALANCE]]-Table432[[#This Row],[RECIVED AMOUNT2]]</f>
        <v>5795.5400000000081</v>
      </c>
      <c r="W108" s="50"/>
      <c r="X108" s="50"/>
    </row>
    <row r="109" spans="1:121" ht="19.95" customHeight="1">
      <c r="A109" s="68">
        <v>45300</v>
      </c>
      <c r="B109" s="3" t="s">
        <v>229</v>
      </c>
      <c r="C109" s="3" t="s">
        <v>230</v>
      </c>
      <c r="D109" s="3" t="s">
        <v>231</v>
      </c>
      <c r="E109" s="3" t="s">
        <v>232</v>
      </c>
      <c r="F109" s="4" t="s">
        <v>37</v>
      </c>
      <c r="G109" s="22">
        <v>998531</v>
      </c>
      <c r="H109" s="23">
        <v>0.18</v>
      </c>
      <c r="I109" s="9">
        <v>6615</v>
      </c>
      <c r="J109" s="9">
        <f t="shared" si="8"/>
        <v>595.35</v>
      </c>
      <c r="K109" s="9">
        <f t="shared" si="9"/>
        <v>595.35</v>
      </c>
      <c r="L109" s="41"/>
      <c r="M109" s="37">
        <f>Table432[[#This Row],[Taxable Amount]]+Table432[[#This Row],[SGST]]+Table432[[#This Row],[CGST]]</f>
        <v>7805.7000000000007</v>
      </c>
      <c r="N109" s="71"/>
      <c r="O109" s="149">
        <v>0</v>
      </c>
      <c r="P109" s="148">
        <v>8500</v>
      </c>
      <c r="Q109" s="59">
        <v>45215</v>
      </c>
      <c r="R109" s="190" t="s">
        <v>219</v>
      </c>
      <c r="S109" s="138">
        <f>Table432[[#This Row],[Invoice Amount]]-Table432[[#This Row],[TDS]]-Table432[[#This Row],[RTN]]-Table432[[#This Row],[RECIVED AMOUNT]]</f>
        <v>-694.29999999999927</v>
      </c>
      <c r="T109" s="55"/>
      <c r="U109" s="3"/>
      <c r="V109" s="41">
        <f>Table432[[#This Row],[BALANCE]]-Table432[[#This Row],[RECIVED AMOUNT2]]</f>
        <v>-694.29999999999927</v>
      </c>
      <c r="W109" s="50"/>
      <c r="X109" s="50"/>
    </row>
    <row r="110" spans="1:121" ht="19.95" customHeight="1">
      <c r="A110" s="68">
        <v>45306</v>
      </c>
      <c r="B110" s="3" t="s">
        <v>233</v>
      </c>
      <c r="C110" s="3" t="s">
        <v>234</v>
      </c>
      <c r="D110" s="3" t="s">
        <v>235</v>
      </c>
      <c r="E110" s="3" t="s">
        <v>236</v>
      </c>
      <c r="F110" s="4" t="s">
        <v>26</v>
      </c>
      <c r="G110" s="22">
        <v>998531</v>
      </c>
      <c r="H110" s="23">
        <v>0.18</v>
      </c>
      <c r="I110" s="9">
        <v>12000</v>
      </c>
      <c r="J110" s="9">
        <f t="shared" si="8"/>
        <v>1080</v>
      </c>
      <c r="K110" s="9">
        <f t="shared" si="9"/>
        <v>1080</v>
      </c>
      <c r="L110" s="41"/>
      <c r="M110" s="37">
        <f>Table432[[#This Row],[Taxable Amount]]+Table432[[#This Row],[SGST]]+Table432[[#This Row],[CGST]]</f>
        <v>14160</v>
      </c>
      <c r="N110" s="71">
        <f>Table432[[#This Row],[Taxable Amount]]*1%</f>
        <v>120</v>
      </c>
      <c r="O110" s="149">
        <v>0</v>
      </c>
      <c r="P110" s="148">
        <v>14160.7</v>
      </c>
      <c r="Q110" s="59">
        <v>45215</v>
      </c>
      <c r="R110" s="190" t="s">
        <v>219</v>
      </c>
      <c r="S110" s="138">
        <f>Table432[[#This Row],[Invoice Amount]]-Table432[[#This Row],[TDS]]-Table432[[#This Row],[RTN]]-Table432[[#This Row],[RECIVED AMOUNT]]</f>
        <v>-120.70000000000073</v>
      </c>
      <c r="T110" s="55"/>
      <c r="U110" s="3"/>
      <c r="V110" s="41">
        <f>Table432[[#This Row],[BALANCE]]-Table432[[#This Row],[RECIVED AMOUNT2]]</f>
        <v>-120.70000000000073</v>
      </c>
      <c r="W110" s="50"/>
      <c r="X110" s="50"/>
    </row>
    <row r="111" spans="1:121" ht="19.95" customHeight="1">
      <c r="A111" s="68">
        <v>45306</v>
      </c>
      <c r="B111" s="3" t="s">
        <v>237</v>
      </c>
      <c r="C111" s="3" t="s">
        <v>234</v>
      </c>
      <c r="D111" s="3" t="s">
        <v>235</v>
      </c>
      <c r="E111" s="3" t="s">
        <v>236</v>
      </c>
      <c r="F111" s="4" t="s">
        <v>26</v>
      </c>
      <c r="G111" s="22">
        <v>998531</v>
      </c>
      <c r="H111" s="23">
        <v>0.18</v>
      </c>
      <c r="I111" s="9">
        <v>12600</v>
      </c>
      <c r="J111" s="9">
        <f t="shared" si="8"/>
        <v>1134</v>
      </c>
      <c r="K111" s="9">
        <f t="shared" si="9"/>
        <v>1134</v>
      </c>
      <c r="L111" s="41"/>
      <c r="M111" s="37">
        <f>Table432[[#This Row],[Taxable Amount]]+Table432[[#This Row],[SGST]]+Table432[[#This Row],[CGST]]</f>
        <v>14868</v>
      </c>
      <c r="N111" s="71">
        <f>Table432[[#This Row],[Taxable Amount]]*1%</f>
        <v>126</v>
      </c>
      <c r="O111" s="149">
        <v>0</v>
      </c>
      <c r="P111" s="148">
        <v>14742</v>
      </c>
      <c r="Q111" s="59">
        <v>45215</v>
      </c>
      <c r="R111" s="193" t="s">
        <v>238</v>
      </c>
      <c r="S111" s="138">
        <f>Table432[[#This Row],[Invoice Amount]]-Table432[[#This Row],[TDS]]-Table432[[#This Row],[RTN]]-Table432[[#This Row],[RECIVED AMOUNT]]</f>
        <v>0</v>
      </c>
      <c r="T111" s="55"/>
      <c r="U111" s="3"/>
      <c r="V111" s="41">
        <f>Table432[[#This Row],[BALANCE]]-Table432[[#This Row],[RECIVED AMOUNT2]]</f>
        <v>0</v>
      </c>
      <c r="W111" s="50"/>
      <c r="X111" s="50"/>
    </row>
    <row r="112" spans="1:121" ht="19.95" customHeight="1">
      <c r="A112" s="68">
        <v>45308</v>
      </c>
      <c r="B112" s="3" t="s">
        <v>239</v>
      </c>
      <c r="C112" s="3" t="s">
        <v>234</v>
      </c>
      <c r="D112" s="3" t="s">
        <v>235</v>
      </c>
      <c r="E112" s="3" t="s">
        <v>236</v>
      </c>
      <c r="F112" s="4" t="s">
        <v>26</v>
      </c>
      <c r="G112" s="22">
        <v>998531</v>
      </c>
      <c r="H112" s="23">
        <v>0.18</v>
      </c>
      <c r="I112" s="9">
        <v>12600</v>
      </c>
      <c r="J112" s="9">
        <f t="shared" si="8"/>
        <v>1134</v>
      </c>
      <c r="K112" s="9">
        <f t="shared" si="9"/>
        <v>1134</v>
      </c>
      <c r="L112" s="41"/>
      <c r="M112" s="37">
        <f>Table432[[#This Row],[Taxable Amount]]+Table432[[#This Row],[SGST]]+Table432[[#This Row],[CGST]]</f>
        <v>14868</v>
      </c>
      <c r="N112" s="71">
        <f>Table432[[#This Row],[Taxable Amount]]*1%</f>
        <v>126</v>
      </c>
      <c r="O112" s="149">
        <v>0</v>
      </c>
      <c r="P112" s="148">
        <v>14742</v>
      </c>
      <c r="Q112" s="59">
        <v>45215</v>
      </c>
      <c r="R112" s="193" t="s">
        <v>238</v>
      </c>
      <c r="S112" s="138">
        <f>Table432[[#This Row],[Invoice Amount]]-Table432[[#This Row],[TDS]]-Table432[[#This Row],[RTN]]-Table432[[#This Row],[RECIVED AMOUNT]]</f>
        <v>0</v>
      </c>
      <c r="T112" s="55"/>
      <c r="U112" s="3"/>
      <c r="V112" s="41">
        <f>Table432[[#This Row],[BALANCE]]-Table432[[#This Row],[RECIVED AMOUNT2]]</f>
        <v>0</v>
      </c>
      <c r="W112" s="50"/>
      <c r="X112" s="50"/>
    </row>
    <row r="113" spans="1:24" ht="19.95" customHeight="1">
      <c r="A113" s="30">
        <v>45309</v>
      </c>
      <c r="B113" s="31" t="s">
        <v>240</v>
      </c>
      <c r="C113" s="31" t="s">
        <v>241</v>
      </c>
      <c r="D113" s="31" t="s">
        <v>242</v>
      </c>
      <c r="E113" s="31" t="s">
        <v>85</v>
      </c>
      <c r="F113" s="33" t="s">
        <v>26</v>
      </c>
      <c r="G113" s="34">
        <v>998531</v>
      </c>
      <c r="H113" s="23">
        <v>0.18</v>
      </c>
      <c r="I113" s="42">
        <v>3800</v>
      </c>
      <c r="J113" s="42">
        <f t="shared" si="8"/>
        <v>342</v>
      </c>
      <c r="K113" s="42">
        <f t="shared" si="9"/>
        <v>342</v>
      </c>
      <c r="L113" s="43"/>
      <c r="M113" s="44">
        <f>Table432[[#This Row],[Taxable Amount]]+Table432[[#This Row],[SGST]]+Table432[[#This Row],[CGST]]</f>
        <v>4484</v>
      </c>
      <c r="N113" s="142"/>
      <c r="O113" s="152">
        <v>0</v>
      </c>
      <c r="P113" s="154"/>
      <c r="Q113" s="73">
        <v>45215</v>
      </c>
      <c r="R113" s="198" t="s">
        <v>243</v>
      </c>
      <c r="S113" s="138">
        <f>Table432[[#This Row],[Invoice Amount]]-Table432[[#This Row],[TDS]]-Table432[[#This Row],[RTN]]-Table432[[#This Row],[RECIVED AMOUNT]]</f>
        <v>4484</v>
      </c>
      <c r="T113" s="63"/>
      <c r="U113" s="31"/>
      <c r="V113" s="41">
        <f>Table432[[#This Row],[BALANCE]]-Table432[[#This Row],[RECIVED AMOUNT2]]</f>
        <v>4484</v>
      </c>
      <c r="W113" s="50"/>
      <c r="X113" s="50"/>
    </row>
    <row r="114" spans="1:24" ht="19.95" customHeight="1">
      <c r="A114" s="2">
        <v>45310</v>
      </c>
      <c r="B114" s="3" t="s">
        <v>244</v>
      </c>
      <c r="C114" s="3" t="s">
        <v>234</v>
      </c>
      <c r="D114" s="3" t="s">
        <v>235</v>
      </c>
      <c r="E114" s="3" t="s">
        <v>236</v>
      </c>
      <c r="F114" s="4" t="s">
        <v>26</v>
      </c>
      <c r="G114" s="22">
        <v>998531</v>
      </c>
      <c r="H114" s="23">
        <v>0.18</v>
      </c>
      <c r="I114" s="9">
        <v>12600</v>
      </c>
      <c r="J114" s="9">
        <f t="shared" si="8"/>
        <v>1134</v>
      </c>
      <c r="K114" s="9">
        <f t="shared" si="9"/>
        <v>1134</v>
      </c>
      <c r="L114" s="41"/>
      <c r="M114" s="37">
        <f>Table432[[#This Row],[Taxable Amount]]+Table432[[#This Row],[SGST]]+Table432[[#This Row],[CGST]]</f>
        <v>14868</v>
      </c>
      <c r="N114" s="71">
        <f>Table432[[#This Row],[Taxable Amount]]*1%</f>
        <v>126</v>
      </c>
      <c r="O114" s="149">
        <v>0</v>
      </c>
      <c r="P114" s="148">
        <v>14742</v>
      </c>
      <c r="Q114" s="59">
        <v>45215</v>
      </c>
      <c r="R114" s="193" t="s">
        <v>238</v>
      </c>
      <c r="S114" s="138">
        <f>Table432[[#This Row],[Invoice Amount]]-Table432[[#This Row],[TDS]]-Table432[[#This Row],[RTN]]-Table432[[#This Row],[RECIVED AMOUNT]]</f>
        <v>0</v>
      </c>
      <c r="T114" s="55"/>
      <c r="U114" s="3"/>
      <c r="V114" s="41">
        <f>Table432[[#This Row],[BALANCE]]-Table432[[#This Row],[RECIVED AMOUNT2]]</f>
        <v>0</v>
      </c>
      <c r="W114" s="50"/>
      <c r="X114" s="50"/>
    </row>
    <row r="115" spans="1:24" ht="19.95" customHeight="1">
      <c r="A115" s="2">
        <v>45313</v>
      </c>
      <c r="B115" s="3" t="s">
        <v>245</v>
      </c>
      <c r="C115" s="3" t="s">
        <v>234</v>
      </c>
      <c r="D115" s="3" t="s">
        <v>235</v>
      </c>
      <c r="E115" s="3" t="s">
        <v>236</v>
      </c>
      <c r="F115" s="4" t="s">
        <v>26</v>
      </c>
      <c r="G115" s="22">
        <v>998531</v>
      </c>
      <c r="H115" s="23">
        <v>0.18</v>
      </c>
      <c r="I115" s="9">
        <v>12600</v>
      </c>
      <c r="J115" s="9">
        <f t="shared" si="8"/>
        <v>1134</v>
      </c>
      <c r="K115" s="9">
        <f t="shared" si="9"/>
        <v>1134</v>
      </c>
      <c r="L115" s="41"/>
      <c r="M115" s="37">
        <f>Table432[[#This Row],[Taxable Amount]]+Table432[[#This Row],[SGST]]+Table432[[#This Row],[CGST]]</f>
        <v>14868</v>
      </c>
      <c r="N115" s="71">
        <f>Table432[[#This Row],[Taxable Amount]]*1%</f>
        <v>126</v>
      </c>
      <c r="O115" s="149">
        <v>0</v>
      </c>
      <c r="P115" s="148">
        <v>14742</v>
      </c>
      <c r="Q115" s="59">
        <v>45215</v>
      </c>
      <c r="R115" s="193" t="s">
        <v>238</v>
      </c>
      <c r="S115" s="138">
        <f>Table432[[#This Row],[Invoice Amount]]-Table432[[#This Row],[TDS]]-Table432[[#This Row],[RTN]]-Table432[[#This Row],[RECIVED AMOUNT]]</f>
        <v>0</v>
      </c>
      <c r="T115" s="55"/>
      <c r="U115" s="3"/>
      <c r="V115" s="41">
        <f>Table432[[#This Row],[BALANCE]]-Table432[[#This Row],[RECIVED AMOUNT2]]</f>
        <v>0</v>
      </c>
      <c r="W115" s="50"/>
      <c r="X115" s="50"/>
    </row>
    <row r="116" spans="1:24" ht="19.95" customHeight="1">
      <c r="A116" s="2">
        <v>45315</v>
      </c>
      <c r="B116" s="3" t="s">
        <v>246</v>
      </c>
      <c r="C116" s="3" t="s">
        <v>234</v>
      </c>
      <c r="D116" s="3" t="s">
        <v>235</v>
      </c>
      <c r="E116" s="3" t="s">
        <v>236</v>
      </c>
      <c r="F116" s="4" t="s">
        <v>26</v>
      </c>
      <c r="G116" s="22">
        <v>998531</v>
      </c>
      <c r="H116" s="23">
        <v>0.18</v>
      </c>
      <c r="I116" s="9">
        <v>12600</v>
      </c>
      <c r="J116" s="9">
        <f t="shared" si="8"/>
        <v>1134</v>
      </c>
      <c r="K116" s="9">
        <f t="shared" si="9"/>
        <v>1134</v>
      </c>
      <c r="L116" s="41"/>
      <c r="M116" s="37">
        <f>Table432[[#This Row],[Taxable Amount]]+Table432[[#This Row],[SGST]]+Table432[[#This Row],[CGST]]</f>
        <v>14868</v>
      </c>
      <c r="N116" s="71">
        <f>Table432[[#This Row],[Taxable Amount]]*1%</f>
        <v>126</v>
      </c>
      <c r="O116" s="149">
        <v>0</v>
      </c>
      <c r="P116" s="148">
        <v>14742</v>
      </c>
      <c r="Q116" s="59">
        <v>45215</v>
      </c>
      <c r="R116" s="194" t="s">
        <v>238</v>
      </c>
      <c r="S116" s="138">
        <f>Table432[[#This Row],[Invoice Amount]]-Table432[[#This Row],[TDS]]-Table432[[#This Row],[RTN]]-Table432[[#This Row],[RECIVED AMOUNT]]</f>
        <v>0</v>
      </c>
      <c r="T116" s="55"/>
      <c r="U116" s="3"/>
      <c r="V116" s="41">
        <f>Table432[[#This Row],[BALANCE]]-Table432[[#This Row],[RECIVED AMOUNT2]]</f>
        <v>0</v>
      </c>
      <c r="W116" s="50"/>
      <c r="X116" s="50"/>
    </row>
    <row r="117" spans="1:24" ht="19.95" customHeight="1">
      <c r="A117" s="2">
        <v>45322</v>
      </c>
      <c r="B117" s="3" t="s">
        <v>247</v>
      </c>
      <c r="C117" s="3" t="s">
        <v>42</v>
      </c>
      <c r="D117" s="3" t="s">
        <v>43</v>
      </c>
      <c r="E117" s="3" t="s">
        <v>44</v>
      </c>
      <c r="F117" s="4" t="s">
        <v>45</v>
      </c>
      <c r="G117" s="22">
        <v>998531</v>
      </c>
      <c r="H117" s="23">
        <v>0.18</v>
      </c>
      <c r="I117" s="9">
        <v>48704</v>
      </c>
      <c r="J117" s="9">
        <f t="shared" si="8"/>
        <v>4383.3599999999997</v>
      </c>
      <c r="K117" s="9">
        <f t="shared" si="9"/>
        <v>4383.3599999999997</v>
      </c>
      <c r="L117" s="41"/>
      <c r="M117" s="37">
        <f>Table432[[#This Row],[Taxable Amount]]+Table432[[#This Row],[SGST]]+Table432[[#This Row],[CGST]]</f>
        <v>57470.720000000001</v>
      </c>
      <c r="N117" s="71">
        <f>Table432[[#This Row],[Taxable Amount]]*1%</f>
        <v>487.04</v>
      </c>
      <c r="O117" s="157">
        <v>1218</v>
      </c>
      <c r="P117" s="145"/>
      <c r="Q117" s="65"/>
      <c r="R117" s="193" t="s">
        <v>148</v>
      </c>
      <c r="S117" s="138">
        <f>Table432[[#This Row],[Invoice Amount]]-Table432[[#This Row],[TDS]]-Table432[[#This Row],[RTN]]-Table432[[#This Row],[RECIVED AMOUNT]]</f>
        <v>55765.68</v>
      </c>
      <c r="T117" s="55"/>
      <c r="U117" s="3"/>
      <c r="V117" s="41">
        <f>Table432[[#This Row],[BALANCE]]-Table432[[#This Row],[RECIVED AMOUNT2]]</f>
        <v>55765.68</v>
      </c>
      <c r="W117" s="50"/>
      <c r="X117" s="50"/>
    </row>
    <row r="118" spans="1:24" ht="19.95" customHeight="1">
      <c r="A118" s="2">
        <v>45322</v>
      </c>
      <c r="B118" s="3" t="s">
        <v>248</v>
      </c>
      <c r="C118" s="3" t="s">
        <v>42</v>
      </c>
      <c r="D118" s="3" t="s">
        <v>43</v>
      </c>
      <c r="E118" s="3" t="s">
        <v>163</v>
      </c>
      <c r="F118" s="4" t="s">
        <v>26</v>
      </c>
      <c r="G118" s="22">
        <v>998531</v>
      </c>
      <c r="H118" s="23">
        <v>0.18</v>
      </c>
      <c r="I118" s="9">
        <v>9500</v>
      </c>
      <c r="J118" s="9">
        <f t="shared" si="8"/>
        <v>855</v>
      </c>
      <c r="K118" s="9">
        <f t="shared" si="9"/>
        <v>855</v>
      </c>
      <c r="L118" s="41"/>
      <c r="M118" s="37">
        <f>Table432[[#This Row],[Taxable Amount]]+Table432[[#This Row],[SGST]]+Table432[[#This Row],[CGST]]</f>
        <v>11210</v>
      </c>
      <c r="N118" s="71">
        <f>Table432[[#This Row],[Taxable Amount]]*1%</f>
        <v>95</v>
      </c>
      <c r="O118" s="157">
        <v>238</v>
      </c>
      <c r="P118" s="148">
        <v>14160</v>
      </c>
      <c r="Q118" s="65">
        <v>45241</v>
      </c>
      <c r="R118" s="193" t="s">
        <v>148</v>
      </c>
      <c r="S118" s="138">
        <f>Table432[[#This Row],[Invoice Amount]]-Table432[[#This Row],[TDS]]-Table432[[#This Row],[RTN]]-Table432[[#This Row],[RECIVED AMOUNT]]</f>
        <v>-3283</v>
      </c>
      <c r="T118" s="55"/>
      <c r="U118" s="3"/>
      <c r="V118" s="41">
        <f>Table432[[#This Row],[BALANCE]]-Table432[[#This Row],[RECIVED AMOUNT2]]</f>
        <v>-3283</v>
      </c>
      <c r="W118" s="50"/>
      <c r="X118" s="50"/>
    </row>
    <row r="119" spans="1:24" ht="19.95" customHeight="1">
      <c r="A119" s="2">
        <v>45322</v>
      </c>
      <c r="B119" s="3" t="s">
        <v>249</v>
      </c>
      <c r="C119" s="3" t="s">
        <v>42</v>
      </c>
      <c r="D119" s="3" t="s">
        <v>43</v>
      </c>
      <c r="E119" s="3" t="s">
        <v>101</v>
      </c>
      <c r="F119" s="4" t="s">
        <v>26</v>
      </c>
      <c r="G119" s="22">
        <v>998531</v>
      </c>
      <c r="H119" s="23">
        <v>0.18</v>
      </c>
      <c r="I119" s="9">
        <v>4500</v>
      </c>
      <c r="J119" s="9">
        <f t="shared" si="8"/>
        <v>405</v>
      </c>
      <c r="K119" s="9">
        <f t="shared" si="9"/>
        <v>405</v>
      </c>
      <c r="L119" s="41"/>
      <c r="M119" s="37">
        <f>Table432[[#This Row],[Taxable Amount]]+Table432[[#This Row],[SGST]]+Table432[[#This Row],[CGST]]</f>
        <v>5310</v>
      </c>
      <c r="N119" s="71">
        <f>Table432[[#This Row],[Taxable Amount]]*1%</f>
        <v>45</v>
      </c>
      <c r="O119" s="157">
        <v>0</v>
      </c>
      <c r="P119" s="148"/>
      <c r="Q119" s="59"/>
      <c r="R119" s="193" t="s">
        <v>148</v>
      </c>
      <c r="S119" s="138">
        <f>Table432[[#This Row],[Invoice Amount]]-Table432[[#This Row],[TDS]]-Table432[[#This Row],[RTN]]-Table432[[#This Row],[RECIVED AMOUNT]]</f>
        <v>5265</v>
      </c>
      <c r="T119" s="55"/>
      <c r="U119" s="3"/>
      <c r="V119" s="41">
        <f>Table432[[#This Row],[BALANCE]]-Table432[[#This Row],[RECIVED AMOUNT2]]</f>
        <v>5265</v>
      </c>
      <c r="W119" s="50"/>
      <c r="X119" s="50"/>
    </row>
    <row r="120" spans="1:24" ht="19.95" customHeight="1">
      <c r="A120" s="68">
        <v>45322</v>
      </c>
      <c r="B120" s="3" t="s">
        <v>250</v>
      </c>
      <c r="C120" s="21" t="s">
        <v>116</v>
      </c>
      <c r="D120" s="3" t="s">
        <v>117</v>
      </c>
      <c r="E120" s="3" t="s">
        <v>59</v>
      </c>
      <c r="F120" s="4" t="s">
        <v>26</v>
      </c>
      <c r="G120" s="22">
        <v>998531</v>
      </c>
      <c r="H120" s="23">
        <v>0.18</v>
      </c>
      <c r="I120" s="9">
        <v>17300</v>
      </c>
      <c r="J120" s="9">
        <f t="shared" si="8"/>
        <v>1557</v>
      </c>
      <c r="K120" s="9">
        <f t="shared" si="9"/>
        <v>1557</v>
      </c>
      <c r="L120" s="41"/>
      <c r="M120" s="37">
        <f>Table432[[#This Row],[Taxable Amount]]+Table432[[#This Row],[SGST]]+Table432[[#This Row],[CGST]]</f>
        <v>20414</v>
      </c>
      <c r="N120" s="71">
        <f>Table432[[#This Row],[Taxable Amount]]*1%</f>
        <v>173</v>
      </c>
      <c r="O120" s="157">
        <v>0</v>
      </c>
      <c r="P120" s="148">
        <v>20241</v>
      </c>
      <c r="Q120" s="57" t="s">
        <v>251</v>
      </c>
      <c r="R120" s="190" t="s">
        <v>219</v>
      </c>
      <c r="S120" s="138">
        <f>Table432[[#This Row],[Invoice Amount]]-Table432[[#This Row],[TDS]]-Table432[[#This Row],[RTN]]-Table432[[#This Row],[RECIVED AMOUNT]]</f>
        <v>0</v>
      </c>
      <c r="T120" s="55"/>
      <c r="U120" s="3"/>
      <c r="V120" s="41">
        <f>Table432[[#This Row],[BALANCE]]-Table432[[#This Row],[RECIVED AMOUNT2]]</f>
        <v>0</v>
      </c>
      <c r="W120" s="50"/>
      <c r="X120" s="50"/>
    </row>
    <row r="121" spans="1:24" ht="19.95" customHeight="1">
      <c r="A121" s="2">
        <v>45322</v>
      </c>
      <c r="B121" s="3" t="s">
        <v>252</v>
      </c>
      <c r="C121" s="3" t="s">
        <v>96</v>
      </c>
      <c r="D121" s="3" t="s">
        <v>97</v>
      </c>
      <c r="E121" s="3" t="s">
        <v>89</v>
      </c>
      <c r="F121" s="4" t="s">
        <v>26</v>
      </c>
      <c r="G121" s="22">
        <v>998531</v>
      </c>
      <c r="H121" s="23">
        <v>0.18</v>
      </c>
      <c r="I121" s="9">
        <v>8280</v>
      </c>
      <c r="J121" s="9">
        <f t="shared" si="8"/>
        <v>745.2</v>
      </c>
      <c r="K121" s="9">
        <f t="shared" si="9"/>
        <v>745.2</v>
      </c>
      <c r="L121" s="41"/>
      <c r="M121" s="37">
        <f>Table432[[#This Row],[Taxable Amount]]+Table432[[#This Row],[SGST]]+Table432[[#This Row],[CGST]]</f>
        <v>9770.4000000000015</v>
      </c>
      <c r="N121" s="71">
        <f>Table432[[#This Row],[Taxable Amount]]*1%</f>
        <v>82.8</v>
      </c>
      <c r="O121" s="149">
        <v>0</v>
      </c>
      <c r="P121" s="147">
        <v>9786</v>
      </c>
      <c r="Q121" s="72">
        <v>45282</v>
      </c>
      <c r="R121" s="190" t="s">
        <v>219</v>
      </c>
      <c r="S121" s="138">
        <f>Table432[[#This Row],[Invoice Amount]]-Table432[[#This Row],[TDS]]-Table432[[#This Row],[RTN]]-Table432[[#This Row],[RECIVED AMOUNT]]</f>
        <v>-98.399999999997817</v>
      </c>
      <c r="T121" s="55"/>
      <c r="U121" s="3"/>
      <c r="V121" s="41">
        <f>Table432[[#This Row],[BALANCE]]-Table432[[#This Row],[RECIVED AMOUNT2]]</f>
        <v>-98.399999999997817</v>
      </c>
      <c r="W121" s="50"/>
      <c r="X121" s="50"/>
    </row>
    <row r="122" spans="1:24" s="10" customFormat="1" ht="19.95" customHeight="1">
      <c r="A122" s="92">
        <v>45322</v>
      </c>
      <c r="B122" s="7" t="s">
        <v>253</v>
      </c>
      <c r="C122" s="7" t="s">
        <v>157</v>
      </c>
      <c r="D122" s="7" t="s">
        <v>158</v>
      </c>
      <c r="E122" s="7" t="s">
        <v>59</v>
      </c>
      <c r="F122" s="5" t="s">
        <v>26</v>
      </c>
      <c r="G122" s="85">
        <v>998531</v>
      </c>
      <c r="H122" s="221">
        <v>0.18</v>
      </c>
      <c r="I122" s="69">
        <v>14280</v>
      </c>
      <c r="J122" s="69">
        <f t="shared" si="8"/>
        <v>1285.2</v>
      </c>
      <c r="K122" s="70">
        <f t="shared" si="9"/>
        <v>1285.2</v>
      </c>
      <c r="L122" s="70"/>
      <c r="M122" s="94">
        <f>Table432[[#This Row],[Taxable Amount]]+Table432[[#This Row],[SGST]]+Table432[[#This Row],[CGST]]</f>
        <v>16850.400000000001</v>
      </c>
      <c r="N122" s="155">
        <f>Table432[[#This Row],[Taxable Amount]]*1%</f>
        <v>142.80000000000001</v>
      </c>
      <c r="O122" s="158">
        <v>0</v>
      </c>
      <c r="P122" s="102"/>
      <c r="Q122" s="363"/>
      <c r="R122" s="199" t="s">
        <v>148</v>
      </c>
      <c r="S122" s="93">
        <f>Table432[[#This Row],[Invoice Amount]]-Table432[[#This Row],[TDS]]-Table432[[#This Row],[RTN]]-Table432[[#This Row],[RECIVED AMOUNT]]</f>
        <v>16707.600000000002</v>
      </c>
      <c r="T122" s="99"/>
      <c r="U122" s="7"/>
      <c r="V122" s="70">
        <f>Table432[[#This Row],[BALANCE]]-Table432[[#This Row],[RECIVED AMOUNT2]]</f>
        <v>16707.600000000002</v>
      </c>
      <c r="W122" s="211"/>
      <c r="X122" s="211"/>
    </row>
    <row r="123" spans="1:24" ht="19.95" customHeight="1">
      <c r="A123" s="2">
        <v>45328</v>
      </c>
      <c r="B123" s="3" t="s">
        <v>254</v>
      </c>
      <c r="C123" s="3" t="s">
        <v>23</v>
      </c>
      <c r="D123" s="3" t="s">
        <v>24</v>
      </c>
      <c r="E123" s="3" t="s">
        <v>25</v>
      </c>
      <c r="F123" s="4" t="s">
        <v>26</v>
      </c>
      <c r="G123" s="22">
        <v>998531</v>
      </c>
      <c r="H123" s="23">
        <v>0.18</v>
      </c>
      <c r="I123" s="9">
        <v>7350</v>
      </c>
      <c r="J123" s="9">
        <f t="shared" si="8"/>
        <v>661.5</v>
      </c>
      <c r="K123" s="9">
        <f t="shared" si="9"/>
        <v>661.5</v>
      </c>
      <c r="L123" s="41"/>
      <c r="M123" s="37">
        <f>Table432[[#This Row],[Taxable Amount]]+Table432[[#This Row],[SGST]]+Table432[[#This Row],[CGST]]</f>
        <v>8673</v>
      </c>
      <c r="N123" s="71">
        <f>Table432[[#This Row],[Taxable Amount]]*1%</f>
        <v>73.5</v>
      </c>
      <c r="O123" s="175">
        <v>0</v>
      </c>
      <c r="P123" s="57">
        <v>17531</v>
      </c>
      <c r="Q123" s="66">
        <v>45248</v>
      </c>
      <c r="R123" s="190" t="s">
        <v>219</v>
      </c>
      <c r="S123" s="138">
        <f>Table432[[#This Row],[Invoice Amount]]-Table432[[#This Row],[TDS]]-Table432[[#This Row],[RTN]]-Table432[[#This Row],[RECIVED AMOUNT]]</f>
        <v>-8931.5</v>
      </c>
      <c r="T123" s="55"/>
      <c r="U123" s="3"/>
      <c r="V123" s="41">
        <f>Table432[[#This Row],[BALANCE]]-Table432[[#This Row],[RECIVED AMOUNT2]]</f>
        <v>-8931.5</v>
      </c>
      <c r="W123" s="50"/>
      <c r="X123" s="50"/>
    </row>
    <row r="124" spans="1:24" ht="19.95" customHeight="1">
      <c r="A124" s="2">
        <v>45342</v>
      </c>
      <c r="B124" s="3" t="s">
        <v>255</v>
      </c>
      <c r="C124" s="3" t="s">
        <v>208</v>
      </c>
      <c r="D124" s="3" t="s">
        <v>209</v>
      </c>
      <c r="E124" s="3" t="s">
        <v>210</v>
      </c>
      <c r="F124" s="4" t="s">
        <v>37</v>
      </c>
      <c r="G124" s="22">
        <v>998531</v>
      </c>
      <c r="H124" s="23">
        <v>0.18</v>
      </c>
      <c r="I124" s="9">
        <v>29820</v>
      </c>
      <c r="J124" s="9"/>
      <c r="K124" s="9"/>
      <c r="L124" s="41">
        <f>Table432[[#This Row],[Taxable Amount]]*18%</f>
        <v>5367.5999999999995</v>
      </c>
      <c r="M124" s="37">
        <f>Table432[[#This Row],[Taxable Amount]]+Table432[[#This Row],[IGST]]</f>
        <v>35187.599999999999</v>
      </c>
      <c r="N124" s="71">
        <f>Table432[[#This Row],[Taxable Amount]]*2%</f>
        <v>596.4</v>
      </c>
      <c r="O124" s="149">
        <v>0</v>
      </c>
      <c r="P124" s="57">
        <v>34591</v>
      </c>
      <c r="Q124" s="59">
        <v>45215</v>
      </c>
      <c r="R124" s="190" t="s">
        <v>219</v>
      </c>
      <c r="S124" s="138">
        <f>Table432[[#This Row],[Invoice Amount]]-Table432[[#This Row],[TDS]]-Table432[[#This Row],[RTN]]-Table432[[#This Row],[RECIVED AMOUNT]]</f>
        <v>0.19999999999708962</v>
      </c>
      <c r="T124" s="55"/>
      <c r="U124" s="3"/>
      <c r="V124" s="41">
        <f>Table432[[#This Row],[BALANCE]]-Table432[[#This Row],[RECIVED AMOUNT2]]</f>
        <v>0.19999999999708962</v>
      </c>
      <c r="W124" s="50"/>
      <c r="X124" s="50"/>
    </row>
    <row r="125" spans="1:24" ht="19.95" customHeight="1">
      <c r="A125" s="2">
        <v>45343</v>
      </c>
      <c r="B125" s="3" t="s">
        <v>256</v>
      </c>
      <c r="C125" s="3" t="s">
        <v>955</v>
      </c>
      <c r="D125" s="3" t="s">
        <v>205</v>
      </c>
      <c r="E125" s="3" t="s">
        <v>59</v>
      </c>
      <c r="F125" s="4" t="s">
        <v>26</v>
      </c>
      <c r="G125" s="22">
        <v>998531</v>
      </c>
      <c r="H125" s="23">
        <v>0.18</v>
      </c>
      <c r="I125" s="9">
        <v>10000</v>
      </c>
      <c r="J125" s="9">
        <f t="shared" ref="J125:J156" si="10">I125*9/100</f>
        <v>900</v>
      </c>
      <c r="K125" s="9">
        <f t="shared" ref="K125:K156" si="11">I125*9/100</f>
        <v>900</v>
      </c>
      <c r="L125" s="41"/>
      <c r="M125" s="37">
        <f>Table432[[#This Row],[Taxable Amount]]+Table432[[#This Row],[SGST]]+Table432[[#This Row],[CGST]]</f>
        <v>11800</v>
      </c>
      <c r="N125" s="71">
        <v>0</v>
      </c>
      <c r="O125" s="157">
        <v>0</v>
      </c>
      <c r="P125" s="148">
        <v>10000</v>
      </c>
      <c r="Q125" s="58">
        <v>45391</v>
      </c>
      <c r="R125" s="188" t="s">
        <v>219</v>
      </c>
      <c r="S125" s="138">
        <f>Table432[[#This Row],[Invoice Amount]]-Table432[[#This Row],[TDS]]-Table432[[#This Row],[RTN]]-Table432[[#This Row],[RECIVED AMOUNT]]</f>
        <v>1800</v>
      </c>
      <c r="T125" s="55">
        <v>2127</v>
      </c>
      <c r="U125" s="74">
        <v>45391</v>
      </c>
      <c r="V125" s="41">
        <f>Table432[[#This Row],[BALANCE]]-Table432[[#This Row],[RECIVED AMOUNT2]]</f>
        <v>-327</v>
      </c>
      <c r="W125" s="50"/>
      <c r="X125" s="50"/>
    </row>
    <row r="126" spans="1:24" ht="19.95" customHeight="1">
      <c r="A126" s="2">
        <v>45343</v>
      </c>
      <c r="B126" s="3" t="s">
        <v>257</v>
      </c>
      <c r="C126" s="3" t="s">
        <v>258</v>
      </c>
      <c r="D126" s="3" t="s">
        <v>259</v>
      </c>
      <c r="E126" s="3" t="s">
        <v>260</v>
      </c>
      <c r="F126" s="4" t="s">
        <v>26</v>
      </c>
      <c r="G126" s="22">
        <v>998531</v>
      </c>
      <c r="H126" s="23">
        <v>0.18</v>
      </c>
      <c r="I126" s="9">
        <v>27575</v>
      </c>
      <c r="J126" s="9">
        <f t="shared" si="10"/>
        <v>2481.75</v>
      </c>
      <c r="K126" s="9">
        <f t="shared" si="11"/>
        <v>2481.75</v>
      </c>
      <c r="L126" s="41"/>
      <c r="M126" s="37">
        <f>Table432[[#This Row],[Taxable Amount]]+Table432[[#This Row],[SGST]]+Table432[[#This Row],[CGST]]</f>
        <v>32538.5</v>
      </c>
      <c r="N126" s="71">
        <f>Table432[[#This Row],[Taxable Amount]]*1%</f>
        <v>275.75</v>
      </c>
      <c r="O126" s="157">
        <v>0</v>
      </c>
      <c r="P126" s="148"/>
      <c r="Q126" s="59"/>
      <c r="R126" s="190" t="s">
        <v>219</v>
      </c>
      <c r="S126" s="138">
        <f>Table432[[#This Row],[Invoice Amount]]-Table432[[#This Row],[TDS]]-Table432[[#This Row],[RTN]]-Table432[[#This Row],[RECIVED AMOUNT]]</f>
        <v>32262.75</v>
      </c>
      <c r="T126" s="55"/>
      <c r="U126" s="3"/>
      <c r="V126" s="41">
        <f>Table432[[#This Row],[BALANCE]]-Table432[[#This Row],[RECIVED AMOUNT2]]</f>
        <v>32262.75</v>
      </c>
      <c r="W126" s="50"/>
      <c r="X126" s="50"/>
    </row>
    <row r="127" spans="1:24" ht="19.95" customHeight="1">
      <c r="A127" s="2">
        <v>45351</v>
      </c>
      <c r="B127" s="3" t="s">
        <v>261</v>
      </c>
      <c r="C127" s="3" t="s">
        <v>42</v>
      </c>
      <c r="D127" s="3" t="s">
        <v>43</v>
      </c>
      <c r="E127" s="3" t="s">
        <v>44</v>
      </c>
      <c r="F127" s="4" t="s">
        <v>45</v>
      </c>
      <c r="G127" s="22">
        <v>998531</v>
      </c>
      <c r="H127" s="23">
        <v>0.18</v>
      </c>
      <c r="I127" s="9">
        <v>27373</v>
      </c>
      <c r="J127" s="9">
        <f t="shared" si="10"/>
        <v>2463.5700000000002</v>
      </c>
      <c r="K127" s="9">
        <f t="shared" si="11"/>
        <v>2463.5700000000002</v>
      </c>
      <c r="L127" s="41"/>
      <c r="M127" s="37">
        <f>Table432[[#This Row],[Taxable Amount]]+Table432[[#This Row],[SGST]]+Table432[[#This Row],[CGST]]</f>
        <v>32300.14</v>
      </c>
      <c r="N127" s="71">
        <f>Table432[[#This Row],[Taxable Amount]]*1%</f>
        <v>273.73</v>
      </c>
      <c r="O127" s="157">
        <v>684</v>
      </c>
      <c r="P127" s="145"/>
      <c r="Q127" s="59"/>
      <c r="R127" s="193" t="s">
        <v>148</v>
      </c>
      <c r="S127" s="138">
        <f>Table432[[#This Row],[Invoice Amount]]-Table432[[#This Row],[TDS]]-Table432[[#This Row],[RTN]]-Table432[[#This Row],[RECIVED AMOUNT]]</f>
        <v>31342.41</v>
      </c>
      <c r="T127" s="55"/>
      <c r="U127" s="3"/>
      <c r="V127" s="41">
        <f>Table432[[#This Row],[BALANCE]]-Table432[[#This Row],[RECIVED AMOUNT2]]</f>
        <v>31342.41</v>
      </c>
      <c r="W127" s="50"/>
      <c r="X127" s="50"/>
    </row>
    <row r="128" spans="1:24" ht="19.95" customHeight="1">
      <c r="A128" s="2">
        <v>45351</v>
      </c>
      <c r="B128" s="3" t="s">
        <v>262</v>
      </c>
      <c r="C128" s="3" t="s">
        <v>42</v>
      </c>
      <c r="D128" s="3" t="s">
        <v>43</v>
      </c>
      <c r="E128" s="3" t="s">
        <v>163</v>
      </c>
      <c r="F128" s="4" t="s">
        <v>26</v>
      </c>
      <c r="G128" s="22">
        <v>998531</v>
      </c>
      <c r="H128" s="23">
        <v>0.18</v>
      </c>
      <c r="I128" s="9">
        <v>7500</v>
      </c>
      <c r="J128" s="9">
        <f t="shared" si="10"/>
        <v>675</v>
      </c>
      <c r="K128" s="9">
        <f t="shared" si="11"/>
        <v>675</v>
      </c>
      <c r="L128" s="41"/>
      <c r="M128" s="37">
        <f>Table432[[#This Row],[Taxable Amount]]+Table432[[#This Row],[SGST]]+Table432[[#This Row],[CGST]]</f>
        <v>8850</v>
      </c>
      <c r="N128" s="71">
        <f>Table432[[#This Row],[Taxable Amount]]*1%</f>
        <v>75</v>
      </c>
      <c r="O128" s="157">
        <v>188</v>
      </c>
      <c r="P128" s="148">
        <v>6843</v>
      </c>
      <c r="Q128" s="75">
        <v>45558</v>
      </c>
      <c r="R128" s="193" t="s">
        <v>148</v>
      </c>
      <c r="S128" s="138">
        <f>Table432[[#This Row],[Invoice Amount]]-Table432[[#This Row],[TDS]]-Table432[[#This Row],[RTN]]-Table432[[#This Row],[RECIVED AMOUNT]]</f>
        <v>1744</v>
      </c>
      <c r="T128" s="55"/>
      <c r="U128" s="3"/>
      <c r="V128" s="41">
        <f>Table432[[#This Row],[BALANCE]]-Table432[[#This Row],[RECIVED AMOUNT2]]</f>
        <v>1744</v>
      </c>
      <c r="W128" s="50"/>
      <c r="X128" s="50"/>
    </row>
    <row r="129" spans="1:24" s="16" customFormat="1" ht="19.95" customHeight="1">
      <c r="A129" s="76">
        <v>45351</v>
      </c>
      <c r="B129" s="50" t="s">
        <v>263</v>
      </c>
      <c r="C129" s="50" t="s">
        <v>42</v>
      </c>
      <c r="D129" s="50" t="s">
        <v>43</v>
      </c>
      <c r="E129" s="50" t="s">
        <v>101</v>
      </c>
      <c r="F129" s="77" t="s">
        <v>26</v>
      </c>
      <c r="G129" s="22">
        <v>998531</v>
      </c>
      <c r="H129" s="23">
        <v>0.18</v>
      </c>
      <c r="I129" s="80">
        <v>5250</v>
      </c>
      <c r="J129" s="80">
        <f t="shared" si="10"/>
        <v>472.5</v>
      </c>
      <c r="K129" s="80">
        <f t="shared" si="11"/>
        <v>472.5</v>
      </c>
      <c r="L129" s="80"/>
      <c r="M129" s="37">
        <f>Table432[[#This Row],[Taxable Amount]]+Table432[[#This Row],[SGST]]+Table432[[#This Row],[CGST]]</f>
        <v>6195</v>
      </c>
      <c r="N129" s="71">
        <f>Table432[[#This Row],[Taxable Amount]]*1%</f>
        <v>52.5</v>
      </c>
      <c r="O129" s="157">
        <v>0</v>
      </c>
      <c r="P129" s="57"/>
      <c r="Q129" s="59"/>
      <c r="R129" s="193" t="s">
        <v>148</v>
      </c>
      <c r="S129" s="138">
        <f>Table432[[#This Row],[Invoice Amount]]-Table432[[#This Row],[TDS]]-Table432[[#This Row],[RTN]]-Table432[[#This Row],[RECIVED AMOUNT]]</f>
        <v>6142.5</v>
      </c>
      <c r="T129" s="55"/>
      <c r="U129" s="3"/>
      <c r="V129" s="41">
        <f>Table432[[#This Row],[BALANCE]]-Table432[[#This Row],[RECIVED AMOUNT2]]</f>
        <v>6142.5</v>
      </c>
      <c r="W129" s="210"/>
      <c r="X129" s="210"/>
    </row>
    <row r="130" spans="1:24" s="16" customFormat="1" ht="19.95" customHeight="1">
      <c r="A130" s="2">
        <v>45351</v>
      </c>
      <c r="B130" s="3" t="s">
        <v>264</v>
      </c>
      <c r="C130" s="21" t="s">
        <v>116</v>
      </c>
      <c r="D130" s="3" t="s">
        <v>117</v>
      </c>
      <c r="E130" s="3" t="s">
        <v>59</v>
      </c>
      <c r="F130" s="4" t="s">
        <v>26</v>
      </c>
      <c r="G130" s="22">
        <v>998531</v>
      </c>
      <c r="H130" s="23">
        <v>0.18</v>
      </c>
      <c r="I130" s="9">
        <v>17300</v>
      </c>
      <c r="J130" s="9">
        <f t="shared" si="10"/>
        <v>1557</v>
      </c>
      <c r="K130" s="9">
        <f t="shared" si="11"/>
        <v>1557</v>
      </c>
      <c r="L130" s="41"/>
      <c r="M130" s="37">
        <f>Table432[[#This Row],[Taxable Amount]]+Table432[[#This Row],[SGST]]+Table432[[#This Row],[CGST]]</f>
        <v>20414</v>
      </c>
      <c r="N130" s="71">
        <f>Table432[[#This Row],[Taxable Amount]]*1%</f>
        <v>173</v>
      </c>
      <c r="O130" s="157">
        <v>0</v>
      </c>
      <c r="P130" s="148"/>
      <c r="Q130" s="57"/>
      <c r="R130" s="190" t="s">
        <v>219</v>
      </c>
      <c r="S130" s="138">
        <f>Table432[[#This Row],[Invoice Amount]]-Table432[[#This Row],[TDS]]-Table432[[#This Row],[RTN]]-Table432[[#This Row],[RECIVED AMOUNT]]</f>
        <v>20241</v>
      </c>
      <c r="T130" s="55"/>
      <c r="U130" s="3"/>
      <c r="V130" s="41">
        <f>Table432[[#This Row],[BALANCE]]-Table432[[#This Row],[RECIVED AMOUNT2]]</f>
        <v>20241</v>
      </c>
      <c r="W130" s="210"/>
      <c r="X130" s="210"/>
    </row>
    <row r="131" spans="1:24" s="16" customFormat="1" ht="19.95" customHeight="1">
      <c r="A131" s="2">
        <v>45351</v>
      </c>
      <c r="B131" s="3" t="s">
        <v>265</v>
      </c>
      <c r="C131" s="21" t="s">
        <v>96</v>
      </c>
      <c r="D131" s="3" t="s">
        <v>97</v>
      </c>
      <c r="E131" s="3" t="s">
        <v>89</v>
      </c>
      <c r="F131" s="4" t="s">
        <v>26</v>
      </c>
      <c r="G131" s="22">
        <v>998531</v>
      </c>
      <c r="H131" s="23">
        <v>0.18</v>
      </c>
      <c r="I131" s="9">
        <v>8280</v>
      </c>
      <c r="J131" s="9">
        <f t="shared" si="10"/>
        <v>745.2</v>
      </c>
      <c r="K131" s="9">
        <f t="shared" si="11"/>
        <v>745.2</v>
      </c>
      <c r="L131" s="41"/>
      <c r="M131" s="37">
        <f>Table432[[#This Row],[Taxable Amount]]+Table432[[#This Row],[SGST]]+Table432[[#This Row],[CGST]]</f>
        <v>9770.4000000000015</v>
      </c>
      <c r="N131" s="71">
        <f>Table432[[#This Row],[Taxable Amount]]*1%</f>
        <v>82.8</v>
      </c>
      <c r="O131" s="157">
        <v>0</v>
      </c>
      <c r="P131" s="147">
        <v>9786</v>
      </c>
      <c r="Q131" s="81">
        <v>45443</v>
      </c>
      <c r="R131" s="190" t="s">
        <v>219</v>
      </c>
      <c r="S131" s="138">
        <f>Table432[[#This Row],[Invoice Amount]]-Table432[[#This Row],[TDS]]-Table432[[#This Row],[RTN]]-Table432[[#This Row],[RECIVED AMOUNT]]</f>
        <v>-98.399999999997817</v>
      </c>
      <c r="T131" s="55"/>
      <c r="U131" s="3"/>
      <c r="V131" s="41">
        <f>Table432[[#This Row],[BALANCE]]-Table432[[#This Row],[RECIVED AMOUNT2]]</f>
        <v>-98.399999999997817</v>
      </c>
      <c r="W131" s="210"/>
      <c r="X131" s="210"/>
    </row>
    <row r="132" spans="1:24" s="10" customFormat="1" ht="19.95" customHeight="1">
      <c r="A132" s="92">
        <v>45351</v>
      </c>
      <c r="B132" s="7" t="s">
        <v>266</v>
      </c>
      <c r="C132" s="84" t="s">
        <v>157</v>
      </c>
      <c r="D132" s="7" t="s">
        <v>158</v>
      </c>
      <c r="E132" s="7" t="s">
        <v>59</v>
      </c>
      <c r="F132" s="5" t="s">
        <v>26</v>
      </c>
      <c r="G132" s="85">
        <v>998531</v>
      </c>
      <c r="H132" s="221">
        <v>0.18</v>
      </c>
      <c r="I132" s="69">
        <v>7320</v>
      </c>
      <c r="J132" s="69">
        <f t="shared" si="10"/>
        <v>658.8</v>
      </c>
      <c r="K132" s="69">
        <f t="shared" si="11"/>
        <v>658.8</v>
      </c>
      <c r="L132" s="70"/>
      <c r="M132" s="94">
        <f>Table432[[#This Row],[Taxable Amount]]+Table432[[#This Row],[SGST]]+Table432[[#This Row],[CGST]]</f>
        <v>8637.6</v>
      </c>
      <c r="N132" s="155">
        <f>Table432[[#This Row],[Taxable Amount]]*1%</f>
        <v>73.2</v>
      </c>
      <c r="O132" s="158">
        <v>0</v>
      </c>
      <c r="P132" s="102">
        <v>7174</v>
      </c>
      <c r="Q132" s="363">
        <v>45373</v>
      </c>
      <c r="R132" s="364" t="s">
        <v>219</v>
      </c>
      <c r="S132" s="93">
        <f>Table432[[#This Row],[Invoice Amount]]-Table432[[#This Row],[TDS]]-Table432[[#This Row],[RTN]]-Table432[[#This Row],[RECIVED AMOUNT]]</f>
        <v>1390.3999999999996</v>
      </c>
      <c r="T132" s="99"/>
      <c r="U132" s="7"/>
      <c r="V132" s="70">
        <f>Table432[[#This Row],[BALANCE]]-Table432[[#This Row],[RECIVED AMOUNT2]]</f>
        <v>1390.3999999999996</v>
      </c>
      <c r="W132" s="211"/>
      <c r="X132" s="211"/>
    </row>
    <row r="133" spans="1:24" s="16" customFormat="1" ht="19.95" customHeight="1">
      <c r="A133" s="2">
        <v>45362</v>
      </c>
      <c r="B133" s="3" t="s">
        <v>267</v>
      </c>
      <c r="C133" s="3" t="s">
        <v>42</v>
      </c>
      <c r="D133" s="3" t="s">
        <v>43</v>
      </c>
      <c r="E133" s="3" t="s">
        <v>163</v>
      </c>
      <c r="F133" s="4" t="s">
        <v>26</v>
      </c>
      <c r="G133" s="22">
        <v>998531</v>
      </c>
      <c r="H133" s="23">
        <v>0.18</v>
      </c>
      <c r="I133" s="9">
        <v>8400</v>
      </c>
      <c r="J133" s="9">
        <f t="shared" si="10"/>
        <v>756</v>
      </c>
      <c r="K133" s="9">
        <f t="shared" si="11"/>
        <v>756</v>
      </c>
      <c r="L133" s="41"/>
      <c r="M133" s="37">
        <f>Table432[[#This Row],[Taxable Amount]]+Table432[[#This Row],[SGST]]+Table432[[#This Row],[CGST]]</f>
        <v>9912</v>
      </c>
      <c r="N133" s="71">
        <f>Table432[[#This Row],[Taxable Amount]]*1%</f>
        <v>84</v>
      </c>
      <c r="O133" s="157">
        <v>210</v>
      </c>
      <c r="P133" s="148">
        <v>81981</v>
      </c>
      <c r="Q133" s="75">
        <v>45584</v>
      </c>
      <c r="R133" s="193" t="s">
        <v>148</v>
      </c>
      <c r="S133" s="138">
        <f>Table432[[#This Row],[Invoice Amount]]-Table432[[#This Row],[TDS]]-Table432[[#This Row],[RTN]]-Table432[[#This Row],[RECIVED AMOUNT]]</f>
        <v>-72363</v>
      </c>
      <c r="T133" s="55"/>
      <c r="U133" s="3"/>
      <c r="V133" s="41">
        <f>Table432[[#This Row],[BALANCE]]-Table432[[#This Row],[RECIVED AMOUNT2]]</f>
        <v>-72363</v>
      </c>
      <c r="W133" s="210"/>
      <c r="X133" s="210"/>
    </row>
    <row r="134" spans="1:24" s="16" customFormat="1" ht="19.95" customHeight="1">
      <c r="A134" s="2">
        <v>45372</v>
      </c>
      <c r="B134" s="3" t="s">
        <v>268</v>
      </c>
      <c r="C134" s="3" t="s">
        <v>258</v>
      </c>
      <c r="D134" s="3" t="s">
        <v>259</v>
      </c>
      <c r="E134" s="3" t="s">
        <v>260</v>
      </c>
      <c r="F134" s="4" t="s">
        <v>26</v>
      </c>
      <c r="G134" s="22">
        <v>998531</v>
      </c>
      <c r="H134" s="23">
        <v>0.18</v>
      </c>
      <c r="I134" s="9">
        <v>23525</v>
      </c>
      <c r="J134" s="9">
        <f t="shared" si="10"/>
        <v>2117.25</v>
      </c>
      <c r="K134" s="9">
        <f t="shared" si="11"/>
        <v>2117.25</v>
      </c>
      <c r="L134" s="41"/>
      <c r="M134" s="37">
        <f>Table432[[#This Row],[Taxable Amount]]+Table432[[#This Row],[SGST]]+Table432[[#This Row],[CGST]]</f>
        <v>27759.5</v>
      </c>
      <c r="N134" s="71">
        <f>Table432[[#This Row],[Taxable Amount]]*1%</f>
        <v>235.25</v>
      </c>
      <c r="O134" s="157">
        <v>0</v>
      </c>
      <c r="P134" s="148">
        <v>58679.57</v>
      </c>
      <c r="Q134" s="59">
        <v>45434</v>
      </c>
      <c r="R134" s="190" t="s">
        <v>219</v>
      </c>
      <c r="S134" s="138">
        <f>Table432[[#This Row],[Invoice Amount]]-Table432[[#This Row],[TDS]]-Table432[[#This Row],[RTN]]-Table432[[#This Row],[RECIVED AMOUNT]]</f>
        <v>-31155.32</v>
      </c>
      <c r="T134" s="82"/>
      <c r="U134" s="54"/>
      <c r="V134" s="41">
        <f>Table432[[#This Row],[BALANCE]]-Table432[[#This Row],[RECIVED AMOUNT2]]</f>
        <v>-31155.32</v>
      </c>
      <c r="W134" s="210"/>
      <c r="X134" s="210"/>
    </row>
    <row r="135" spans="1:24" s="16" customFormat="1" ht="19.95" customHeight="1">
      <c r="A135" s="2">
        <v>45374</v>
      </c>
      <c r="B135" s="3" t="s">
        <v>269</v>
      </c>
      <c r="C135" s="3" t="s">
        <v>270</v>
      </c>
      <c r="D135" s="3" t="s">
        <v>271</v>
      </c>
      <c r="E135" s="3" t="s">
        <v>272</v>
      </c>
      <c r="F135" s="4" t="s">
        <v>26</v>
      </c>
      <c r="G135" s="22">
        <v>998531</v>
      </c>
      <c r="H135" s="23">
        <v>0.18</v>
      </c>
      <c r="I135" s="9">
        <v>3500</v>
      </c>
      <c r="J135" s="9">
        <f t="shared" si="10"/>
        <v>315</v>
      </c>
      <c r="K135" s="9">
        <f t="shared" si="11"/>
        <v>315</v>
      </c>
      <c r="L135" s="41"/>
      <c r="M135" s="37">
        <f>Table432[[#This Row],[Taxable Amount]]+Table432[[#This Row],[SGST]]+Table432[[#This Row],[CGST]]</f>
        <v>4130</v>
      </c>
      <c r="N135" s="71"/>
      <c r="O135" s="157">
        <v>0</v>
      </c>
      <c r="P135" s="148">
        <v>4130</v>
      </c>
      <c r="Q135" s="59">
        <v>45215</v>
      </c>
      <c r="R135" s="193" t="s">
        <v>238</v>
      </c>
      <c r="S135" s="138">
        <f>Table432[[#This Row],[Invoice Amount]]-Table432[[#This Row],[TDS]]-Table432[[#This Row],[RTN]]-Table432[[#This Row],[RECIVED AMOUNT]]</f>
        <v>0</v>
      </c>
      <c r="T135" s="55"/>
      <c r="U135" s="3"/>
      <c r="V135" s="41">
        <f>Table432[[#This Row],[BALANCE]]-Table432[[#This Row],[RECIVED AMOUNT2]]</f>
        <v>0</v>
      </c>
      <c r="W135" s="210"/>
      <c r="X135" s="210"/>
    </row>
    <row r="136" spans="1:24" s="16" customFormat="1" ht="19.95" customHeight="1">
      <c r="A136" s="2">
        <v>45381</v>
      </c>
      <c r="B136" s="3" t="s">
        <v>273</v>
      </c>
      <c r="C136" s="3" t="s">
        <v>42</v>
      </c>
      <c r="D136" s="3" t="s">
        <v>43</v>
      </c>
      <c r="E136" s="3" t="s">
        <v>101</v>
      </c>
      <c r="F136" s="4" t="s">
        <v>26</v>
      </c>
      <c r="G136" s="22">
        <v>998531</v>
      </c>
      <c r="H136" s="23">
        <v>0.18</v>
      </c>
      <c r="I136" s="9">
        <v>5250</v>
      </c>
      <c r="J136" s="9">
        <f t="shared" si="10"/>
        <v>472.5</v>
      </c>
      <c r="K136" s="69">
        <f t="shared" si="11"/>
        <v>472.5</v>
      </c>
      <c r="L136" s="70"/>
      <c r="M136" s="37">
        <f>Table432[[#This Row],[Taxable Amount]]+Table432[[#This Row],[SGST]]+Table432[[#This Row],[CGST]]</f>
        <v>6195</v>
      </c>
      <c r="N136" s="71">
        <f>Table432[[#This Row],[Taxable Amount]]*1%</f>
        <v>52.5</v>
      </c>
      <c r="O136" s="157">
        <v>0</v>
      </c>
      <c r="P136" s="57"/>
      <c r="Q136" s="59"/>
      <c r="R136" s="190" t="s">
        <v>219</v>
      </c>
      <c r="S136" s="138">
        <f>Table432[[#This Row],[Invoice Amount]]-Table432[[#This Row],[TDS]]-Table432[[#This Row],[RTN]]-Table432[[#This Row],[RECIVED AMOUNT]]</f>
        <v>6142.5</v>
      </c>
      <c r="T136" s="55"/>
      <c r="U136" s="3"/>
      <c r="V136" s="41">
        <f>Table432[[#This Row],[BALANCE]]-Table432[[#This Row],[RECIVED AMOUNT2]]</f>
        <v>6142.5</v>
      </c>
      <c r="W136" s="210"/>
      <c r="X136" s="210"/>
    </row>
    <row r="137" spans="1:24" s="16" customFormat="1" ht="19.95" customHeight="1">
      <c r="A137" s="2">
        <v>45381</v>
      </c>
      <c r="B137" s="3" t="s">
        <v>274</v>
      </c>
      <c r="C137" s="21" t="s">
        <v>116</v>
      </c>
      <c r="D137" s="3" t="s">
        <v>117</v>
      </c>
      <c r="E137" s="3" t="s">
        <v>59</v>
      </c>
      <c r="F137" s="4" t="s">
        <v>26</v>
      </c>
      <c r="G137" s="22">
        <v>998531</v>
      </c>
      <c r="H137" s="23">
        <v>0.18</v>
      </c>
      <c r="I137" s="9">
        <v>17300</v>
      </c>
      <c r="J137" s="9">
        <f t="shared" si="10"/>
        <v>1557</v>
      </c>
      <c r="K137" s="9">
        <f t="shared" si="11"/>
        <v>1557</v>
      </c>
      <c r="L137" s="41"/>
      <c r="M137" s="37">
        <f>Table432[[#This Row],[Taxable Amount]]+Table432[[#This Row],[SGST]]+Table432[[#This Row],[CGST]]</f>
        <v>20414</v>
      </c>
      <c r="N137" s="71">
        <f>Table432[[#This Row],[Taxable Amount]]*1%</f>
        <v>173</v>
      </c>
      <c r="O137" s="157">
        <v>0</v>
      </c>
      <c r="P137" s="148">
        <v>20241</v>
      </c>
      <c r="Q137" s="59">
        <v>45411</v>
      </c>
      <c r="R137" s="193" t="s">
        <v>148</v>
      </c>
      <c r="S137" s="138">
        <f>Table432[[#This Row],[Invoice Amount]]-Table432[[#This Row],[TDS]]-Table432[[#This Row],[RTN]]-Table432[[#This Row],[RECIVED AMOUNT]]</f>
        <v>0</v>
      </c>
      <c r="T137" s="55"/>
      <c r="U137" s="3"/>
      <c r="V137" s="41">
        <f>Table432[[#This Row],[BALANCE]]-Table432[[#This Row],[RECIVED AMOUNT2]]</f>
        <v>0</v>
      </c>
      <c r="W137" s="210"/>
      <c r="X137" s="210"/>
    </row>
    <row r="138" spans="1:24" s="16" customFormat="1" ht="19.95" customHeight="1">
      <c r="A138" s="2">
        <v>45381</v>
      </c>
      <c r="B138" s="3" t="s">
        <v>275</v>
      </c>
      <c r="C138" s="3" t="s">
        <v>96</v>
      </c>
      <c r="D138" s="3" t="s">
        <v>97</v>
      </c>
      <c r="E138" s="3" t="s">
        <v>89</v>
      </c>
      <c r="F138" s="4" t="s">
        <v>26</v>
      </c>
      <c r="G138" s="22">
        <v>998531</v>
      </c>
      <c r="H138" s="23">
        <v>0.18</v>
      </c>
      <c r="I138" s="9">
        <v>8280</v>
      </c>
      <c r="J138" s="9">
        <f t="shared" si="10"/>
        <v>745.2</v>
      </c>
      <c r="K138" s="9">
        <f t="shared" si="11"/>
        <v>745.2</v>
      </c>
      <c r="L138" s="41"/>
      <c r="M138" s="37">
        <f>Table432[[#This Row],[Taxable Amount]]+Table432[[#This Row],[SGST]]+Table432[[#This Row],[CGST]]</f>
        <v>9770.4000000000015</v>
      </c>
      <c r="N138" s="71">
        <f>Table432[[#This Row],[Taxable Amount]]*1%</f>
        <v>82.8</v>
      </c>
      <c r="O138" s="157">
        <v>0</v>
      </c>
      <c r="P138" s="147"/>
      <c r="Q138" s="53"/>
      <c r="R138" s="193" t="s">
        <v>148</v>
      </c>
      <c r="S138" s="138">
        <f>Table432[[#This Row],[Invoice Amount]]-Table432[[#This Row],[TDS]]-Table432[[#This Row],[RTN]]-Table432[[#This Row],[RECIVED AMOUNT]]</f>
        <v>9687.6000000000022</v>
      </c>
      <c r="T138" s="55"/>
      <c r="U138" s="3"/>
      <c r="V138" s="41">
        <f>Table432[[#This Row],[BALANCE]]-Table432[[#This Row],[RECIVED AMOUNT2]]</f>
        <v>9687.6000000000022</v>
      </c>
      <c r="W138" s="210"/>
      <c r="X138" s="210"/>
    </row>
    <row r="139" spans="1:24" s="16" customFormat="1" ht="19.95" customHeight="1">
      <c r="A139" s="2">
        <v>45381</v>
      </c>
      <c r="B139" s="3" t="s">
        <v>276</v>
      </c>
      <c r="C139" s="3" t="s">
        <v>955</v>
      </c>
      <c r="D139" s="3" t="s">
        <v>205</v>
      </c>
      <c r="E139" s="3" t="s">
        <v>59</v>
      </c>
      <c r="F139" s="4" t="s">
        <v>26</v>
      </c>
      <c r="G139" s="22">
        <v>998531</v>
      </c>
      <c r="H139" s="23">
        <v>0.18</v>
      </c>
      <c r="I139" s="9">
        <v>10000</v>
      </c>
      <c r="J139" s="9">
        <f t="shared" si="10"/>
        <v>900</v>
      </c>
      <c r="K139" s="9">
        <f t="shared" si="11"/>
        <v>900</v>
      </c>
      <c r="L139" s="41"/>
      <c r="M139" s="37">
        <f>Table432[[#This Row],[Taxable Amount]]+Table432[[#This Row],[SGST]]+Table432[[#This Row],[CGST]]</f>
        <v>11800</v>
      </c>
      <c r="N139" s="71">
        <v>0</v>
      </c>
      <c r="O139" s="157">
        <v>0</v>
      </c>
      <c r="P139" s="148">
        <v>10000</v>
      </c>
      <c r="Q139" s="58">
        <v>45432</v>
      </c>
      <c r="R139" s="190" t="s">
        <v>219</v>
      </c>
      <c r="S139" s="138">
        <f>Table432[[#This Row],[Invoice Amount]]-Table432[[#This Row],[TDS]]-Table432[[#This Row],[RTN]]-Table432[[#This Row],[RECIVED AMOUNT]]</f>
        <v>1800</v>
      </c>
      <c r="T139" s="55">
        <v>1800</v>
      </c>
      <c r="U139" s="74">
        <v>45454</v>
      </c>
      <c r="V139" s="41">
        <f>Table432[[#This Row],[BALANCE]]-Table432[[#This Row],[RECIVED AMOUNT2]]</f>
        <v>0</v>
      </c>
      <c r="W139" s="210"/>
      <c r="X139" s="210"/>
    </row>
    <row r="140" spans="1:24" s="16" customFormat="1" ht="19.95" customHeight="1">
      <c r="A140" s="2">
        <v>45382</v>
      </c>
      <c r="B140" s="3" t="s">
        <v>277</v>
      </c>
      <c r="C140" s="3" t="s">
        <v>42</v>
      </c>
      <c r="D140" s="3" t="s">
        <v>43</v>
      </c>
      <c r="E140" s="3" t="s">
        <v>44</v>
      </c>
      <c r="F140" s="4" t="s">
        <v>45</v>
      </c>
      <c r="G140" s="22">
        <v>998531</v>
      </c>
      <c r="H140" s="23">
        <v>0.18</v>
      </c>
      <c r="I140" s="9">
        <v>36869</v>
      </c>
      <c r="J140" s="9">
        <f t="shared" si="10"/>
        <v>3318.21</v>
      </c>
      <c r="K140" s="9">
        <f t="shared" si="11"/>
        <v>3318.21</v>
      </c>
      <c r="L140" s="41"/>
      <c r="M140" s="37">
        <f>Table432[[#This Row],[Taxable Amount]]+Table432[[#This Row],[SGST]]+Table432[[#This Row],[CGST]]</f>
        <v>43505.42</v>
      </c>
      <c r="N140" s="71">
        <f>Table432[[#This Row],[Taxable Amount]]*1%</f>
        <v>368.69</v>
      </c>
      <c r="O140" s="157">
        <v>922</v>
      </c>
      <c r="P140" s="145">
        <v>61850</v>
      </c>
      <c r="Q140" s="65">
        <v>45099</v>
      </c>
      <c r="R140" s="193" t="s">
        <v>148</v>
      </c>
      <c r="S140" s="138">
        <f>Table432[[#This Row],[Invoice Amount]]-Table432[[#This Row],[TDS]]-Table432[[#This Row],[RTN]]-Table432[[#This Row],[RECIVED AMOUNT]]</f>
        <v>-19635.270000000004</v>
      </c>
      <c r="T140" s="55"/>
      <c r="U140" s="3"/>
      <c r="V140" s="41">
        <f>Table432[[#This Row],[BALANCE]]-Table432[[#This Row],[RECIVED AMOUNT2]]</f>
        <v>-19635.270000000004</v>
      </c>
      <c r="W140" s="210"/>
      <c r="X140" s="210"/>
    </row>
    <row r="141" spans="1:24" s="16" customFormat="1" ht="19.95" customHeight="1">
      <c r="A141" s="2">
        <v>45382</v>
      </c>
      <c r="B141" s="3" t="s">
        <v>278</v>
      </c>
      <c r="C141" s="3" t="s">
        <v>23</v>
      </c>
      <c r="D141" s="3" t="s">
        <v>24</v>
      </c>
      <c r="E141" s="3" t="s">
        <v>25</v>
      </c>
      <c r="F141" s="4" t="s">
        <v>26</v>
      </c>
      <c r="G141" s="22">
        <v>998531</v>
      </c>
      <c r="H141" s="23">
        <v>0.18</v>
      </c>
      <c r="I141" s="9">
        <v>10500</v>
      </c>
      <c r="J141" s="9">
        <f t="shared" si="10"/>
        <v>945</v>
      </c>
      <c r="K141" s="9">
        <f t="shared" si="11"/>
        <v>945</v>
      </c>
      <c r="L141" s="41"/>
      <c r="M141" s="37">
        <f>Table432[[#This Row],[Taxable Amount]]+Table432[[#This Row],[SGST]]+Table432[[#This Row],[CGST]]</f>
        <v>12390</v>
      </c>
      <c r="N141" s="71">
        <f>Table432[[#This Row],[Taxable Amount]]*1%</f>
        <v>105</v>
      </c>
      <c r="O141" s="175">
        <v>0</v>
      </c>
      <c r="P141" s="57">
        <v>8599</v>
      </c>
      <c r="Q141" s="66">
        <v>45374</v>
      </c>
      <c r="R141" s="193" t="s">
        <v>148</v>
      </c>
      <c r="S141" s="138">
        <f>Table432[[#This Row],[Invoice Amount]]-Table432[[#This Row],[TDS]]-Table432[[#This Row],[RTN]]-Table432[[#This Row],[RECIVED AMOUNT]]</f>
        <v>3686</v>
      </c>
      <c r="T141" s="55"/>
      <c r="U141" s="3"/>
      <c r="V141" s="41">
        <f>Table432[[#This Row],[BALANCE]]-Table432[[#This Row],[RECIVED AMOUNT2]]</f>
        <v>3686</v>
      </c>
      <c r="W141" s="210"/>
      <c r="X141" s="210"/>
    </row>
    <row r="142" spans="1:24" s="10" customFormat="1" ht="19.95" customHeight="1">
      <c r="A142" s="92">
        <v>45404</v>
      </c>
      <c r="B142" s="7" t="s">
        <v>279</v>
      </c>
      <c r="C142" s="7" t="s">
        <v>157</v>
      </c>
      <c r="D142" s="7" t="s">
        <v>158</v>
      </c>
      <c r="E142" s="7" t="s">
        <v>59</v>
      </c>
      <c r="F142" s="5" t="s">
        <v>26</v>
      </c>
      <c r="G142" s="85">
        <v>998531</v>
      </c>
      <c r="H142" s="221">
        <v>0.18</v>
      </c>
      <c r="I142" s="69">
        <v>7800</v>
      </c>
      <c r="J142" s="69">
        <f t="shared" si="10"/>
        <v>702</v>
      </c>
      <c r="K142" s="69">
        <f t="shared" si="11"/>
        <v>702</v>
      </c>
      <c r="L142" s="70"/>
      <c r="M142" s="94">
        <f>Table432[[#This Row],[Taxable Amount]]+Table432[[#This Row],[SGST]]+Table432[[#This Row],[CGST]]</f>
        <v>9204</v>
      </c>
      <c r="N142" s="155">
        <f>Table432[[#This Row],[Taxable Amount]]*1%</f>
        <v>78</v>
      </c>
      <c r="O142" s="158">
        <v>0</v>
      </c>
      <c r="P142" s="102"/>
      <c r="Q142" s="363">
        <v>45751</v>
      </c>
      <c r="R142" s="199" t="s">
        <v>148</v>
      </c>
      <c r="S142" s="93">
        <f>Table432[[#This Row],[Invoice Amount]]-Table432[[#This Row],[TDS]]-Table432[[#This Row],[RTN]]-Table432[[#This Row],[RECIVED AMOUNT]]</f>
        <v>9126</v>
      </c>
      <c r="T142" s="99"/>
      <c r="U142" s="7"/>
      <c r="V142" s="70">
        <f>Table432[[#This Row],[BALANCE]]-Table432[[#This Row],[RECIVED AMOUNT2]]</f>
        <v>9126</v>
      </c>
      <c r="W142" s="211"/>
      <c r="X142" s="211"/>
    </row>
    <row r="143" spans="1:24" ht="19.95" customHeight="1">
      <c r="A143" s="68">
        <v>45404</v>
      </c>
      <c r="B143" s="3" t="s">
        <v>280</v>
      </c>
      <c r="C143" s="3" t="s">
        <v>258</v>
      </c>
      <c r="D143" s="3" t="s">
        <v>259</v>
      </c>
      <c r="E143" s="3" t="s">
        <v>260</v>
      </c>
      <c r="F143" s="4" t="s">
        <v>26</v>
      </c>
      <c r="G143" s="22">
        <v>998531</v>
      </c>
      <c r="H143" s="23">
        <v>0.18</v>
      </c>
      <c r="I143" s="9">
        <v>18525</v>
      </c>
      <c r="J143" s="9">
        <f t="shared" si="10"/>
        <v>1667.25</v>
      </c>
      <c r="K143" s="9">
        <f t="shared" si="11"/>
        <v>1667.25</v>
      </c>
      <c r="L143" s="41"/>
      <c r="M143" s="37">
        <f>Table432[[#This Row],[Taxable Amount]]+Table432[[#This Row],[SGST]]+Table432[[#This Row],[CGST]]</f>
        <v>21859.5</v>
      </c>
      <c r="N143" s="71">
        <f>Table432[[#This Row],[Taxable Amount]]*1%</f>
        <v>185.25</v>
      </c>
      <c r="O143" s="157">
        <v>0</v>
      </c>
      <c r="P143" s="148">
        <v>21674</v>
      </c>
      <c r="Q143" s="59">
        <v>45491</v>
      </c>
      <c r="R143" s="193" t="s">
        <v>148</v>
      </c>
      <c r="S143" s="138">
        <f>Table432[[#This Row],[Invoice Amount]]-Table432[[#This Row],[TDS]]-Table432[[#This Row],[RTN]]-Table432[[#This Row],[RECIVED AMOUNT]]</f>
        <v>0.25</v>
      </c>
      <c r="T143" s="55"/>
      <c r="U143" s="3"/>
      <c r="V143" s="41">
        <f>Table432[[#This Row],[BALANCE]]-Table432[[#This Row],[RECIVED AMOUNT2]]</f>
        <v>0.25</v>
      </c>
      <c r="W143" s="50"/>
      <c r="X143" s="50"/>
    </row>
    <row r="144" spans="1:24" ht="19.95" customHeight="1">
      <c r="A144" s="68">
        <v>45412</v>
      </c>
      <c r="B144" s="3" t="s">
        <v>281</v>
      </c>
      <c r="C144" s="3" t="s">
        <v>42</v>
      </c>
      <c r="D144" s="3" t="s">
        <v>43</v>
      </c>
      <c r="E144" s="3" t="s">
        <v>44</v>
      </c>
      <c r="F144" s="4" t="s">
        <v>45</v>
      </c>
      <c r="G144" s="22">
        <v>998531</v>
      </c>
      <c r="H144" s="23">
        <v>0.18</v>
      </c>
      <c r="I144" s="9">
        <v>22672</v>
      </c>
      <c r="J144" s="9">
        <f t="shared" si="10"/>
        <v>2040.48</v>
      </c>
      <c r="K144" s="9">
        <f t="shared" si="11"/>
        <v>2040.48</v>
      </c>
      <c r="L144" s="41"/>
      <c r="M144" s="37">
        <f>Table432[[#This Row],[Taxable Amount]]+Table432[[#This Row],[SGST]]+Table432[[#This Row],[CGST]]</f>
        <v>26752.959999999999</v>
      </c>
      <c r="N144" s="71">
        <f>Table432[[#This Row],[Taxable Amount]]*1%</f>
        <v>226.72</v>
      </c>
      <c r="O144" s="157">
        <v>668</v>
      </c>
      <c r="P144" s="145">
        <v>44884</v>
      </c>
      <c r="Q144" s="65">
        <v>45182</v>
      </c>
      <c r="R144" s="193" t="s">
        <v>148</v>
      </c>
      <c r="S144" s="138">
        <f>Table432[[#This Row],[Invoice Amount]]-Table432[[#This Row],[TDS]]-Table432[[#This Row],[RTN]]-Table432[[#This Row],[RECIVED AMOUNT]]</f>
        <v>-19025.760000000002</v>
      </c>
      <c r="T144" s="55"/>
      <c r="U144" s="3"/>
      <c r="V144" s="41">
        <f>Table432[[#This Row],[BALANCE]]-Table432[[#This Row],[RECIVED AMOUNT2]]</f>
        <v>-19025.760000000002</v>
      </c>
      <c r="W144" s="50"/>
      <c r="X144" s="50"/>
    </row>
    <row r="145" spans="1:24" ht="19.95" customHeight="1">
      <c r="A145" s="68">
        <v>45412</v>
      </c>
      <c r="B145" s="3" t="s">
        <v>282</v>
      </c>
      <c r="C145" s="3" t="s">
        <v>42</v>
      </c>
      <c r="D145" s="3" t="s">
        <v>43</v>
      </c>
      <c r="E145" s="3" t="s">
        <v>163</v>
      </c>
      <c r="F145" s="4" t="s">
        <v>26</v>
      </c>
      <c r="G145" s="22">
        <v>998531</v>
      </c>
      <c r="H145" s="23">
        <v>0.18</v>
      </c>
      <c r="I145" s="9">
        <v>9300</v>
      </c>
      <c r="J145" s="9">
        <f t="shared" si="10"/>
        <v>837</v>
      </c>
      <c r="K145" s="9">
        <f t="shared" si="11"/>
        <v>837</v>
      </c>
      <c r="L145" s="41"/>
      <c r="M145" s="37">
        <f>Table432[[#This Row],[Taxable Amount]]+Table432[[#This Row],[SGST]]+Table432[[#This Row],[CGST]]</f>
        <v>10974</v>
      </c>
      <c r="N145" s="71">
        <f>Table432[[#This Row],[Taxable Amount]]*1%</f>
        <v>93</v>
      </c>
      <c r="O145" s="150">
        <v>233</v>
      </c>
      <c r="P145" s="148">
        <v>8587</v>
      </c>
      <c r="Q145" s="59">
        <v>45626</v>
      </c>
      <c r="R145" s="193" t="s">
        <v>148</v>
      </c>
      <c r="S145" s="138">
        <f>Table432[[#This Row],[Invoice Amount]]-Table432[[#This Row],[TDS]]-Table432[[#This Row],[RTN]]-Table432[[#This Row],[RECIVED AMOUNT]]</f>
        <v>2061</v>
      </c>
      <c r="T145" s="55"/>
      <c r="U145" s="3"/>
      <c r="V145" s="41">
        <f>Table432[[#This Row],[BALANCE]]-Table432[[#This Row],[RECIVED AMOUNT2]]</f>
        <v>2061</v>
      </c>
      <c r="W145" s="50"/>
      <c r="X145" s="50"/>
    </row>
    <row r="146" spans="1:24" ht="19.95" customHeight="1">
      <c r="A146" s="68">
        <v>45412</v>
      </c>
      <c r="B146" s="3" t="s">
        <v>283</v>
      </c>
      <c r="C146" s="3" t="s">
        <v>42</v>
      </c>
      <c r="D146" s="3" t="s">
        <v>43</v>
      </c>
      <c r="E146" s="3" t="s">
        <v>101</v>
      </c>
      <c r="F146" s="4" t="s">
        <v>26</v>
      </c>
      <c r="G146" s="22">
        <v>998531</v>
      </c>
      <c r="H146" s="23">
        <v>0.18</v>
      </c>
      <c r="I146" s="9">
        <v>6000</v>
      </c>
      <c r="J146" s="9">
        <f t="shared" si="10"/>
        <v>540</v>
      </c>
      <c r="K146" s="9">
        <f t="shared" si="11"/>
        <v>540</v>
      </c>
      <c r="L146" s="41"/>
      <c r="M146" s="37">
        <f>Table432[[#This Row],[Taxable Amount]]+Table432[[#This Row],[SGST]]+Table432[[#This Row],[CGST]]</f>
        <v>7080</v>
      </c>
      <c r="N146" s="71">
        <f>Table432[[#This Row],[Taxable Amount]]*1%</f>
        <v>60</v>
      </c>
      <c r="O146" s="150">
        <v>0</v>
      </c>
      <c r="P146" s="57"/>
      <c r="Q146" s="57"/>
      <c r="R146" s="193" t="s">
        <v>148</v>
      </c>
      <c r="S146" s="138">
        <f>Table432[[#This Row],[Invoice Amount]]-Table432[[#This Row],[TDS]]-Table432[[#This Row],[RTN]]-Table432[[#This Row],[RECIVED AMOUNT]]</f>
        <v>7020</v>
      </c>
      <c r="T146" s="55"/>
      <c r="U146" s="3"/>
      <c r="V146" s="41">
        <f>Table432[[#This Row],[BALANCE]]-Table432[[#This Row],[RECIVED AMOUNT2]]</f>
        <v>7020</v>
      </c>
      <c r="W146" s="50"/>
      <c r="X146" s="50"/>
    </row>
    <row r="147" spans="1:24" ht="19.95" customHeight="1">
      <c r="A147" s="68">
        <v>45412</v>
      </c>
      <c r="B147" s="3" t="s">
        <v>284</v>
      </c>
      <c r="C147" s="21" t="s">
        <v>116</v>
      </c>
      <c r="D147" s="3" t="s">
        <v>117</v>
      </c>
      <c r="E147" s="3" t="s">
        <v>59</v>
      </c>
      <c r="F147" s="4" t="s">
        <v>26</v>
      </c>
      <c r="G147" s="22">
        <v>998531</v>
      </c>
      <c r="H147" s="23">
        <v>0.18</v>
      </c>
      <c r="I147" s="9">
        <v>17300</v>
      </c>
      <c r="J147" s="9">
        <f t="shared" si="10"/>
        <v>1557</v>
      </c>
      <c r="K147" s="9">
        <f t="shared" si="11"/>
        <v>1557</v>
      </c>
      <c r="L147" s="41"/>
      <c r="M147" s="37">
        <f>Table432[[#This Row],[Taxable Amount]]+Table432[[#This Row],[SGST]]+Table432[[#This Row],[CGST]]</f>
        <v>20414</v>
      </c>
      <c r="N147" s="71">
        <f>Table432[[#This Row],[Taxable Amount]]*1%</f>
        <v>173</v>
      </c>
      <c r="O147" s="157">
        <v>0</v>
      </c>
      <c r="P147" s="148">
        <v>20241</v>
      </c>
      <c r="Q147" s="57" t="s">
        <v>285</v>
      </c>
      <c r="R147" s="193" t="s">
        <v>148</v>
      </c>
      <c r="S147" s="138">
        <f>Table432[[#This Row],[Invoice Amount]]-Table432[[#This Row],[TDS]]-Table432[[#This Row],[RTN]]-Table432[[#This Row],[RECIVED AMOUNT]]</f>
        <v>0</v>
      </c>
      <c r="T147" s="55"/>
      <c r="U147" s="3"/>
      <c r="V147" s="41">
        <f>Table432[[#This Row],[BALANCE]]-Table432[[#This Row],[RECIVED AMOUNT2]]</f>
        <v>0</v>
      </c>
      <c r="W147" s="50"/>
      <c r="X147" s="50"/>
    </row>
    <row r="148" spans="1:24" ht="19.95" customHeight="1">
      <c r="A148" s="68">
        <v>45412</v>
      </c>
      <c r="B148" s="3" t="s">
        <v>286</v>
      </c>
      <c r="C148" s="3" t="s">
        <v>23</v>
      </c>
      <c r="D148" s="3" t="s">
        <v>24</v>
      </c>
      <c r="E148" s="3" t="s">
        <v>25</v>
      </c>
      <c r="F148" s="4" t="s">
        <v>26</v>
      </c>
      <c r="G148" s="22">
        <v>998531</v>
      </c>
      <c r="H148" s="23">
        <v>0.18</v>
      </c>
      <c r="I148" s="9">
        <v>7875</v>
      </c>
      <c r="J148" s="9">
        <f t="shared" si="10"/>
        <v>708.75</v>
      </c>
      <c r="K148" s="9">
        <f t="shared" si="11"/>
        <v>708.75</v>
      </c>
      <c r="L148" s="41"/>
      <c r="M148" s="37">
        <f>Table432[[#This Row],[Taxable Amount]]+Table432[[#This Row],[SGST]]+Table432[[#This Row],[CGST]]</f>
        <v>9292.5</v>
      </c>
      <c r="N148" s="71">
        <f>Table432[[#This Row],[Taxable Amount]]*1%</f>
        <v>78.75</v>
      </c>
      <c r="O148" s="175">
        <v>0</v>
      </c>
      <c r="P148" s="57">
        <v>5000</v>
      </c>
      <c r="Q148" s="66">
        <v>45441</v>
      </c>
      <c r="R148" s="193" t="s">
        <v>148</v>
      </c>
      <c r="S148" s="138">
        <f>Table432[[#This Row],[Invoice Amount]]-Table432[[#This Row],[TDS]]-Table432[[#This Row],[RTN]]-Table432[[#This Row],[RECIVED AMOUNT]]</f>
        <v>4213.75</v>
      </c>
      <c r="T148" s="55"/>
      <c r="U148" s="3"/>
      <c r="V148" s="41">
        <f>Table432[[#This Row],[BALANCE]]-Table432[[#This Row],[RECIVED AMOUNT2]]</f>
        <v>4213.75</v>
      </c>
      <c r="W148" s="50"/>
      <c r="X148" s="50"/>
    </row>
    <row r="149" spans="1:24" s="10" customFormat="1" ht="19.95" customHeight="1">
      <c r="A149" s="86">
        <v>45412</v>
      </c>
      <c r="B149" s="7" t="s">
        <v>287</v>
      </c>
      <c r="C149" s="7" t="s">
        <v>157</v>
      </c>
      <c r="D149" s="7" t="s">
        <v>158</v>
      </c>
      <c r="E149" s="7" t="s">
        <v>59</v>
      </c>
      <c r="F149" s="5" t="s">
        <v>26</v>
      </c>
      <c r="G149" s="85">
        <v>998531</v>
      </c>
      <c r="H149" s="221">
        <v>0.18</v>
      </c>
      <c r="I149" s="69">
        <v>8280</v>
      </c>
      <c r="J149" s="69">
        <f t="shared" si="10"/>
        <v>745.2</v>
      </c>
      <c r="K149" s="69">
        <f t="shared" si="11"/>
        <v>745.2</v>
      </c>
      <c r="L149" s="70"/>
      <c r="M149" s="94">
        <f>Table432[[#This Row],[Taxable Amount]]+Table432[[#This Row],[SGST]]+Table432[[#This Row],[CGST]]</f>
        <v>9770.4000000000015</v>
      </c>
      <c r="N149" s="155">
        <f>Table432[[#This Row],[Taxable Amount]]*1%</f>
        <v>82.8</v>
      </c>
      <c r="O149" s="158">
        <v>0</v>
      </c>
      <c r="P149" s="156">
        <v>1318</v>
      </c>
      <c r="Q149" s="363">
        <v>45751</v>
      </c>
      <c r="R149" s="199" t="s">
        <v>148</v>
      </c>
      <c r="S149" s="93">
        <f>Table432[[#This Row],[Invoice Amount]]-Table432[[#This Row],[TDS]]-Table432[[#This Row],[RTN]]-Table432[[#This Row],[RECIVED AMOUNT]]</f>
        <v>8369.6000000000022</v>
      </c>
      <c r="T149" s="99"/>
      <c r="U149" s="7"/>
      <c r="V149" s="70">
        <f>Table432[[#This Row],[BALANCE]]-Table432[[#This Row],[RECIVED AMOUNT2]]</f>
        <v>8369.6000000000022</v>
      </c>
      <c r="W149" s="211"/>
      <c r="X149" s="211"/>
    </row>
    <row r="150" spans="1:24" ht="19.95" customHeight="1">
      <c r="A150" s="68">
        <v>45412</v>
      </c>
      <c r="B150" s="3" t="s">
        <v>288</v>
      </c>
      <c r="C150" s="3" t="s">
        <v>955</v>
      </c>
      <c r="D150" s="3" t="s">
        <v>205</v>
      </c>
      <c r="E150" s="3" t="s">
        <v>59</v>
      </c>
      <c r="F150" s="4" t="s">
        <v>26</v>
      </c>
      <c r="G150" s="22">
        <v>998531</v>
      </c>
      <c r="H150" s="23">
        <v>0.18</v>
      </c>
      <c r="I150" s="9">
        <v>10000</v>
      </c>
      <c r="J150" s="9">
        <f t="shared" si="10"/>
        <v>900</v>
      </c>
      <c r="K150" s="9">
        <f t="shared" si="11"/>
        <v>900</v>
      </c>
      <c r="L150" s="41"/>
      <c r="M150" s="37">
        <f>Table432[[#This Row],[Taxable Amount]]+Table432[[#This Row],[SGST]]+Table432[[#This Row],[CGST]]</f>
        <v>11800</v>
      </c>
      <c r="N150" s="71">
        <v>0</v>
      </c>
      <c r="O150" s="157">
        <v>0</v>
      </c>
      <c r="P150" s="148">
        <v>11800</v>
      </c>
      <c r="Q150" s="58">
        <v>45457</v>
      </c>
      <c r="R150" s="113"/>
      <c r="S150" s="138">
        <f>Table432[[#This Row],[Invoice Amount]]-Table432[[#This Row],[TDS]]-Table432[[#This Row],[RTN]]-Table432[[#This Row],[RECIVED AMOUNT]]</f>
        <v>0</v>
      </c>
      <c r="T150" s="55"/>
      <c r="U150" s="3"/>
      <c r="V150" s="41">
        <f>Table432[[#This Row],[BALANCE]]-Table432[[#This Row],[RECIVED AMOUNT2]]</f>
        <v>0</v>
      </c>
      <c r="W150" s="50"/>
      <c r="X150" s="50"/>
    </row>
    <row r="151" spans="1:24" ht="19.95" customHeight="1">
      <c r="A151" s="68">
        <v>45412</v>
      </c>
      <c r="B151" s="3" t="s">
        <v>289</v>
      </c>
      <c r="C151" s="3" t="s">
        <v>290</v>
      </c>
      <c r="D151" s="3" t="s">
        <v>291</v>
      </c>
      <c r="E151" s="3" t="s">
        <v>25</v>
      </c>
      <c r="F151" s="4" t="s">
        <v>26</v>
      </c>
      <c r="G151" s="22">
        <v>998531</v>
      </c>
      <c r="H151" s="23">
        <v>0.18</v>
      </c>
      <c r="I151" s="9">
        <v>4500</v>
      </c>
      <c r="J151" s="9">
        <f t="shared" si="10"/>
        <v>405</v>
      </c>
      <c r="K151" s="9">
        <f t="shared" si="11"/>
        <v>405</v>
      </c>
      <c r="L151" s="41"/>
      <c r="M151" s="37">
        <f>Table432[[#This Row],[Taxable Amount]]+Table432[[#This Row],[SGST]]+Table432[[#This Row],[CGST]]</f>
        <v>5310</v>
      </c>
      <c r="N151" s="71">
        <v>0</v>
      </c>
      <c r="O151" s="157">
        <v>0</v>
      </c>
      <c r="P151" s="148">
        <v>5310</v>
      </c>
      <c r="Q151" s="59">
        <v>45422</v>
      </c>
      <c r="R151" s="193" t="s">
        <v>238</v>
      </c>
      <c r="S151" s="138">
        <f>Table432[[#This Row],[Invoice Amount]]-Table432[[#This Row],[TDS]]-Table432[[#This Row],[RTN]]-Table432[[#This Row],[RECIVED AMOUNT]]</f>
        <v>0</v>
      </c>
      <c r="T151" s="55"/>
      <c r="U151" s="3"/>
      <c r="V151" s="41">
        <f>Table432[[#This Row],[BALANCE]]-Table432[[#This Row],[RECIVED AMOUNT2]]</f>
        <v>0</v>
      </c>
      <c r="W151" s="50"/>
      <c r="X151" s="50"/>
    </row>
    <row r="152" spans="1:24" ht="19.95" customHeight="1">
      <c r="A152" s="68">
        <v>45413</v>
      </c>
      <c r="B152" s="3" t="s">
        <v>292</v>
      </c>
      <c r="C152" s="3" t="s">
        <v>293</v>
      </c>
      <c r="D152" s="3" t="s">
        <v>294</v>
      </c>
      <c r="E152" s="3" t="s">
        <v>295</v>
      </c>
      <c r="F152" s="4" t="s">
        <v>26</v>
      </c>
      <c r="G152" s="22">
        <v>998531</v>
      </c>
      <c r="H152" s="23">
        <v>0.18</v>
      </c>
      <c r="I152" s="9">
        <v>6000</v>
      </c>
      <c r="J152" s="9">
        <f t="shared" si="10"/>
        <v>540</v>
      </c>
      <c r="K152" s="9">
        <f t="shared" si="11"/>
        <v>540</v>
      </c>
      <c r="L152" s="41"/>
      <c r="M152" s="37">
        <f>Table432[[#This Row],[Taxable Amount]]+Table432[[#This Row],[SGST]]+Table432[[#This Row],[CGST]]</f>
        <v>7080</v>
      </c>
      <c r="N152" s="71">
        <f>Table432[[#This Row],[Taxable Amount]]*1%</f>
        <v>60</v>
      </c>
      <c r="O152" s="144">
        <v>0</v>
      </c>
      <c r="P152" s="148">
        <v>7080</v>
      </c>
      <c r="Q152" s="59">
        <v>45440</v>
      </c>
      <c r="R152" s="193" t="s">
        <v>238</v>
      </c>
      <c r="S152" s="138">
        <f>Table432[[#This Row],[Invoice Amount]]-Table432[[#This Row],[TDS]]-Table432[[#This Row],[RTN]]-Table432[[#This Row],[RECIVED AMOUNT]]</f>
        <v>-60</v>
      </c>
      <c r="T152" s="55"/>
      <c r="U152" s="3"/>
      <c r="V152" s="41">
        <f>Table432[[#This Row],[BALANCE]]-Table432[[#This Row],[RECIVED AMOUNT2]]</f>
        <v>-60</v>
      </c>
      <c r="W152" s="50"/>
      <c r="X152" s="50"/>
    </row>
    <row r="153" spans="1:24" ht="19.95" customHeight="1">
      <c r="A153" s="68">
        <v>45416</v>
      </c>
      <c r="B153" s="3" t="s">
        <v>296</v>
      </c>
      <c r="C153" s="3" t="s">
        <v>34</v>
      </c>
      <c r="D153" s="3" t="s">
        <v>110</v>
      </c>
      <c r="E153" s="3" t="s">
        <v>36</v>
      </c>
      <c r="F153" s="4" t="s">
        <v>37</v>
      </c>
      <c r="G153" s="22">
        <v>998531</v>
      </c>
      <c r="H153" s="23">
        <v>0.18</v>
      </c>
      <c r="I153" s="9">
        <v>10680</v>
      </c>
      <c r="J153" s="9">
        <f t="shared" si="10"/>
        <v>961.2</v>
      </c>
      <c r="K153" s="9">
        <f t="shared" si="11"/>
        <v>961.2</v>
      </c>
      <c r="L153" s="41"/>
      <c r="M153" s="37">
        <f>Table432[[#This Row],[Taxable Amount]]+Table432[[#This Row],[SGST]]+Table432[[#This Row],[CGST]]</f>
        <v>12602.400000000001</v>
      </c>
      <c r="N153" s="71"/>
      <c r="O153" s="151">
        <v>0</v>
      </c>
      <c r="P153" s="57">
        <v>12602.4</v>
      </c>
      <c r="Q153" s="58">
        <v>45428</v>
      </c>
      <c r="R153" s="193" t="s">
        <v>148</v>
      </c>
      <c r="S153" s="138">
        <f>Table432[[#This Row],[Invoice Amount]]-Table432[[#This Row],[TDS]]-Table432[[#This Row],[RTN]]-Table432[[#This Row],[RECIVED AMOUNT]]</f>
        <v>0</v>
      </c>
      <c r="T153" s="55"/>
      <c r="U153" s="3"/>
      <c r="V153" s="41">
        <f>Table432[[#This Row],[BALANCE]]-Table432[[#This Row],[RECIVED AMOUNT2]]</f>
        <v>0</v>
      </c>
      <c r="W153" s="50"/>
      <c r="X153" s="50"/>
    </row>
    <row r="154" spans="1:24" ht="19.95" customHeight="1">
      <c r="A154" s="68">
        <v>45416</v>
      </c>
      <c r="B154" s="3" t="s">
        <v>297</v>
      </c>
      <c r="C154" s="3" t="s">
        <v>298</v>
      </c>
      <c r="D154" s="3" t="s">
        <v>299</v>
      </c>
      <c r="E154" s="3" t="s">
        <v>236</v>
      </c>
      <c r="F154" s="4" t="s">
        <v>26</v>
      </c>
      <c r="G154" s="22">
        <v>998531</v>
      </c>
      <c r="H154" s="23">
        <v>0.18</v>
      </c>
      <c r="I154" s="9">
        <v>15000</v>
      </c>
      <c r="J154" s="9">
        <f t="shared" si="10"/>
        <v>1350</v>
      </c>
      <c r="K154" s="9">
        <f t="shared" si="11"/>
        <v>1350</v>
      </c>
      <c r="L154" s="41"/>
      <c r="M154" s="37">
        <f>Table432[[#This Row],[Taxable Amount]]+Table432[[#This Row],[SGST]]+Table432[[#This Row],[CGST]]</f>
        <v>17700</v>
      </c>
      <c r="N154" s="71">
        <f>Table432[[#This Row],[Taxable Amount]]*1%</f>
        <v>150</v>
      </c>
      <c r="O154" s="178">
        <v>0</v>
      </c>
      <c r="P154" s="148">
        <v>17550</v>
      </c>
      <c r="Q154" s="59">
        <v>45215</v>
      </c>
      <c r="R154" s="193" t="s">
        <v>148</v>
      </c>
      <c r="S154" s="138">
        <f>Table432[[#This Row],[Invoice Amount]]-Table432[[#This Row],[TDS]]-Table432[[#This Row],[RTN]]-Table432[[#This Row],[RECIVED AMOUNT]]</f>
        <v>0</v>
      </c>
      <c r="T154" s="55"/>
      <c r="U154" s="3"/>
      <c r="V154" s="41">
        <f>Table432[[#This Row],[BALANCE]]-Table432[[#This Row],[RECIVED AMOUNT2]]</f>
        <v>0</v>
      </c>
      <c r="W154" s="50"/>
      <c r="X154" s="50"/>
    </row>
    <row r="155" spans="1:24" ht="19.95" customHeight="1">
      <c r="A155" s="68">
        <v>45422</v>
      </c>
      <c r="B155" s="3" t="s">
        <v>300</v>
      </c>
      <c r="C155" s="3" t="s">
        <v>301</v>
      </c>
      <c r="D155" s="3" t="s">
        <v>302</v>
      </c>
      <c r="E155" s="3" t="s">
        <v>303</v>
      </c>
      <c r="F155" s="4" t="s">
        <v>37</v>
      </c>
      <c r="G155" s="22">
        <v>998531</v>
      </c>
      <c r="H155" s="23">
        <v>0.18</v>
      </c>
      <c r="I155" s="9">
        <v>18700</v>
      </c>
      <c r="J155" s="9">
        <f t="shared" si="10"/>
        <v>1683</v>
      </c>
      <c r="K155" s="9">
        <f t="shared" si="11"/>
        <v>1683</v>
      </c>
      <c r="L155" s="41"/>
      <c r="M155" s="37">
        <f>Table432[[#This Row],[Taxable Amount]]+Table432[[#This Row],[SGST]]+Table432[[#This Row],[CGST]]</f>
        <v>22066</v>
      </c>
      <c r="N155" s="71"/>
      <c r="O155" s="150">
        <v>0</v>
      </c>
      <c r="P155" s="148">
        <v>22066</v>
      </c>
      <c r="Q155" s="59">
        <v>45215</v>
      </c>
      <c r="R155" s="193" t="s">
        <v>238</v>
      </c>
      <c r="S155" s="138">
        <f>Table432[[#This Row],[Invoice Amount]]-Table432[[#This Row],[TDS]]-Table432[[#This Row],[RTN]]-Table432[[#This Row],[RECIVED AMOUNT]]</f>
        <v>0</v>
      </c>
      <c r="T155" s="55"/>
      <c r="U155" s="3"/>
      <c r="V155" s="41">
        <f>Table432[[#This Row],[BALANCE]]-Table432[[#This Row],[RECIVED AMOUNT2]]</f>
        <v>0</v>
      </c>
      <c r="W155" s="50"/>
      <c r="X155" s="50"/>
    </row>
    <row r="156" spans="1:24" s="13" customFormat="1" ht="19.95" customHeight="1">
      <c r="A156" s="78">
        <v>45430</v>
      </c>
      <c r="B156" s="31" t="s">
        <v>304</v>
      </c>
      <c r="C156" s="31" t="s">
        <v>87</v>
      </c>
      <c r="D156" s="31" t="s">
        <v>88</v>
      </c>
      <c r="E156" s="31" t="s">
        <v>89</v>
      </c>
      <c r="F156" s="33" t="s">
        <v>26</v>
      </c>
      <c r="G156" s="34">
        <v>998531</v>
      </c>
      <c r="H156" s="23">
        <v>0.18</v>
      </c>
      <c r="I156" s="42">
        <v>18700</v>
      </c>
      <c r="J156" s="42">
        <f t="shared" si="10"/>
        <v>1683</v>
      </c>
      <c r="K156" s="42">
        <f t="shared" si="11"/>
        <v>1683</v>
      </c>
      <c r="L156" s="43"/>
      <c r="M156" s="44">
        <f>Table432[[#This Row],[Taxable Amount]]+Table432[[#This Row],[SGST]]+Table432[[#This Row],[CGST]]</f>
        <v>22066</v>
      </c>
      <c r="N156" s="142"/>
      <c r="O156" s="152">
        <v>0</v>
      </c>
      <c r="P156" s="154"/>
      <c r="Q156" s="73"/>
      <c r="R156" s="198" t="s">
        <v>243</v>
      </c>
      <c r="S156" s="138">
        <f>Table432[[#This Row],[Invoice Amount]]-Table432[[#This Row],[TDS]]-Table432[[#This Row],[RTN]]-Table432[[#This Row],[RECIVED AMOUNT]]</f>
        <v>22066</v>
      </c>
      <c r="T156" s="63"/>
      <c r="U156" s="31"/>
      <c r="V156" s="41">
        <f>Table432[[#This Row],[BALANCE]]-Table432[[#This Row],[RECIVED AMOUNT2]]</f>
        <v>22066</v>
      </c>
      <c r="W156" s="208"/>
      <c r="X156" s="208"/>
    </row>
    <row r="157" spans="1:24" ht="19.95" customHeight="1">
      <c r="A157" s="68">
        <v>45434</v>
      </c>
      <c r="B157" s="3" t="s">
        <v>305</v>
      </c>
      <c r="C157" s="3" t="s">
        <v>258</v>
      </c>
      <c r="D157" s="3" t="s">
        <v>259</v>
      </c>
      <c r="E157" s="3" t="s">
        <v>260</v>
      </c>
      <c r="F157" s="4" t="s">
        <v>26</v>
      </c>
      <c r="G157" s="22">
        <v>998531</v>
      </c>
      <c r="H157" s="23">
        <v>0.18</v>
      </c>
      <c r="I157" s="9">
        <v>18150</v>
      </c>
      <c r="J157" s="9">
        <f t="shared" ref="J157:J188" si="12">I157*9/100</f>
        <v>1633.5</v>
      </c>
      <c r="K157" s="9">
        <f t="shared" ref="K157:K188" si="13">I157*9/100</f>
        <v>1633.5</v>
      </c>
      <c r="L157" s="41"/>
      <c r="M157" s="37">
        <f>Table432[[#This Row],[Taxable Amount]]+Table432[[#This Row],[SGST]]+Table432[[#This Row],[CGST]]</f>
        <v>21417</v>
      </c>
      <c r="N157" s="71">
        <f>Table432[[#This Row],[Taxable Amount]]*1%</f>
        <v>181.5</v>
      </c>
      <c r="O157" s="157">
        <v>0</v>
      </c>
      <c r="P157" s="148">
        <v>21235</v>
      </c>
      <c r="Q157" s="59">
        <v>45523</v>
      </c>
      <c r="R157" s="193" t="s">
        <v>148</v>
      </c>
      <c r="S157" s="138">
        <f>Table432[[#This Row],[Invoice Amount]]-Table432[[#This Row],[TDS]]-Table432[[#This Row],[RTN]]-Table432[[#This Row],[RECIVED AMOUNT]]</f>
        <v>0.5</v>
      </c>
      <c r="T157" s="55"/>
      <c r="U157" s="3"/>
      <c r="V157" s="41">
        <f>Table432[[#This Row],[BALANCE]]-Table432[[#This Row],[RECIVED AMOUNT2]]</f>
        <v>0.5</v>
      </c>
      <c r="W157" s="50"/>
      <c r="X157" s="50"/>
    </row>
    <row r="158" spans="1:24" ht="19.95" customHeight="1">
      <c r="A158" s="68">
        <v>45442</v>
      </c>
      <c r="B158" s="3" t="s">
        <v>306</v>
      </c>
      <c r="C158" s="3" t="s">
        <v>42</v>
      </c>
      <c r="D158" s="3" t="s">
        <v>43</v>
      </c>
      <c r="E158" s="3" t="s">
        <v>163</v>
      </c>
      <c r="F158" s="4" t="s">
        <v>26</v>
      </c>
      <c r="G158" s="22">
        <v>998531</v>
      </c>
      <c r="H158" s="23">
        <v>0.18</v>
      </c>
      <c r="I158" s="9">
        <v>11400</v>
      </c>
      <c r="J158" s="9">
        <f t="shared" si="12"/>
        <v>1026</v>
      </c>
      <c r="K158" s="9">
        <f t="shared" si="13"/>
        <v>1026</v>
      </c>
      <c r="L158" s="41"/>
      <c r="M158" s="37">
        <f>Table432[[#This Row],[Taxable Amount]]+Table432[[#This Row],[SGST]]+Table432[[#This Row],[CGST]]</f>
        <v>13452</v>
      </c>
      <c r="N158" s="71">
        <f>Table432[[#This Row],[Taxable Amount]]*1%</f>
        <v>114</v>
      </c>
      <c r="O158" s="157">
        <v>285</v>
      </c>
      <c r="P158" s="148">
        <v>49748</v>
      </c>
      <c r="Q158" s="59">
        <v>45649</v>
      </c>
      <c r="R158" s="193" t="s">
        <v>148</v>
      </c>
      <c r="S158" s="138">
        <f>Table432[[#This Row],[Invoice Amount]]-Table432[[#This Row],[TDS]]-Table432[[#This Row],[RTN]]-Table432[[#This Row],[RECIVED AMOUNT]]</f>
        <v>-36695</v>
      </c>
      <c r="T158" s="55"/>
      <c r="U158" s="3"/>
      <c r="V158" s="41">
        <f>Table432[[#This Row],[BALANCE]]-Table432[[#This Row],[RECIVED AMOUNT2]]</f>
        <v>-36695</v>
      </c>
      <c r="W158" s="50"/>
      <c r="X158" s="50"/>
    </row>
    <row r="159" spans="1:24" ht="19.95" customHeight="1">
      <c r="A159" s="68">
        <v>45443</v>
      </c>
      <c r="B159" s="3" t="s">
        <v>307</v>
      </c>
      <c r="C159" s="3" t="s">
        <v>42</v>
      </c>
      <c r="D159" s="3" t="s">
        <v>43</v>
      </c>
      <c r="E159" s="3" t="s">
        <v>44</v>
      </c>
      <c r="F159" s="4" t="s">
        <v>26</v>
      </c>
      <c r="G159" s="22">
        <v>998531</v>
      </c>
      <c r="H159" s="23">
        <v>0.18</v>
      </c>
      <c r="I159" s="9">
        <v>18400</v>
      </c>
      <c r="J159" s="9">
        <f t="shared" si="12"/>
        <v>1656</v>
      </c>
      <c r="K159" s="9">
        <f t="shared" si="13"/>
        <v>1656</v>
      </c>
      <c r="L159" s="41"/>
      <c r="M159" s="37">
        <f>Table432[[#This Row],[Taxable Amount]]+Table432[[#This Row],[SGST]]+Table432[[#This Row],[CGST]]</f>
        <v>21712</v>
      </c>
      <c r="N159" s="71">
        <f>Table432[[#This Row],[Taxable Amount]]*1%</f>
        <v>184</v>
      </c>
      <c r="O159" s="150">
        <v>460</v>
      </c>
      <c r="P159" s="145">
        <v>59185</v>
      </c>
      <c r="Q159" s="65">
        <v>45218</v>
      </c>
      <c r="R159" s="193" t="s">
        <v>148</v>
      </c>
      <c r="S159" s="138">
        <f>Table432[[#This Row],[Invoice Amount]]-Table432[[#This Row],[TDS]]-Table432[[#This Row],[RTN]]-Table432[[#This Row],[RECIVED AMOUNT]]</f>
        <v>-38117</v>
      </c>
      <c r="T159" s="55"/>
      <c r="U159" s="3"/>
      <c r="V159" s="41">
        <f>Table432[[#This Row],[BALANCE]]-Table432[[#This Row],[RECIVED AMOUNT2]]</f>
        <v>-38117</v>
      </c>
      <c r="W159" s="50"/>
      <c r="X159" s="50"/>
    </row>
    <row r="160" spans="1:24" ht="19.95" customHeight="1">
      <c r="A160" s="68">
        <v>45443</v>
      </c>
      <c r="B160" s="3" t="s">
        <v>308</v>
      </c>
      <c r="C160" s="3" t="s">
        <v>42</v>
      </c>
      <c r="D160" s="3" t="s">
        <v>43</v>
      </c>
      <c r="E160" s="3" t="s">
        <v>163</v>
      </c>
      <c r="F160" s="4" t="s">
        <v>26</v>
      </c>
      <c r="G160" s="22">
        <v>998531</v>
      </c>
      <c r="H160" s="23">
        <v>0.18</v>
      </c>
      <c r="I160" s="9">
        <v>11400</v>
      </c>
      <c r="J160" s="9">
        <f t="shared" si="12"/>
        <v>1026</v>
      </c>
      <c r="K160" s="9">
        <f t="shared" si="13"/>
        <v>1026</v>
      </c>
      <c r="L160" s="41"/>
      <c r="M160" s="37">
        <f>Table432[[#This Row],[Taxable Amount]]+Table432[[#This Row],[SGST]]+Table432[[#This Row],[CGST]]</f>
        <v>13452</v>
      </c>
      <c r="N160" s="71">
        <f>Table432[[#This Row],[Taxable Amount]]*1%</f>
        <v>114</v>
      </c>
      <c r="O160" s="157">
        <v>285</v>
      </c>
      <c r="P160" s="145">
        <v>51533</v>
      </c>
      <c r="Q160" s="59">
        <v>45689</v>
      </c>
      <c r="R160" s="193" t="s">
        <v>148</v>
      </c>
      <c r="S160" s="138">
        <f>Table432[[#This Row],[Invoice Amount]]-Table432[[#This Row],[TDS]]-Table432[[#This Row],[RTN]]-Table432[[#This Row],[RECIVED AMOUNT]]</f>
        <v>-38480</v>
      </c>
      <c r="T160" s="55"/>
      <c r="U160" s="3"/>
      <c r="V160" s="41">
        <f>Table432[[#This Row],[BALANCE]]-Table432[[#This Row],[RECIVED AMOUNT2]]</f>
        <v>-38480</v>
      </c>
      <c r="W160" s="50"/>
      <c r="X160" s="50"/>
    </row>
    <row r="161" spans="1:24" ht="19.95" customHeight="1">
      <c r="A161" s="68">
        <v>45444</v>
      </c>
      <c r="B161" s="3" t="s">
        <v>309</v>
      </c>
      <c r="C161" s="21" t="s">
        <v>116</v>
      </c>
      <c r="D161" s="3" t="s">
        <v>117</v>
      </c>
      <c r="E161" s="3" t="s">
        <v>59</v>
      </c>
      <c r="F161" s="4" t="s">
        <v>26</v>
      </c>
      <c r="G161" s="22">
        <v>998531</v>
      </c>
      <c r="H161" s="23">
        <v>0.18</v>
      </c>
      <c r="I161" s="9">
        <v>17300</v>
      </c>
      <c r="J161" s="9">
        <f t="shared" si="12"/>
        <v>1557</v>
      </c>
      <c r="K161" s="9">
        <f t="shared" si="13"/>
        <v>1557</v>
      </c>
      <c r="L161" s="41"/>
      <c r="M161" s="37">
        <f>Table432[[#This Row],[Taxable Amount]]+Table432[[#This Row],[SGST]]+Table432[[#This Row],[CGST]]</f>
        <v>20414</v>
      </c>
      <c r="N161" s="71">
        <f>Table432[[#This Row],[Taxable Amount]]*1%</f>
        <v>173</v>
      </c>
      <c r="O161" s="150">
        <v>0</v>
      </c>
      <c r="P161" s="148">
        <v>20241</v>
      </c>
      <c r="Q161" s="59">
        <v>45491</v>
      </c>
      <c r="R161" s="193" t="s">
        <v>148</v>
      </c>
      <c r="S161" s="138">
        <f>Table432[[#This Row],[Invoice Amount]]-Table432[[#This Row],[TDS]]-Table432[[#This Row],[RTN]]-Table432[[#This Row],[RECIVED AMOUNT]]</f>
        <v>0</v>
      </c>
      <c r="T161" s="55"/>
      <c r="U161" s="3"/>
      <c r="V161" s="41">
        <f>Table432[[#This Row],[BALANCE]]-Table432[[#This Row],[RECIVED AMOUNT2]]</f>
        <v>0</v>
      </c>
      <c r="W161" s="50"/>
      <c r="X161" s="50"/>
    </row>
    <row r="162" spans="1:24" ht="19.95" customHeight="1">
      <c r="A162" s="68">
        <v>45444</v>
      </c>
      <c r="B162" s="3" t="s">
        <v>310</v>
      </c>
      <c r="C162" s="3" t="s">
        <v>23</v>
      </c>
      <c r="D162" s="3" t="s">
        <v>24</v>
      </c>
      <c r="E162" s="3" t="s">
        <v>25</v>
      </c>
      <c r="F162" s="4" t="s">
        <v>26</v>
      </c>
      <c r="G162" s="22">
        <v>998531</v>
      </c>
      <c r="H162" s="23">
        <v>0.18</v>
      </c>
      <c r="I162" s="9">
        <v>4200</v>
      </c>
      <c r="J162" s="9">
        <f t="shared" si="12"/>
        <v>378</v>
      </c>
      <c r="K162" s="9">
        <f t="shared" si="13"/>
        <v>378</v>
      </c>
      <c r="L162" s="41"/>
      <c r="M162" s="37">
        <f>Table432[[#This Row],[Taxable Amount]]+Table432[[#This Row],[SGST]]+Table432[[#This Row],[CGST]]</f>
        <v>4956</v>
      </c>
      <c r="N162" s="71">
        <f>Table432[[#This Row],[Taxable Amount]]*1%</f>
        <v>42</v>
      </c>
      <c r="O162" s="157">
        <v>0</v>
      </c>
      <c r="P162" s="148">
        <v>16499</v>
      </c>
      <c r="Q162" s="59">
        <v>45215</v>
      </c>
      <c r="R162" s="193" t="s">
        <v>311</v>
      </c>
      <c r="S162" s="138">
        <f>Table432[[#This Row],[Invoice Amount]]-Table432[[#This Row],[TDS]]-Table432[[#This Row],[RTN]]-Table432[[#This Row],[RECIVED AMOUNT]]</f>
        <v>-11585</v>
      </c>
      <c r="T162" s="55"/>
      <c r="U162" s="3"/>
      <c r="V162" s="41">
        <f>Table432[[#This Row],[BALANCE]]-Table432[[#This Row],[RECIVED AMOUNT2]]</f>
        <v>-11585</v>
      </c>
      <c r="W162" s="50"/>
      <c r="X162" s="50"/>
    </row>
    <row r="163" spans="1:24" ht="19.95" customHeight="1">
      <c r="A163" s="68">
        <v>45444</v>
      </c>
      <c r="B163" s="3" t="s">
        <v>312</v>
      </c>
      <c r="C163" s="3" t="s">
        <v>96</v>
      </c>
      <c r="D163" s="3" t="s">
        <v>97</v>
      </c>
      <c r="E163" s="3" t="s">
        <v>89</v>
      </c>
      <c r="F163" s="4" t="s">
        <v>26</v>
      </c>
      <c r="G163" s="22">
        <v>998531</v>
      </c>
      <c r="H163" s="23">
        <v>0.18</v>
      </c>
      <c r="I163" s="9">
        <v>20000</v>
      </c>
      <c r="J163" s="9">
        <f t="shared" si="12"/>
        <v>1800</v>
      </c>
      <c r="K163" s="9">
        <f t="shared" si="13"/>
        <v>1800</v>
      </c>
      <c r="L163" s="41"/>
      <c r="M163" s="37">
        <f>Table432[[#This Row],[Taxable Amount]]+Table432[[#This Row],[SGST]]+Table432[[#This Row],[CGST]]</f>
        <v>23600</v>
      </c>
      <c r="N163" s="71">
        <f>Table432[[#This Row],[Taxable Amount]]*1%</f>
        <v>200</v>
      </c>
      <c r="O163" s="157">
        <v>0</v>
      </c>
      <c r="P163" s="147"/>
      <c r="Q163" s="59">
        <v>45595</v>
      </c>
      <c r="R163" s="193" t="s">
        <v>313</v>
      </c>
      <c r="S163" s="138">
        <f>Table432[[#This Row],[Invoice Amount]]-Table432[[#This Row],[TDS]]-Table432[[#This Row],[RTN]]-Table432[[#This Row],[RECIVED AMOUNT]]</f>
        <v>23400</v>
      </c>
      <c r="T163" s="55"/>
      <c r="U163" s="3"/>
      <c r="V163" s="41">
        <f>Table432[[#This Row],[BALANCE]]-Table432[[#This Row],[RECIVED AMOUNT2]]</f>
        <v>23400</v>
      </c>
      <c r="W163" s="50"/>
      <c r="X163" s="50"/>
    </row>
    <row r="164" spans="1:24" ht="19.95" customHeight="1">
      <c r="A164" s="68">
        <v>45444</v>
      </c>
      <c r="B164" s="3" t="s">
        <v>314</v>
      </c>
      <c r="C164" s="3" t="s">
        <v>96</v>
      </c>
      <c r="D164" s="3" t="s">
        <v>97</v>
      </c>
      <c r="E164" s="3" t="s">
        <v>89</v>
      </c>
      <c r="F164" s="4" t="s">
        <v>26</v>
      </c>
      <c r="G164" s="22">
        <v>998531</v>
      </c>
      <c r="H164" s="23">
        <v>0.18</v>
      </c>
      <c r="I164" s="9">
        <v>35000</v>
      </c>
      <c r="J164" s="9">
        <f t="shared" si="12"/>
        <v>3150</v>
      </c>
      <c r="K164" s="9">
        <f t="shared" si="13"/>
        <v>3150</v>
      </c>
      <c r="L164" s="41"/>
      <c r="M164" s="37">
        <f>Table432[[#This Row],[Taxable Amount]]+Table432[[#This Row],[SGST]]+Table432[[#This Row],[CGST]]</f>
        <v>41300</v>
      </c>
      <c r="N164" s="71">
        <f>Table432[[#This Row],[Taxable Amount]]*1%</f>
        <v>350</v>
      </c>
      <c r="O164" s="157">
        <v>0</v>
      </c>
      <c r="P164" s="147">
        <v>64350</v>
      </c>
      <c r="Q164" s="59">
        <v>45595</v>
      </c>
      <c r="R164" s="193" t="s">
        <v>313</v>
      </c>
      <c r="S164" s="138">
        <f>Table432[[#This Row],[Invoice Amount]]-Table432[[#This Row],[TDS]]-Table432[[#This Row],[RTN]]-Table432[[#This Row],[RECIVED AMOUNT]]</f>
        <v>-23400</v>
      </c>
      <c r="T164" s="55"/>
      <c r="U164" s="3"/>
      <c r="V164" s="41">
        <f>Table432[[#This Row],[BALANCE]]-Table432[[#This Row],[RECIVED AMOUNT2]]</f>
        <v>-23400</v>
      </c>
      <c r="W164" s="50"/>
      <c r="X164" s="50"/>
    </row>
    <row r="165" spans="1:24" ht="19.95" customHeight="1">
      <c r="A165" s="68">
        <v>45444</v>
      </c>
      <c r="B165" s="3" t="s">
        <v>315</v>
      </c>
      <c r="C165" s="3" t="s">
        <v>42</v>
      </c>
      <c r="D165" s="3" t="s">
        <v>43</v>
      </c>
      <c r="E165" s="3" t="s">
        <v>101</v>
      </c>
      <c r="F165" s="4" t="s">
        <v>26</v>
      </c>
      <c r="G165" s="22">
        <v>998531</v>
      </c>
      <c r="H165" s="23">
        <v>0.18</v>
      </c>
      <c r="I165" s="9">
        <v>8250</v>
      </c>
      <c r="J165" s="9">
        <f t="shared" si="12"/>
        <v>742.5</v>
      </c>
      <c r="K165" s="9">
        <f t="shared" si="13"/>
        <v>742.5</v>
      </c>
      <c r="L165" s="41"/>
      <c r="M165" s="37">
        <f>Table432[[#This Row],[Taxable Amount]]+Table432[[#This Row],[SGST]]+Table432[[#This Row],[CGST]]</f>
        <v>9735</v>
      </c>
      <c r="N165" s="71">
        <f>Table432[[#This Row],[Taxable Amount]]*1%</f>
        <v>82.5</v>
      </c>
      <c r="O165" s="157">
        <v>0</v>
      </c>
      <c r="P165" s="148"/>
      <c r="Q165" s="59"/>
      <c r="R165" s="193" t="s">
        <v>148</v>
      </c>
      <c r="S165" s="138">
        <f>Table432[[#This Row],[Invoice Amount]]-Table432[[#This Row],[TDS]]-Table432[[#This Row],[RTN]]-Table432[[#This Row],[RECIVED AMOUNT]]</f>
        <v>9652.5</v>
      </c>
      <c r="T165" s="55"/>
      <c r="U165" s="3"/>
      <c r="V165" s="41">
        <f>Table432[[#This Row],[BALANCE]]-Table432[[#This Row],[RECIVED AMOUNT2]]</f>
        <v>9652.5</v>
      </c>
      <c r="W165" s="50"/>
      <c r="X165" s="50"/>
    </row>
    <row r="166" spans="1:24" ht="19.95" customHeight="1">
      <c r="A166" s="68">
        <v>45444</v>
      </c>
      <c r="B166" s="3" t="s">
        <v>316</v>
      </c>
      <c r="C166" s="3" t="s">
        <v>955</v>
      </c>
      <c r="D166" s="3" t="s">
        <v>205</v>
      </c>
      <c r="E166" s="3" t="s">
        <v>59</v>
      </c>
      <c r="F166" s="4" t="s">
        <v>26</v>
      </c>
      <c r="G166" s="22">
        <v>998531</v>
      </c>
      <c r="H166" s="23">
        <v>0.18</v>
      </c>
      <c r="I166" s="9">
        <v>10000</v>
      </c>
      <c r="J166" s="9">
        <f t="shared" si="12"/>
        <v>900</v>
      </c>
      <c r="K166" s="9">
        <f t="shared" si="13"/>
        <v>900</v>
      </c>
      <c r="L166" s="41"/>
      <c r="M166" s="37">
        <f>Table432[[#This Row],[Taxable Amount]]+Table432[[#This Row],[SGST]]+Table432[[#This Row],[CGST]]</f>
        <v>11800</v>
      </c>
      <c r="N166" s="71">
        <v>0</v>
      </c>
      <c r="O166" s="157">
        <v>0</v>
      </c>
      <c r="P166" s="148">
        <v>10000</v>
      </c>
      <c r="Q166" s="59">
        <v>45478</v>
      </c>
      <c r="R166" s="193" t="s">
        <v>148</v>
      </c>
      <c r="S166" s="138">
        <f>Table432[[#This Row],[Invoice Amount]]-Table432[[#This Row],[TDS]]-Table432[[#This Row],[RTN]]-Table432[[#This Row],[RECIVED AMOUNT]]</f>
        <v>1800</v>
      </c>
      <c r="T166" s="55">
        <v>1800</v>
      </c>
      <c r="U166" s="74">
        <v>45523</v>
      </c>
      <c r="V166" s="41">
        <f>Table432[[#This Row],[BALANCE]]-Table432[[#This Row],[RECIVED AMOUNT2]]</f>
        <v>0</v>
      </c>
      <c r="W166" s="50"/>
      <c r="X166" s="50"/>
    </row>
    <row r="167" spans="1:24" s="13" customFormat="1" ht="19.95" customHeight="1">
      <c r="A167" s="68">
        <v>45444</v>
      </c>
      <c r="B167" s="3" t="s">
        <v>317</v>
      </c>
      <c r="C167" s="3" t="s">
        <v>290</v>
      </c>
      <c r="D167" s="3" t="s">
        <v>291</v>
      </c>
      <c r="E167" s="3" t="s">
        <v>25</v>
      </c>
      <c r="F167" s="4" t="s">
        <v>26</v>
      </c>
      <c r="G167" s="22">
        <v>998531</v>
      </c>
      <c r="H167" s="23">
        <v>0.18</v>
      </c>
      <c r="I167" s="9">
        <v>3000</v>
      </c>
      <c r="J167" s="9">
        <f t="shared" si="12"/>
        <v>270</v>
      </c>
      <c r="K167" s="9">
        <f t="shared" si="13"/>
        <v>270</v>
      </c>
      <c r="L167" s="41"/>
      <c r="M167" s="37">
        <f>Table432[[#This Row],[Taxable Amount]]+Table432[[#This Row],[SGST]]+Table432[[#This Row],[CGST]]</f>
        <v>3540</v>
      </c>
      <c r="N167" s="71">
        <v>0</v>
      </c>
      <c r="O167" s="157">
        <v>0</v>
      </c>
      <c r="P167" s="145">
        <v>3540</v>
      </c>
      <c r="Q167" s="59">
        <v>45467</v>
      </c>
      <c r="R167" s="193" t="s">
        <v>148</v>
      </c>
      <c r="S167" s="138">
        <f>Table432[[#This Row],[Invoice Amount]]-Table432[[#This Row],[TDS]]-Table432[[#This Row],[RTN]]-Table432[[#This Row],[RECIVED AMOUNT]]</f>
        <v>0</v>
      </c>
      <c r="T167" s="55"/>
      <c r="U167" s="3"/>
      <c r="V167" s="41">
        <f>Table432[[#This Row],[BALANCE]]-Table432[[#This Row],[RECIVED AMOUNT2]]</f>
        <v>0</v>
      </c>
      <c r="W167" s="208"/>
      <c r="X167" s="208"/>
    </row>
    <row r="168" spans="1:24" ht="19.95" customHeight="1">
      <c r="A168" s="78">
        <v>45449</v>
      </c>
      <c r="B168" s="31" t="s">
        <v>318</v>
      </c>
      <c r="C168" s="32" t="s">
        <v>319</v>
      </c>
      <c r="D168" s="31" t="s">
        <v>320</v>
      </c>
      <c r="E168" s="31" t="s">
        <v>59</v>
      </c>
      <c r="F168" s="33" t="s">
        <v>37</v>
      </c>
      <c r="G168" s="34">
        <v>998531</v>
      </c>
      <c r="H168" s="23">
        <v>0.18</v>
      </c>
      <c r="I168" s="42">
        <v>29770</v>
      </c>
      <c r="J168" s="42">
        <f t="shared" si="12"/>
        <v>2679.3</v>
      </c>
      <c r="K168" s="42">
        <f t="shared" si="13"/>
        <v>2679.3</v>
      </c>
      <c r="L168" s="43"/>
      <c r="M168" s="44">
        <f>Table432[[#This Row],[Taxable Amount]]+Table432[[#This Row],[SGST]]+Table432[[#This Row],[CGST]]</f>
        <v>35128.6</v>
      </c>
      <c r="N168" s="142">
        <f>Table432[[#This Row],[Taxable Amount]]*1%</f>
        <v>297.7</v>
      </c>
      <c r="O168" s="152">
        <v>0</v>
      </c>
      <c r="P168" s="202">
        <v>74032</v>
      </c>
      <c r="Q168" s="73"/>
      <c r="R168" s="198" t="s">
        <v>243</v>
      </c>
      <c r="S168" s="138">
        <f>Table432[[#This Row],[Invoice Amount]]-Table432[[#This Row],[TDS]]-Table432[[#This Row],[RTN]]-Table432[[#This Row],[RECIVED AMOUNT]]</f>
        <v>-39201.1</v>
      </c>
      <c r="T168" s="63"/>
      <c r="U168" s="31"/>
      <c r="V168" s="41">
        <f>Table432[[#This Row],[BALANCE]]-Table432[[#This Row],[RECIVED AMOUNT2]]</f>
        <v>-39201.1</v>
      </c>
      <c r="W168" s="50"/>
      <c r="X168" s="50"/>
    </row>
    <row r="169" spans="1:24" ht="19.95" customHeight="1">
      <c r="A169" s="68">
        <v>45449</v>
      </c>
      <c r="B169" s="3" t="s">
        <v>321</v>
      </c>
      <c r="C169" s="3" t="s">
        <v>96</v>
      </c>
      <c r="D169" s="3" t="s">
        <v>97</v>
      </c>
      <c r="E169" s="3" t="s">
        <v>89</v>
      </c>
      <c r="F169" s="4" t="s">
        <v>26</v>
      </c>
      <c r="G169" s="22">
        <v>998531</v>
      </c>
      <c r="H169" s="23">
        <v>0.18</v>
      </c>
      <c r="I169" s="9">
        <v>3120</v>
      </c>
      <c r="J169" s="9">
        <f t="shared" si="12"/>
        <v>280.8</v>
      </c>
      <c r="K169" s="9">
        <f t="shared" si="13"/>
        <v>280.8</v>
      </c>
      <c r="L169" s="41"/>
      <c r="M169" s="37">
        <f>Table432[[#This Row],[Taxable Amount]]+Table432[[#This Row],[SGST]]+Table432[[#This Row],[CGST]]</f>
        <v>3681.6000000000004</v>
      </c>
      <c r="N169" s="71">
        <f>Table432[[#This Row],[Taxable Amount]]*1%</f>
        <v>31.2</v>
      </c>
      <c r="O169" s="157">
        <v>0</v>
      </c>
      <c r="P169" s="147"/>
      <c r="Q169" s="53"/>
      <c r="R169" s="193" t="s">
        <v>313</v>
      </c>
      <c r="S169" s="138">
        <f>Table432[[#This Row],[Invoice Amount]]-Table432[[#This Row],[TDS]]-Table432[[#This Row],[RTN]]-Table432[[#This Row],[RECIVED AMOUNT]]</f>
        <v>3650.4000000000005</v>
      </c>
      <c r="T169" s="55"/>
      <c r="U169" s="3"/>
      <c r="V169" s="41">
        <f>Table432[[#This Row],[BALANCE]]-Table432[[#This Row],[RECIVED AMOUNT2]]</f>
        <v>3650.4000000000005</v>
      </c>
      <c r="W169" s="50"/>
      <c r="X169" s="50"/>
    </row>
    <row r="170" spans="1:24" ht="19.95" customHeight="1">
      <c r="A170" s="68">
        <v>45450</v>
      </c>
      <c r="B170" s="3" t="s">
        <v>322</v>
      </c>
      <c r="C170" s="21" t="s">
        <v>116</v>
      </c>
      <c r="D170" s="3" t="s">
        <v>117</v>
      </c>
      <c r="E170" s="3" t="s">
        <v>59</v>
      </c>
      <c r="F170" s="4" t="s">
        <v>37</v>
      </c>
      <c r="G170" s="22">
        <v>998531</v>
      </c>
      <c r="H170" s="23">
        <v>0.18</v>
      </c>
      <c r="I170" s="9">
        <v>213933.38</v>
      </c>
      <c r="J170" s="9">
        <f t="shared" si="12"/>
        <v>19254.004199999999</v>
      </c>
      <c r="K170" s="9">
        <f t="shared" si="13"/>
        <v>19254.004199999999</v>
      </c>
      <c r="L170" s="41"/>
      <c r="M170" s="37">
        <f>Table432[[#This Row],[Taxable Amount]]+Table432[[#This Row],[SGST]]+Table432[[#This Row],[CGST]]</f>
        <v>252441.3884</v>
      </c>
      <c r="N170" s="71">
        <f>Table432[[#This Row],[Taxable Amount]]*1%</f>
        <v>2139.3337999999999</v>
      </c>
      <c r="O170" s="157">
        <v>0</v>
      </c>
      <c r="P170" s="148">
        <v>211794</v>
      </c>
      <c r="Q170" s="59">
        <v>45491</v>
      </c>
      <c r="R170" s="193" t="s">
        <v>148</v>
      </c>
      <c r="S170" s="138">
        <f>Table432[[#This Row],[Invoice Amount]]-Table432[[#This Row],[TDS]]-Table432[[#This Row],[RTN]]-Table432[[#This Row],[RECIVED AMOUNT]]</f>
        <v>38508.054600000003</v>
      </c>
      <c r="T170" s="55"/>
      <c r="U170" s="3"/>
      <c r="V170" s="41">
        <f>Table432[[#This Row],[BALANCE]]-Table432[[#This Row],[RECIVED AMOUNT2]]</f>
        <v>38508.054600000003</v>
      </c>
      <c r="W170" s="50"/>
      <c r="X170" s="50"/>
    </row>
    <row r="171" spans="1:24" ht="19.95" customHeight="1">
      <c r="A171" s="78">
        <v>45461</v>
      </c>
      <c r="B171" s="31" t="s">
        <v>323</v>
      </c>
      <c r="C171" s="32" t="s">
        <v>87</v>
      </c>
      <c r="D171" s="31" t="s">
        <v>88</v>
      </c>
      <c r="E171" s="31" t="s">
        <v>89</v>
      </c>
      <c r="F171" s="33" t="s">
        <v>26</v>
      </c>
      <c r="G171" s="34">
        <v>998531</v>
      </c>
      <c r="H171" s="23">
        <v>0.18</v>
      </c>
      <c r="I171" s="42">
        <v>12500</v>
      </c>
      <c r="J171" s="42">
        <f t="shared" si="12"/>
        <v>1125</v>
      </c>
      <c r="K171" s="42">
        <f t="shared" si="13"/>
        <v>1125</v>
      </c>
      <c r="L171" s="43"/>
      <c r="M171" s="44">
        <f>Table432[[#This Row],[Taxable Amount]]+Table432[[#This Row],[SGST]]+Table432[[#This Row],[CGST]]</f>
        <v>14750</v>
      </c>
      <c r="N171" s="142"/>
      <c r="O171" s="152">
        <v>0</v>
      </c>
      <c r="P171" s="153" t="s">
        <v>243</v>
      </c>
      <c r="Q171" s="73"/>
      <c r="R171" s="198" t="s">
        <v>243</v>
      </c>
      <c r="S171" s="138" t="e">
        <f>Table432[[#This Row],[Invoice Amount]]-Table432[[#This Row],[TDS]]-Table432[[#This Row],[RTN]]-Table432[[#This Row],[RECIVED AMOUNT]]</f>
        <v>#VALUE!</v>
      </c>
      <c r="T171" s="63"/>
      <c r="U171" s="31"/>
      <c r="V171" s="41" t="e">
        <f>Table432[[#This Row],[BALANCE]]-Table432[[#This Row],[RECIVED AMOUNT2]]</f>
        <v>#VALUE!</v>
      </c>
      <c r="W171" s="50"/>
      <c r="X171" s="50"/>
    </row>
    <row r="172" spans="1:24" ht="19.95" customHeight="1">
      <c r="A172" s="68">
        <v>45465</v>
      </c>
      <c r="B172" s="3" t="s">
        <v>324</v>
      </c>
      <c r="C172" s="3" t="s">
        <v>258</v>
      </c>
      <c r="D172" s="3" t="s">
        <v>259</v>
      </c>
      <c r="E172" s="3" t="s">
        <v>260</v>
      </c>
      <c r="F172" s="4" t="s">
        <v>26</v>
      </c>
      <c r="G172" s="22">
        <v>998531</v>
      </c>
      <c r="H172" s="23">
        <v>0.18</v>
      </c>
      <c r="I172" s="9">
        <v>16700</v>
      </c>
      <c r="J172" s="9">
        <f t="shared" si="12"/>
        <v>1503</v>
      </c>
      <c r="K172" s="9">
        <f t="shared" si="13"/>
        <v>1503</v>
      </c>
      <c r="L172" s="41"/>
      <c r="M172" s="37">
        <f>Table432[[#This Row],[Taxable Amount]]+Table432[[#This Row],[SGST]]+Table432[[#This Row],[CGST]]</f>
        <v>19706</v>
      </c>
      <c r="N172" s="71">
        <f>Table432[[#This Row],[Taxable Amount]]*1%</f>
        <v>167</v>
      </c>
      <c r="O172" s="157">
        <v>0</v>
      </c>
      <c r="P172" s="148">
        <v>19539.29</v>
      </c>
      <c r="Q172" s="59">
        <v>45537</v>
      </c>
      <c r="R172" s="193" t="s">
        <v>311</v>
      </c>
      <c r="S172" s="138">
        <f>Table432[[#This Row],[Invoice Amount]]-Table432[[#This Row],[TDS]]-Table432[[#This Row],[RTN]]-Table432[[#This Row],[RECIVED AMOUNT]]</f>
        <v>-0.29000000000087311</v>
      </c>
      <c r="T172" s="55"/>
      <c r="U172" s="3"/>
      <c r="V172" s="41">
        <f>Table432[[#This Row],[BALANCE]]-Table432[[#This Row],[RECIVED AMOUNT2]]</f>
        <v>-0.29000000000087311</v>
      </c>
      <c r="W172" s="50"/>
      <c r="X172" s="50"/>
    </row>
    <row r="173" spans="1:24" s="13" customFormat="1" ht="19.95" customHeight="1">
      <c r="A173" s="68">
        <v>45473</v>
      </c>
      <c r="B173" s="3" t="s">
        <v>325</v>
      </c>
      <c r="C173" s="3" t="s">
        <v>42</v>
      </c>
      <c r="D173" s="3" t="s">
        <v>43</v>
      </c>
      <c r="E173" s="3" t="s">
        <v>163</v>
      </c>
      <c r="F173" s="4" t="s">
        <v>26</v>
      </c>
      <c r="G173" s="22">
        <v>998531</v>
      </c>
      <c r="H173" s="23">
        <v>0.18</v>
      </c>
      <c r="I173" s="9">
        <v>12550</v>
      </c>
      <c r="J173" s="9">
        <f t="shared" si="12"/>
        <v>1129.5</v>
      </c>
      <c r="K173" s="9">
        <f t="shared" si="13"/>
        <v>1129.5</v>
      </c>
      <c r="L173" s="41"/>
      <c r="M173" s="37">
        <f>Table432[[#This Row],[Taxable Amount]]+Table432[[#This Row],[SGST]]+Table432[[#This Row],[CGST]]</f>
        <v>14809</v>
      </c>
      <c r="N173" s="71">
        <f>Table432[[#This Row],[Taxable Amount]]*1%</f>
        <v>125.5</v>
      </c>
      <c r="O173" s="157">
        <v>314</v>
      </c>
      <c r="P173" s="148">
        <v>10648</v>
      </c>
      <c r="Q173" s="59">
        <v>45649</v>
      </c>
      <c r="R173" s="193" t="s">
        <v>148</v>
      </c>
      <c r="S173" s="138">
        <f>Table432[[#This Row],[Invoice Amount]]-Table432[[#This Row],[TDS]]-Table432[[#This Row],[RTN]]-Table432[[#This Row],[RECIVED AMOUNT]]</f>
        <v>3721.5</v>
      </c>
      <c r="T173" s="55"/>
      <c r="U173" s="3"/>
      <c r="V173" s="41">
        <f>Table432[[#This Row],[BALANCE]]-Table432[[#This Row],[RECIVED AMOUNT2]]</f>
        <v>3721.5</v>
      </c>
      <c r="W173" s="208"/>
      <c r="X173" s="208"/>
    </row>
    <row r="174" spans="1:24" ht="19.95" customHeight="1">
      <c r="A174" s="68">
        <v>45473</v>
      </c>
      <c r="B174" s="3" t="s">
        <v>326</v>
      </c>
      <c r="C174" s="3" t="s">
        <v>42</v>
      </c>
      <c r="D174" s="3" t="s">
        <v>43</v>
      </c>
      <c r="E174" s="3" t="s">
        <v>44</v>
      </c>
      <c r="F174" s="4" t="s">
        <v>26</v>
      </c>
      <c r="G174" s="22">
        <v>998531</v>
      </c>
      <c r="H174" s="23">
        <v>0.18</v>
      </c>
      <c r="I174" s="9">
        <v>18400</v>
      </c>
      <c r="J174" s="9">
        <f t="shared" si="12"/>
        <v>1656</v>
      </c>
      <c r="K174" s="9">
        <f t="shared" si="13"/>
        <v>1656</v>
      </c>
      <c r="L174" s="41"/>
      <c r="M174" s="37">
        <f>Table432[[#This Row],[Taxable Amount]]+Table432[[#This Row],[SGST]]+Table432[[#This Row],[CGST]]</f>
        <v>21712</v>
      </c>
      <c r="N174" s="71">
        <f>Table432[[#This Row],[Taxable Amount]]*1%</f>
        <v>184</v>
      </c>
      <c r="O174" s="157">
        <v>460</v>
      </c>
      <c r="P174" s="145">
        <v>51533</v>
      </c>
      <c r="Q174" s="65">
        <v>45343</v>
      </c>
      <c r="R174" s="193" t="s">
        <v>311</v>
      </c>
      <c r="S174" s="138">
        <f>Table432[[#This Row],[Invoice Amount]]-Table432[[#This Row],[TDS]]-Table432[[#This Row],[RTN]]-Table432[[#This Row],[RECIVED AMOUNT]]</f>
        <v>-30465</v>
      </c>
      <c r="T174" s="55"/>
      <c r="U174" s="3"/>
      <c r="V174" s="41">
        <f>Table432[[#This Row],[BALANCE]]-Table432[[#This Row],[RECIVED AMOUNT2]]</f>
        <v>-30465</v>
      </c>
      <c r="W174" s="50"/>
      <c r="X174" s="50"/>
    </row>
    <row r="175" spans="1:24" ht="19.95" customHeight="1">
      <c r="A175" s="68">
        <v>45473</v>
      </c>
      <c r="B175" s="3" t="s">
        <v>325</v>
      </c>
      <c r="C175" s="3" t="s">
        <v>42</v>
      </c>
      <c r="D175" s="3" t="s">
        <v>43</v>
      </c>
      <c r="E175" s="3" t="s">
        <v>163</v>
      </c>
      <c r="F175" s="4" t="s">
        <v>26</v>
      </c>
      <c r="G175" s="22">
        <v>998531</v>
      </c>
      <c r="H175" s="23">
        <v>0.18</v>
      </c>
      <c r="I175" s="9">
        <v>12550</v>
      </c>
      <c r="J175" s="9">
        <f t="shared" si="12"/>
        <v>1129.5</v>
      </c>
      <c r="K175" s="9">
        <f t="shared" si="13"/>
        <v>1129.5</v>
      </c>
      <c r="L175" s="41"/>
      <c r="M175" s="37">
        <f>Table432[[#This Row],[Taxable Amount]]+Table432[[#This Row],[SGST]]+Table432[[#This Row],[CGST]]</f>
        <v>14809</v>
      </c>
      <c r="N175" s="71">
        <f>Table432[[#This Row],[Taxable Amount]]*1%</f>
        <v>125.5</v>
      </c>
      <c r="O175" s="157">
        <v>314</v>
      </c>
      <c r="P175" s="148">
        <v>9730</v>
      </c>
      <c r="Q175" s="59">
        <v>45703</v>
      </c>
      <c r="R175" s="193" t="s">
        <v>311</v>
      </c>
      <c r="S175" s="138">
        <f>Table432[[#This Row],[Invoice Amount]]-Table432[[#This Row],[TDS]]-Table432[[#This Row],[RTN]]-Table432[[#This Row],[RECIVED AMOUNT]]</f>
        <v>4639.5</v>
      </c>
      <c r="T175" s="55"/>
      <c r="U175" s="3"/>
      <c r="V175" s="41">
        <f>Table432[[#This Row],[BALANCE]]-Table432[[#This Row],[RECIVED AMOUNT2]]</f>
        <v>4639.5</v>
      </c>
      <c r="W175" s="50"/>
      <c r="X175" s="50"/>
    </row>
    <row r="176" spans="1:24" ht="19.95" customHeight="1">
      <c r="A176" s="68">
        <v>45474</v>
      </c>
      <c r="B176" s="3" t="s">
        <v>327</v>
      </c>
      <c r="C176" s="21" t="s">
        <v>116</v>
      </c>
      <c r="D176" s="3" t="s">
        <v>117</v>
      </c>
      <c r="E176" s="3" t="s">
        <v>59</v>
      </c>
      <c r="F176" s="4" t="s">
        <v>26</v>
      </c>
      <c r="G176" s="22">
        <v>998531</v>
      </c>
      <c r="H176" s="23">
        <v>0.18</v>
      </c>
      <c r="I176" s="9">
        <v>17300</v>
      </c>
      <c r="J176" s="9">
        <f t="shared" si="12"/>
        <v>1557</v>
      </c>
      <c r="K176" s="9">
        <f t="shared" si="13"/>
        <v>1557</v>
      </c>
      <c r="L176" s="41"/>
      <c r="M176" s="37">
        <f>Table432[[#This Row],[Taxable Amount]]+Table432[[#This Row],[SGST]]+Table432[[#This Row],[CGST]]</f>
        <v>20414</v>
      </c>
      <c r="N176" s="71">
        <f>Table432[[#This Row],[Taxable Amount]]*1%</f>
        <v>173</v>
      </c>
      <c r="O176" s="157">
        <v>0</v>
      </c>
      <c r="P176" s="148">
        <v>14850</v>
      </c>
      <c r="Q176" s="59">
        <v>45497</v>
      </c>
      <c r="R176" s="193" t="s">
        <v>311</v>
      </c>
      <c r="S176" s="138">
        <f>Table432[[#This Row],[Invoice Amount]]-Table432[[#This Row],[TDS]]-Table432[[#This Row],[RTN]]-Table432[[#This Row],[RECIVED AMOUNT]]</f>
        <v>5391</v>
      </c>
      <c r="T176" s="55"/>
      <c r="U176" s="3"/>
      <c r="V176" s="41">
        <f>Table432[[#This Row],[BALANCE]]-Table432[[#This Row],[RECIVED AMOUNT2]]</f>
        <v>5391</v>
      </c>
      <c r="W176" s="50"/>
      <c r="X176" s="50"/>
    </row>
    <row r="177" spans="1:121" ht="19.95" customHeight="1">
      <c r="A177" s="68">
        <v>45474</v>
      </c>
      <c r="B177" s="3" t="s">
        <v>328</v>
      </c>
      <c r="C177" s="21" t="s">
        <v>42</v>
      </c>
      <c r="D177" s="3" t="s">
        <v>43</v>
      </c>
      <c r="E177" s="3" t="s">
        <v>101</v>
      </c>
      <c r="F177" s="4" t="s">
        <v>26</v>
      </c>
      <c r="G177" s="22">
        <v>998531</v>
      </c>
      <c r="H177" s="23">
        <v>0.18</v>
      </c>
      <c r="I177" s="9">
        <v>7200</v>
      </c>
      <c r="J177" s="9">
        <f t="shared" si="12"/>
        <v>648</v>
      </c>
      <c r="K177" s="9">
        <f t="shared" si="13"/>
        <v>648</v>
      </c>
      <c r="L177" s="41"/>
      <c r="M177" s="37">
        <f>Table432[[#This Row],[Taxable Amount]]+Table432[[#This Row],[SGST]]+Table432[[#This Row],[CGST]]</f>
        <v>8496</v>
      </c>
      <c r="N177" s="71">
        <f>Table432[[#This Row],[Taxable Amount]]*1%</f>
        <v>72</v>
      </c>
      <c r="O177" s="157">
        <v>0</v>
      </c>
      <c r="P177" s="148">
        <v>8005</v>
      </c>
      <c r="Q177" s="59">
        <v>45309</v>
      </c>
      <c r="R177" s="193" t="s">
        <v>311</v>
      </c>
      <c r="S177" s="138">
        <f>Table432[[#This Row],[Invoice Amount]]-Table432[[#This Row],[TDS]]-Table432[[#This Row],[RTN]]-Table432[[#This Row],[RECIVED AMOUNT]]</f>
        <v>419</v>
      </c>
      <c r="T177" s="55"/>
      <c r="U177" s="3"/>
      <c r="V177" s="41">
        <f>Table432[[#This Row],[BALANCE]]-Table432[[#This Row],[RECIVED AMOUNT2]]</f>
        <v>419</v>
      </c>
      <c r="W177" s="50"/>
      <c r="X177" s="50"/>
    </row>
    <row r="178" spans="1:121" ht="19.95" customHeight="1">
      <c r="A178" s="68">
        <v>45474</v>
      </c>
      <c r="B178" s="3" t="s">
        <v>329</v>
      </c>
      <c r="C178" s="3" t="s">
        <v>955</v>
      </c>
      <c r="D178" s="3" t="s">
        <v>205</v>
      </c>
      <c r="E178" s="3" t="s">
        <v>59</v>
      </c>
      <c r="F178" s="4" t="s">
        <v>26</v>
      </c>
      <c r="G178" s="22">
        <v>998531</v>
      </c>
      <c r="H178" s="23">
        <v>0.18</v>
      </c>
      <c r="I178" s="9">
        <v>10000</v>
      </c>
      <c r="J178" s="9">
        <f t="shared" si="12"/>
        <v>900</v>
      </c>
      <c r="K178" s="9">
        <f t="shared" si="13"/>
        <v>900</v>
      </c>
      <c r="L178" s="41"/>
      <c r="M178" s="37">
        <f>Table432[[#This Row],[Taxable Amount]]+Table432[[#This Row],[SGST]]+Table432[[#This Row],[CGST]]</f>
        <v>11800</v>
      </c>
      <c r="N178" s="71">
        <v>0</v>
      </c>
      <c r="O178" s="157">
        <v>0</v>
      </c>
      <c r="P178" s="148">
        <v>10000</v>
      </c>
      <c r="Q178" s="59">
        <v>45523</v>
      </c>
      <c r="R178" s="193" t="s">
        <v>311</v>
      </c>
      <c r="S178" s="138">
        <f>Table432[[#This Row],[Invoice Amount]]-Table432[[#This Row],[TDS]]-Table432[[#This Row],[RTN]]-Table432[[#This Row],[RECIVED AMOUNT]]</f>
        <v>1800</v>
      </c>
      <c r="T178" s="55"/>
      <c r="U178" s="3"/>
      <c r="V178" s="41">
        <f>Table432[[#This Row],[BALANCE]]-Table432[[#This Row],[RECIVED AMOUNT2]]</f>
        <v>1800</v>
      </c>
      <c r="W178" s="50"/>
      <c r="X178" s="50"/>
    </row>
    <row r="179" spans="1:121" ht="19.95" customHeight="1">
      <c r="A179" s="68">
        <v>45474</v>
      </c>
      <c r="B179" s="3" t="s">
        <v>330</v>
      </c>
      <c r="C179" s="3" t="s">
        <v>331</v>
      </c>
      <c r="D179" s="3" t="s">
        <v>332</v>
      </c>
      <c r="E179" s="3" t="s">
        <v>175</v>
      </c>
      <c r="F179" s="4" t="s">
        <v>37</v>
      </c>
      <c r="G179" s="22">
        <v>998531</v>
      </c>
      <c r="H179" s="23">
        <v>0.18</v>
      </c>
      <c r="I179" s="9">
        <v>39000</v>
      </c>
      <c r="J179" s="9">
        <f t="shared" si="12"/>
        <v>3510</v>
      </c>
      <c r="K179" s="9">
        <f t="shared" si="13"/>
        <v>3510</v>
      </c>
      <c r="L179" s="41"/>
      <c r="M179" s="37">
        <f>Table432[[#This Row],[Taxable Amount]]+Table432[[#This Row],[SGST]]+Table432[[#This Row],[CGST]]</f>
        <v>46020</v>
      </c>
      <c r="N179" s="71">
        <f>Table432[[#This Row],[Taxable Amount]]*1%</f>
        <v>390</v>
      </c>
      <c r="O179" s="157">
        <v>290</v>
      </c>
      <c r="P179" s="148">
        <v>45630</v>
      </c>
      <c r="Q179" s="59">
        <v>45215</v>
      </c>
      <c r="R179" s="193" t="s">
        <v>333</v>
      </c>
      <c r="S179" s="138">
        <f>Table432[[#This Row],[Invoice Amount]]-Table432[[#This Row],[TDS]]-Table432[[#This Row],[RTN]]-Table432[[#This Row],[RECIVED AMOUNT]]</f>
        <v>-290</v>
      </c>
      <c r="T179" s="55"/>
      <c r="U179" s="3"/>
      <c r="V179" s="41">
        <f>Table432[[#This Row],[BALANCE]]-Table432[[#This Row],[RECIVED AMOUNT2]]</f>
        <v>-290</v>
      </c>
      <c r="W179" s="50"/>
      <c r="X179" s="50"/>
    </row>
    <row r="180" spans="1:121" s="11" customFormat="1" ht="19.95" customHeight="1">
      <c r="A180" s="92">
        <v>45474</v>
      </c>
      <c r="B180" s="7" t="s">
        <v>334</v>
      </c>
      <c r="C180" s="7" t="s">
        <v>157</v>
      </c>
      <c r="D180" s="7" t="s">
        <v>158</v>
      </c>
      <c r="E180" s="7" t="s">
        <v>59</v>
      </c>
      <c r="F180" s="5" t="s">
        <v>26</v>
      </c>
      <c r="G180" s="85">
        <v>998531</v>
      </c>
      <c r="H180" s="221">
        <v>0.18</v>
      </c>
      <c r="I180" s="69">
        <v>30400</v>
      </c>
      <c r="J180" s="69">
        <f t="shared" si="12"/>
        <v>2736</v>
      </c>
      <c r="K180" s="69">
        <f t="shared" si="13"/>
        <v>2736</v>
      </c>
      <c r="L180" s="69"/>
      <c r="M180" s="94">
        <f>Table432[[#This Row],[Taxable Amount]]+Table432[[#This Row],[SGST]]+Table432[[#This Row],[CGST]]</f>
        <v>35872</v>
      </c>
      <c r="N180" s="155">
        <f>Table432[[#This Row],[Taxable Amount]]*1%</f>
        <v>304</v>
      </c>
      <c r="O180" s="182">
        <v>0</v>
      </c>
      <c r="P180" s="156">
        <v>15919</v>
      </c>
      <c r="Q180" s="363">
        <v>45751</v>
      </c>
      <c r="R180" s="199" t="s">
        <v>311</v>
      </c>
      <c r="S180" s="93">
        <f>Table432[[#This Row],[Invoice Amount]]-Table432[[#This Row],[TDS]]-Table432[[#This Row],[RTN]]-Table432[[#This Row],[RECIVED AMOUNT]]</f>
        <v>19649</v>
      </c>
      <c r="T180" s="99"/>
      <c r="U180" s="7"/>
      <c r="V180" s="70">
        <f>Table432[[#This Row],[BALANCE]]-Table432[[#This Row],[RECIVED AMOUNT2]]</f>
        <v>19649</v>
      </c>
      <c r="W180" s="211"/>
      <c r="X180" s="2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</row>
    <row r="181" spans="1:121" ht="19.95" customHeight="1">
      <c r="A181" s="79">
        <v>45474</v>
      </c>
      <c r="B181" s="21" t="s">
        <v>335</v>
      </c>
      <c r="C181" s="21" t="s">
        <v>290</v>
      </c>
      <c r="D181" s="21" t="s">
        <v>291</v>
      </c>
      <c r="E181" s="21" t="s">
        <v>25</v>
      </c>
      <c r="F181" s="22" t="s">
        <v>26</v>
      </c>
      <c r="G181" s="22">
        <v>998531</v>
      </c>
      <c r="H181" s="23">
        <v>0.18</v>
      </c>
      <c r="I181" s="36">
        <v>3000</v>
      </c>
      <c r="J181" s="36">
        <f t="shared" si="12"/>
        <v>270</v>
      </c>
      <c r="K181" s="36">
        <f t="shared" si="13"/>
        <v>270</v>
      </c>
      <c r="L181" s="37"/>
      <c r="M181" s="37">
        <f>Table432[[#This Row],[Taxable Amount]]+Table432[[#This Row],[SGST]]+Table432[[#This Row],[CGST]]</f>
        <v>3540</v>
      </c>
      <c r="N181" s="71">
        <v>0</v>
      </c>
      <c r="O181" s="173">
        <v>0</v>
      </c>
      <c r="P181" s="148">
        <v>3540</v>
      </c>
      <c r="Q181" s="59">
        <v>45483</v>
      </c>
      <c r="R181" s="193" t="s">
        <v>311</v>
      </c>
      <c r="S181" s="138">
        <f>Table432[[#This Row],[Invoice Amount]]-Table432[[#This Row],[TDS]]-Table432[[#This Row],[RTN]]-Table432[[#This Row],[RECIVED AMOUNT]]</f>
        <v>0</v>
      </c>
      <c r="T181" s="49"/>
      <c r="U181" s="3"/>
      <c r="V181" s="41">
        <f>Table432[[#This Row],[BALANCE]]-Table432[[#This Row],[RECIVED AMOUNT2]]</f>
        <v>0</v>
      </c>
      <c r="W181" s="50"/>
      <c r="X181" s="50"/>
    </row>
    <row r="182" spans="1:121" ht="19.95" customHeight="1">
      <c r="A182" s="68">
        <v>45474</v>
      </c>
      <c r="B182" s="3" t="s">
        <v>336</v>
      </c>
      <c r="C182" s="3" t="s">
        <v>337</v>
      </c>
      <c r="D182" s="3" t="s">
        <v>338</v>
      </c>
      <c r="E182" s="3" t="s">
        <v>339</v>
      </c>
      <c r="F182" s="4" t="s">
        <v>26</v>
      </c>
      <c r="G182" s="22">
        <v>998531</v>
      </c>
      <c r="H182" s="23">
        <v>0.18</v>
      </c>
      <c r="I182" s="9">
        <v>12100</v>
      </c>
      <c r="J182" s="9">
        <f t="shared" si="12"/>
        <v>1089</v>
      </c>
      <c r="K182" s="9">
        <f t="shared" si="13"/>
        <v>1089</v>
      </c>
      <c r="L182" s="41"/>
      <c r="M182" s="37">
        <f>Table432[[#This Row],[Taxable Amount]]+Table432[[#This Row],[SGST]]+Table432[[#This Row],[CGST]]</f>
        <v>14278</v>
      </c>
      <c r="N182" s="71">
        <v>0</v>
      </c>
      <c r="O182" s="157">
        <v>0</v>
      </c>
      <c r="P182" s="148">
        <v>14278</v>
      </c>
      <c r="Q182" s="59">
        <v>45215</v>
      </c>
      <c r="R182" s="193" t="s">
        <v>333</v>
      </c>
      <c r="S182" s="138">
        <f>Table432[[#This Row],[Invoice Amount]]-Table432[[#This Row],[TDS]]-Table432[[#This Row],[RTN]]-Table432[[#This Row],[RECIVED AMOUNT]]</f>
        <v>0</v>
      </c>
      <c r="T182" s="55"/>
      <c r="U182" s="3"/>
      <c r="V182" s="41">
        <f>Table432[[#This Row],[BALANCE]]-Table432[[#This Row],[RECIVED AMOUNT2]]</f>
        <v>0</v>
      </c>
      <c r="W182" s="50"/>
      <c r="X182" s="50"/>
    </row>
    <row r="183" spans="1:121" s="13" customFormat="1" ht="19.95" customHeight="1">
      <c r="A183" s="78">
        <v>45474</v>
      </c>
      <c r="B183" s="31" t="s">
        <v>340</v>
      </c>
      <c r="C183" s="31" t="s">
        <v>87</v>
      </c>
      <c r="D183" s="31" t="s">
        <v>88</v>
      </c>
      <c r="E183" s="31" t="s">
        <v>89</v>
      </c>
      <c r="F183" s="33" t="s">
        <v>26</v>
      </c>
      <c r="G183" s="34">
        <v>998531</v>
      </c>
      <c r="H183" s="23">
        <v>0.18</v>
      </c>
      <c r="I183" s="42">
        <v>6800</v>
      </c>
      <c r="J183" s="42">
        <f t="shared" si="12"/>
        <v>612</v>
      </c>
      <c r="K183" s="42">
        <f t="shared" si="13"/>
        <v>612</v>
      </c>
      <c r="L183" s="43"/>
      <c r="M183" s="44">
        <f>Table432[[#This Row],[Taxable Amount]]+Table432[[#This Row],[SGST]]+Table432[[#This Row],[CGST]]</f>
        <v>8024</v>
      </c>
      <c r="N183" s="142"/>
      <c r="O183" s="152">
        <v>0</v>
      </c>
      <c r="P183" s="203" t="s">
        <v>18</v>
      </c>
      <c r="Q183" s="73"/>
      <c r="R183" s="198" t="s">
        <v>243</v>
      </c>
      <c r="S183" s="138" t="e">
        <f>Table432[[#This Row],[Invoice Amount]]-Table432[[#This Row],[TDS]]-Table432[[#This Row],[RTN]]-Table432[[#This Row],[RECIVED AMOUNT]]</f>
        <v>#VALUE!</v>
      </c>
      <c r="T183" s="63"/>
      <c r="U183" s="31"/>
      <c r="V183" s="41" t="e">
        <f>Table432[[#This Row],[BALANCE]]-Table432[[#This Row],[RECIVED AMOUNT2]]</f>
        <v>#VALUE!</v>
      </c>
      <c r="W183" s="208"/>
      <c r="X183" s="208"/>
    </row>
    <row r="184" spans="1:121" ht="19.95" customHeight="1">
      <c r="A184" s="68">
        <v>45481</v>
      </c>
      <c r="B184" s="3" t="s">
        <v>341</v>
      </c>
      <c r="C184" s="21" t="s">
        <v>342</v>
      </c>
      <c r="D184" s="3" t="s">
        <v>343</v>
      </c>
      <c r="E184" s="3" t="s">
        <v>59</v>
      </c>
      <c r="F184" s="4" t="s">
        <v>26</v>
      </c>
      <c r="G184" s="22">
        <v>998531</v>
      </c>
      <c r="H184" s="23">
        <v>0.18</v>
      </c>
      <c r="I184" s="9">
        <v>2000</v>
      </c>
      <c r="J184" s="9">
        <f t="shared" si="12"/>
        <v>180</v>
      </c>
      <c r="K184" s="9">
        <f t="shared" si="13"/>
        <v>180</v>
      </c>
      <c r="L184" s="41"/>
      <c r="M184" s="37">
        <f>Table432[[#This Row],[Taxable Amount]]+Table432[[#This Row],[SGST]]+Table432[[#This Row],[CGST]]</f>
        <v>2360</v>
      </c>
      <c r="N184" s="71"/>
      <c r="O184" s="157">
        <v>0</v>
      </c>
      <c r="P184" s="148">
        <v>2360</v>
      </c>
      <c r="Q184" s="59">
        <v>45480</v>
      </c>
      <c r="R184" s="193" t="s">
        <v>311</v>
      </c>
      <c r="S184" s="138" t="s">
        <v>1268</v>
      </c>
      <c r="T184" s="55"/>
      <c r="U184" s="3"/>
      <c r="V184" s="41" t="e">
        <f>Table432[[#This Row],[BALANCE]]-Table432[[#This Row],[RECIVED AMOUNT2]]</f>
        <v>#VALUE!</v>
      </c>
      <c r="W184" s="50"/>
      <c r="X184" s="50"/>
    </row>
    <row r="185" spans="1:121" ht="19.95" customHeight="1">
      <c r="A185" s="68">
        <v>45490</v>
      </c>
      <c r="B185" s="3" t="s">
        <v>344</v>
      </c>
      <c r="C185" s="21" t="s">
        <v>293</v>
      </c>
      <c r="D185" s="3" t="s">
        <v>294</v>
      </c>
      <c r="E185" s="3" t="s">
        <v>295</v>
      </c>
      <c r="F185" s="4" t="s">
        <v>26</v>
      </c>
      <c r="G185" s="22">
        <v>998531</v>
      </c>
      <c r="H185" s="23">
        <v>0.18</v>
      </c>
      <c r="I185" s="9">
        <v>6000</v>
      </c>
      <c r="J185" s="9">
        <f t="shared" si="12"/>
        <v>540</v>
      </c>
      <c r="K185" s="9">
        <f t="shared" si="13"/>
        <v>540</v>
      </c>
      <c r="L185" s="41"/>
      <c r="M185" s="37">
        <f>Table432[[#This Row],[Taxable Amount]]+Table432[[#This Row],[SGST]]+Table432[[#This Row],[CGST]]</f>
        <v>7080</v>
      </c>
      <c r="N185" s="71">
        <f>Table432[[#This Row],[Taxable Amount]]*1%</f>
        <v>60</v>
      </c>
      <c r="O185" s="144">
        <v>0</v>
      </c>
      <c r="P185" s="148">
        <v>7080</v>
      </c>
      <c r="Q185" s="59">
        <v>45515</v>
      </c>
      <c r="R185" s="193" t="s">
        <v>333</v>
      </c>
      <c r="S185" s="138">
        <f>Table432[[#This Row],[Invoice Amount]]-Table432[[#This Row],[TDS]]-Table432[[#This Row],[RTN]]-Table432[[#This Row],[RECIVED AMOUNT]]</f>
        <v>-60</v>
      </c>
      <c r="T185" s="55"/>
      <c r="U185" s="3"/>
      <c r="V185" s="41">
        <f>Table432[[#This Row],[BALANCE]]-Table432[[#This Row],[RECIVED AMOUNT2]]</f>
        <v>-60</v>
      </c>
      <c r="W185" s="50"/>
      <c r="X185" s="50"/>
    </row>
    <row r="186" spans="1:121" ht="19.95" customHeight="1">
      <c r="A186" s="68">
        <v>45495</v>
      </c>
      <c r="B186" s="3" t="s">
        <v>345</v>
      </c>
      <c r="C186" s="3" t="s">
        <v>258</v>
      </c>
      <c r="D186" s="3" t="s">
        <v>259</v>
      </c>
      <c r="E186" s="3" t="s">
        <v>260</v>
      </c>
      <c r="F186" s="4" t="s">
        <v>26</v>
      </c>
      <c r="G186" s="22">
        <v>998531</v>
      </c>
      <c r="H186" s="23">
        <v>0.18</v>
      </c>
      <c r="I186" s="9">
        <v>16650</v>
      </c>
      <c r="J186" s="9">
        <f t="shared" si="12"/>
        <v>1498.5</v>
      </c>
      <c r="K186" s="9">
        <f t="shared" si="13"/>
        <v>1498.5</v>
      </c>
      <c r="L186" s="41"/>
      <c r="M186" s="37">
        <f>Table432[[#This Row],[Taxable Amount]]+Table432[[#This Row],[SGST]]+Table432[[#This Row],[CGST]]</f>
        <v>19647</v>
      </c>
      <c r="N186" s="71">
        <f>Table432[[#This Row],[Taxable Amount]]*1%</f>
        <v>166.5</v>
      </c>
      <c r="O186" s="157">
        <v>0</v>
      </c>
      <c r="P186" s="148">
        <v>19480</v>
      </c>
      <c r="Q186" s="59">
        <v>45554</v>
      </c>
      <c r="R186" s="193" t="s">
        <v>311</v>
      </c>
      <c r="S186" s="138">
        <f>Table432[[#This Row],[Invoice Amount]]-Table432[[#This Row],[TDS]]-Table432[[#This Row],[RTN]]-Table432[[#This Row],[RECIVED AMOUNT]]</f>
        <v>0.5</v>
      </c>
      <c r="T186" s="55"/>
      <c r="U186" s="3"/>
      <c r="V186" s="41">
        <f>Table432[[#This Row],[BALANCE]]-Table432[[#This Row],[RECIVED AMOUNT2]]</f>
        <v>0.5</v>
      </c>
      <c r="W186" s="50"/>
      <c r="X186" s="50"/>
    </row>
    <row r="187" spans="1:121" ht="19.95" customHeight="1">
      <c r="A187" s="68">
        <v>45500</v>
      </c>
      <c r="B187" s="3" t="s">
        <v>346</v>
      </c>
      <c r="C187" s="3" t="s">
        <v>347</v>
      </c>
      <c r="D187" s="3" t="s">
        <v>348</v>
      </c>
      <c r="E187" s="3" t="s">
        <v>67</v>
      </c>
      <c r="F187" s="4" t="s">
        <v>26</v>
      </c>
      <c r="G187" s="22">
        <v>998531</v>
      </c>
      <c r="H187" s="23">
        <v>0.18</v>
      </c>
      <c r="I187" s="9">
        <v>3300</v>
      </c>
      <c r="J187" s="9">
        <f t="shared" si="12"/>
        <v>297</v>
      </c>
      <c r="K187" s="9">
        <f t="shared" si="13"/>
        <v>297</v>
      </c>
      <c r="L187" s="41"/>
      <c r="M187" s="37">
        <f>Table432[[#This Row],[Taxable Amount]]+Table432[[#This Row],[SGST]]+Table432[[#This Row],[CGST]]</f>
        <v>3894</v>
      </c>
      <c r="N187" s="71"/>
      <c r="O187" s="157">
        <v>0</v>
      </c>
      <c r="P187" s="148">
        <v>3894</v>
      </c>
      <c r="Q187" s="59"/>
      <c r="R187" s="193" t="s">
        <v>349</v>
      </c>
      <c r="S187" s="138">
        <f>Table432[[#This Row],[Invoice Amount]]-Table432[[#This Row],[TDS]]-Table432[[#This Row],[RTN]]-Table432[[#This Row],[RECIVED AMOUNT]]</f>
        <v>0</v>
      </c>
      <c r="T187" s="55"/>
      <c r="U187" s="3"/>
      <c r="V187" s="41">
        <f>Table432[[#This Row],[BALANCE]]-Table432[[#This Row],[RECIVED AMOUNT2]]</f>
        <v>0</v>
      </c>
      <c r="W187" s="50"/>
      <c r="X187" s="50"/>
    </row>
    <row r="188" spans="1:121" s="325" customFormat="1" ht="19.95" customHeight="1">
      <c r="A188" s="345">
        <v>45504</v>
      </c>
      <c r="B188" s="327" t="s">
        <v>350</v>
      </c>
      <c r="C188" s="327" t="s">
        <v>234</v>
      </c>
      <c r="D188" s="327" t="s">
        <v>235</v>
      </c>
      <c r="E188" s="327" t="s">
        <v>236</v>
      </c>
      <c r="F188" s="332" t="s">
        <v>26</v>
      </c>
      <c r="G188" s="346">
        <v>998531</v>
      </c>
      <c r="H188" s="317">
        <v>0.18</v>
      </c>
      <c r="I188" s="340">
        <v>8570</v>
      </c>
      <c r="J188" s="340">
        <f t="shared" si="12"/>
        <v>771.3</v>
      </c>
      <c r="K188" s="340">
        <f t="shared" si="13"/>
        <v>771.3</v>
      </c>
      <c r="L188" s="324"/>
      <c r="M188" s="347">
        <f>Table432[[#This Row],[Taxable Amount]]+Table432[[#This Row],[SGST]]+Table432[[#This Row],[CGST]]</f>
        <v>10112.599999999999</v>
      </c>
      <c r="N188" s="348">
        <v>0</v>
      </c>
      <c r="O188" s="349">
        <v>0</v>
      </c>
      <c r="P188" s="354"/>
      <c r="Q188" s="355"/>
      <c r="R188" s="359" t="s">
        <v>311</v>
      </c>
      <c r="S188" s="323">
        <f>Table432[[#This Row],[Invoice Amount]]-Table432[[#This Row],[TDS]]-Table432[[#This Row],[RTN]]-Table432[[#This Row],[RECIVED AMOUNT]]</f>
        <v>10112.599999999999</v>
      </c>
      <c r="T188" s="351"/>
      <c r="U188" s="327"/>
      <c r="V188" s="324">
        <f>Table432[[#This Row],[BALANCE]]-Table432[[#This Row],[RECIVED AMOUNT2]]</f>
        <v>10112.599999999999</v>
      </c>
      <c r="W188" s="352"/>
      <c r="X188" s="352"/>
    </row>
    <row r="189" spans="1:121" ht="19.95" customHeight="1">
      <c r="A189" s="68">
        <v>45504</v>
      </c>
      <c r="B189" s="3" t="s">
        <v>351</v>
      </c>
      <c r="C189" s="3" t="s">
        <v>42</v>
      </c>
      <c r="D189" s="3" t="s">
        <v>43</v>
      </c>
      <c r="E189" s="3" t="s">
        <v>101</v>
      </c>
      <c r="F189" s="4" t="s">
        <v>26</v>
      </c>
      <c r="G189" s="22">
        <v>998531</v>
      </c>
      <c r="H189" s="23">
        <v>0.18</v>
      </c>
      <c r="I189" s="9">
        <v>6000</v>
      </c>
      <c r="J189" s="9">
        <f t="shared" ref="J189:J220" si="14">I189*9/100</f>
        <v>540</v>
      </c>
      <c r="K189" s="9">
        <f t="shared" ref="K189:K220" si="15">I189*9/100</f>
        <v>540</v>
      </c>
      <c r="L189" s="41"/>
      <c r="M189" s="37">
        <f>Table432[[#This Row],[Taxable Amount]]+Table432[[#This Row],[SGST]]+Table432[[#This Row],[CGST]]</f>
        <v>7080</v>
      </c>
      <c r="N189" s="71">
        <f>Table432[[#This Row],[Taxable Amount]]*1%</f>
        <v>60</v>
      </c>
      <c r="O189" s="157">
        <v>0</v>
      </c>
      <c r="P189" s="148">
        <v>5310</v>
      </c>
      <c r="Q189" s="59">
        <v>45316</v>
      </c>
      <c r="R189" s="193" t="s">
        <v>311</v>
      </c>
      <c r="S189" s="138">
        <f>Table432[[#This Row],[Invoice Amount]]-Table432[[#This Row],[TDS]]-Table432[[#This Row],[RTN]]-Table432[[#This Row],[RECIVED AMOUNT]]</f>
        <v>1710</v>
      </c>
      <c r="T189" s="55"/>
      <c r="U189" s="3"/>
      <c r="V189" s="41">
        <f>Table432[[#This Row],[BALANCE]]-Table432[[#This Row],[RECIVED AMOUNT2]]</f>
        <v>1710</v>
      </c>
      <c r="W189" s="50"/>
      <c r="X189" s="50"/>
    </row>
    <row r="190" spans="1:121" ht="19.95" customHeight="1">
      <c r="A190" s="68">
        <v>45504</v>
      </c>
      <c r="B190" s="3" t="s">
        <v>352</v>
      </c>
      <c r="C190" s="21" t="s">
        <v>116</v>
      </c>
      <c r="D190" s="3" t="s">
        <v>117</v>
      </c>
      <c r="E190" s="3" t="s">
        <v>59</v>
      </c>
      <c r="F190" s="4" t="s">
        <v>26</v>
      </c>
      <c r="G190" s="22">
        <v>998531</v>
      </c>
      <c r="H190" s="23">
        <v>0.18</v>
      </c>
      <c r="I190" s="9">
        <v>12650</v>
      </c>
      <c r="J190" s="9">
        <f t="shared" si="14"/>
        <v>1138.5</v>
      </c>
      <c r="K190" s="9">
        <f t="shared" si="15"/>
        <v>1138.5</v>
      </c>
      <c r="L190" s="41"/>
      <c r="M190" s="37">
        <f>Table432[[#This Row],[Taxable Amount]]+Table432[[#This Row],[SGST]]+Table432[[#This Row],[CGST]]</f>
        <v>14927</v>
      </c>
      <c r="N190" s="71">
        <f>Table432[[#This Row],[Taxable Amount]]*1%</f>
        <v>126.5</v>
      </c>
      <c r="O190" s="157">
        <v>0</v>
      </c>
      <c r="P190" s="148">
        <v>14800</v>
      </c>
      <c r="Q190" s="59">
        <v>45559</v>
      </c>
      <c r="R190" s="193" t="s">
        <v>311</v>
      </c>
      <c r="S190" s="138">
        <f>Table432[[#This Row],[Invoice Amount]]-Table432[[#This Row],[TDS]]-Table432[[#This Row],[RTN]]-Table432[[#This Row],[RECIVED AMOUNT]]</f>
        <v>0.5</v>
      </c>
      <c r="T190" s="55"/>
      <c r="U190" s="3"/>
      <c r="V190" s="41">
        <f>Table432[[#This Row],[BALANCE]]-Table432[[#This Row],[RECIVED AMOUNT2]]</f>
        <v>0.5</v>
      </c>
      <c r="W190" s="50"/>
      <c r="X190" s="50"/>
    </row>
    <row r="191" spans="1:121" ht="19.95" customHeight="1">
      <c r="A191" s="68">
        <v>45504</v>
      </c>
      <c r="B191" s="3" t="s">
        <v>353</v>
      </c>
      <c r="C191" s="3" t="s">
        <v>955</v>
      </c>
      <c r="D191" s="3" t="s">
        <v>205</v>
      </c>
      <c r="E191" s="3" t="s">
        <v>59</v>
      </c>
      <c r="F191" s="4" t="s">
        <v>26</v>
      </c>
      <c r="G191" s="22">
        <v>998531</v>
      </c>
      <c r="H191" s="23">
        <v>0.18</v>
      </c>
      <c r="I191" s="9">
        <v>10000</v>
      </c>
      <c r="J191" s="9">
        <f t="shared" si="14"/>
        <v>900</v>
      </c>
      <c r="K191" s="9">
        <f t="shared" si="15"/>
        <v>900</v>
      </c>
      <c r="L191" s="41"/>
      <c r="M191" s="37">
        <f>Table432[[#This Row],[Taxable Amount]]+Table432[[#This Row],[SGST]]+Table432[[#This Row],[CGST]]</f>
        <v>11800</v>
      </c>
      <c r="N191" s="71">
        <v>0</v>
      </c>
      <c r="O191" s="157">
        <v>0</v>
      </c>
      <c r="P191" s="148">
        <v>10000</v>
      </c>
      <c r="Q191" s="59">
        <v>45547</v>
      </c>
      <c r="R191" s="193" t="s">
        <v>311</v>
      </c>
      <c r="S191" s="138">
        <f>Table432[[#This Row],[Invoice Amount]]-Table432[[#This Row],[TDS]]-Table432[[#This Row],[RTN]]-Table432[[#This Row],[RECIVED AMOUNT]]</f>
        <v>1800</v>
      </c>
      <c r="T191" s="55"/>
      <c r="U191" s="3"/>
      <c r="V191" s="41">
        <f>Table432[[#This Row],[BALANCE]]-Table432[[#This Row],[RECIVED AMOUNT2]]</f>
        <v>1800</v>
      </c>
      <c r="W191" s="50"/>
      <c r="X191" s="50"/>
    </row>
    <row r="192" spans="1:121" ht="19.95" customHeight="1">
      <c r="A192" s="68">
        <v>45504</v>
      </c>
      <c r="B192" s="3" t="s">
        <v>354</v>
      </c>
      <c r="C192" s="3" t="s">
        <v>290</v>
      </c>
      <c r="D192" s="3" t="s">
        <v>291</v>
      </c>
      <c r="E192" s="3" t="s">
        <v>25</v>
      </c>
      <c r="F192" s="4" t="s">
        <v>26</v>
      </c>
      <c r="G192" s="22">
        <v>998531</v>
      </c>
      <c r="H192" s="23">
        <v>0.18</v>
      </c>
      <c r="I192" s="9">
        <v>4500</v>
      </c>
      <c r="J192" s="9">
        <f t="shared" si="14"/>
        <v>405</v>
      </c>
      <c r="K192" s="9">
        <f t="shared" si="15"/>
        <v>405</v>
      </c>
      <c r="L192" s="41"/>
      <c r="M192" s="37">
        <f>Table432[[#This Row],[Taxable Amount]]+Table432[[#This Row],[SGST]]+Table432[[#This Row],[CGST]]</f>
        <v>5310</v>
      </c>
      <c r="N192" s="71">
        <v>0</v>
      </c>
      <c r="O192" s="157">
        <v>0</v>
      </c>
      <c r="P192" s="148">
        <v>5310</v>
      </c>
      <c r="Q192" s="59">
        <v>45513</v>
      </c>
      <c r="R192" s="193" t="s">
        <v>311</v>
      </c>
      <c r="S192" s="138">
        <f>Table432[[#This Row],[Invoice Amount]]-Table432[[#This Row],[TDS]]-Table432[[#This Row],[RTN]]-Table432[[#This Row],[RECIVED AMOUNT]]</f>
        <v>0</v>
      </c>
      <c r="T192" s="55"/>
      <c r="U192" s="3"/>
      <c r="V192" s="41">
        <f>Table432[[#This Row],[BALANCE]]-Table432[[#This Row],[RECIVED AMOUNT2]]</f>
        <v>0</v>
      </c>
      <c r="W192" s="50"/>
      <c r="X192" s="50"/>
    </row>
    <row r="193" spans="1:121" ht="19.95" customHeight="1">
      <c r="A193" s="68">
        <v>45504</v>
      </c>
      <c r="B193" s="3" t="s">
        <v>355</v>
      </c>
      <c r="C193" s="3" t="s">
        <v>337</v>
      </c>
      <c r="D193" s="3" t="s">
        <v>338</v>
      </c>
      <c r="E193" s="3" t="s">
        <v>339</v>
      </c>
      <c r="F193" s="4" t="s">
        <v>26</v>
      </c>
      <c r="G193" s="22">
        <v>998531</v>
      </c>
      <c r="H193" s="23">
        <v>0.18</v>
      </c>
      <c r="I193" s="9">
        <v>15800</v>
      </c>
      <c r="J193" s="9">
        <f t="shared" si="14"/>
        <v>1422</v>
      </c>
      <c r="K193" s="9">
        <f t="shared" si="15"/>
        <v>1422</v>
      </c>
      <c r="L193" s="41"/>
      <c r="M193" s="37">
        <f>Table432[[#This Row],[Taxable Amount]]+Table432[[#This Row],[SGST]]+Table432[[#This Row],[CGST]]</f>
        <v>18644</v>
      </c>
      <c r="N193" s="71">
        <v>0</v>
      </c>
      <c r="O193" s="157">
        <v>0</v>
      </c>
      <c r="P193" s="148">
        <v>18000</v>
      </c>
      <c r="Q193" s="59">
        <v>45562</v>
      </c>
      <c r="R193" s="193" t="s">
        <v>356</v>
      </c>
      <c r="S193" s="138">
        <f>Table432[[#This Row],[Invoice Amount]]-Table432[[#This Row],[TDS]]-Table432[[#This Row],[RTN]]-Table432[[#This Row],[RECIVED AMOUNT]]</f>
        <v>644</v>
      </c>
      <c r="T193" s="55"/>
      <c r="U193" s="3"/>
      <c r="V193" s="41">
        <f>Table432[[#This Row],[BALANCE]]-Table432[[#This Row],[RECIVED AMOUNT2]]</f>
        <v>644</v>
      </c>
      <c r="W193" s="50"/>
      <c r="X193" s="50"/>
    </row>
    <row r="194" spans="1:121" ht="19.95" customHeight="1">
      <c r="A194" s="68">
        <v>45504</v>
      </c>
      <c r="B194" s="3" t="s">
        <v>357</v>
      </c>
      <c r="C194" s="3" t="s">
        <v>342</v>
      </c>
      <c r="D194" s="3" t="s">
        <v>343</v>
      </c>
      <c r="E194" s="3" t="s">
        <v>59</v>
      </c>
      <c r="F194" s="4" t="s">
        <v>26</v>
      </c>
      <c r="G194" s="22">
        <v>998531</v>
      </c>
      <c r="H194" s="23">
        <v>0.18</v>
      </c>
      <c r="I194" s="9">
        <v>1000</v>
      </c>
      <c r="J194" s="9">
        <f t="shared" si="14"/>
        <v>90</v>
      </c>
      <c r="K194" s="9">
        <f t="shared" si="15"/>
        <v>90</v>
      </c>
      <c r="L194" s="41"/>
      <c r="M194" s="37">
        <f>Table432[[#This Row],[Taxable Amount]]+Table432[[#This Row],[SGST]]+Table432[[#This Row],[CGST]]</f>
        <v>1180</v>
      </c>
      <c r="N194" s="71">
        <f>Table432[[#This Row],[Taxable Amount]]*1%</f>
        <v>10</v>
      </c>
      <c r="O194" s="157">
        <v>0</v>
      </c>
      <c r="P194" s="148">
        <v>1160</v>
      </c>
      <c r="Q194" s="59">
        <v>45612</v>
      </c>
      <c r="R194" s="193" t="s">
        <v>311</v>
      </c>
      <c r="S194" s="138" t="s">
        <v>1268</v>
      </c>
      <c r="T194" s="55"/>
      <c r="U194" s="3"/>
      <c r="V194" s="41" t="e">
        <f>Table432[[#This Row],[BALANCE]]-Table432[[#This Row],[RECIVED AMOUNT2]]</f>
        <v>#VALUE!</v>
      </c>
      <c r="W194" s="50"/>
      <c r="X194" s="50"/>
    </row>
    <row r="195" spans="1:121" s="10" customFormat="1" ht="19.95" customHeight="1">
      <c r="A195" s="86">
        <v>45504</v>
      </c>
      <c r="B195" s="7" t="s">
        <v>358</v>
      </c>
      <c r="C195" s="7" t="s">
        <v>157</v>
      </c>
      <c r="D195" s="7" t="s">
        <v>158</v>
      </c>
      <c r="E195" s="7" t="s">
        <v>59</v>
      </c>
      <c r="F195" s="5" t="s">
        <v>26</v>
      </c>
      <c r="G195" s="85">
        <v>998531</v>
      </c>
      <c r="H195" s="221">
        <v>0.18</v>
      </c>
      <c r="I195" s="69">
        <v>31400</v>
      </c>
      <c r="J195" s="69">
        <f t="shared" si="14"/>
        <v>2826</v>
      </c>
      <c r="K195" s="69">
        <f t="shared" si="15"/>
        <v>2826</v>
      </c>
      <c r="L195" s="70"/>
      <c r="M195" s="94">
        <f>Table432[[#This Row],[Taxable Amount]]+Table432[[#This Row],[SGST]]+Table432[[#This Row],[CGST]]</f>
        <v>37052</v>
      </c>
      <c r="N195" s="155">
        <f>Table432[[#This Row],[Taxable Amount]]*1%</f>
        <v>314</v>
      </c>
      <c r="O195" s="158">
        <v>0</v>
      </c>
      <c r="P195" s="156"/>
      <c r="Q195" s="363">
        <v>45751</v>
      </c>
      <c r="R195" s="199" t="s">
        <v>333</v>
      </c>
      <c r="S195" s="93">
        <f>Table432[[#This Row],[Invoice Amount]]-Table432[[#This Row],[TDS]]-Table432[[#This Row],[RTN]]-Table432[[#This Row],[RECIVED AMOUNT]]</f>
        <v>36738</v>
      </c>
      <c r="T195" s="99"/>
      <c r="U195" s="7"/>
      <c r="V195" s="70">
        <f>Table432[[#This Row],[BALANCE]]-Table432[[#This Row],[RECIVED AMOUNT2]]</f>
        <v>36738</v>
      </c>
      <c r="W195" s="211"/>
      <c r="X195" s="211"/>
    </row>
    <row r="196" spans="1:121" s="10" customFormat="1" ht="19.95" customHeight="1">
      <c r="A196" s="86">
        <v>45504</v>
      </c>
      <c r="B196" s="7" t="s">
        <v>359</v>
      </c>
      <c r="C196" s="7" t="s">
        <v>157</v>
      </c>
      <c r="D196" s="7" t="s">
        <v>158</v>
      </c>
      <c r="E196" s="7" t="s">
        <v>59</v>
      </c>
      <c r="F196" s="5" t="s">
        <v>26</v>
      </c>
      <c r="G196" s="85">
        <v>998531</v>
      </c>
      <c r="H196" s="221">
        <v>0.18</v>
      </c>
      <c r="I196" s="69">
        <v>6360</v>
      </c>
      <c r="J196" s="69">
        <f t="shared" si="14"/>
        <v>572.4</v>
      </c>
      <c r="K196" s="69">
        <f t="shared" si="15"/>
        <v>572.4</v>
      </c>
      <c r="L196" s="70"/>
      <c r="M196" s="94">
        <f>Table432[[#This Row],[Taxable Amount]]+Table432[[#This Row],[SGST]]+Table432[[#This Row],[CGST]]</f>
        <v>7504.7999999999993</v>
      </c>
      <c r="N196" s="155">
        <f>Table432[[#This Row],[Taxable Amount]]*1%</f>
        <v>63.6</v>
      </c>
      <c r="O196" s="158">
        <v>0</v>
      </c>
      <c r="P196" s="156"/>
      <c r="Q196" s="363">
        <v>45751</v>
      </c>
      <c r="R196" s="199" t="s">
        <v>311</v>
      </c>
      <c r="S196" s="93">
        <f>Table432[[#This Row],[Invoice Amount]]-Table432[[#This Row],[TDS]]-Table432[[#This Row],[RTN]]-Table432[[#This Row],[RECIVED AMOUNT]]</f>
        <v>7441.1999999999989</v>
      </c>
      <c r="T196" s="99"/>
      <c r="U196" s="7"/>
      <c r="V196" s="70">
        <f>Table432[[#This Row],[BALANCE]]-Table432[[#This Row],[RECIVED AMOUNT2]]</f>
        <v>7441.1999999999989</v>
      </c>
      <c r="W196" s="211"/>
      <c r="X196" s="211"/>
    </row>
    <row r="197" spans="1:121" s="14" customFormat="1" ht="19.95" customHeight="1">
      <c r="A197" s="30">
        <v>45504</v>
      </c>
      <c r="B197" s="31" t="s">
        <v>360</v>
      </c>
      <c r="C197" s="31" t="s">
        <v>319</v>
      </c>
      <c r="D197" s="31" t="s">
        <v>320</v>
      </c>
      <c r="E197" s="31" t="s">
        <v>85</v>
      </c>
      <c r="F197" s="33" t="s">
        <v>26</v>
      </c>
      <c r="G197" s="34">
        <v>998531</v>
      </c>
      <c r="H197" s="23">
        <v>0.18</v>
      </c>
      <c r="I197" s="42">
        <v>8800</v>
      </c>
      <c r="J197" s="42">
        <f t="shared" si="14"/>
        <v>792</v>
      </c>
      <c r="K197" s="42">
        <f t="shared" si="15"/>
        <v>792</v>
      </c>
      <c r="L197" s="42"/>
      <c r="M197" s="44">
        <f>Table432[[#This Row],[Taxable Amount]]+Table432[[#This Row],[SGST]]+Table432[[#This Row],[CGST]]</f>
        <v>10384</v>
      </c>
      <c r="N197" s="142">
        <f>Table432[[#This Row],[Taxable Amount]]*1%</f>
        <v>88</v>
      </c>
      <c r="O197" s="179">
        <v>0</v>
      </c>
      <c r="P197" s="154">
        <v>0</v>
      </c>
      <c r="Q197" s="73"/>
      <c r="R197" s="198" t="s">
        <v>243</v>
      </c>
      <c r="S197" s="138">
        <f>Table432[[#This Row],[Invoice Amount]]-Table432[[#This Row],[TDS]]-Table432[[#This Row],[RTN]]-Table432[[#This Row],[RECIVED AMOUNT]]</f>
        <v>10296</v>
      </c>
      <c r="T197" s="63"/>
      <c r="U197" s="31"/>
      <c r="V197" s="41">
        <f>Table432[[#This Row],[BALANCE]]-Table432[[#This Row],[RECIVED AMOUNT2]]</f>
        <v>10296</v>
      </c>
      <c r="W197" s="209"/>
      <c r="X197" s="209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</row>
    <row r="198" spans="1:121" s="14" customFormat="1" ht="19.95" customHeight="1">
      <c r="A198" s="2">
        <v>45504</v>
      </c>
      <c r="B198" s="3" t="s">
        <v>361</v>
      </c>
      <c r="C198" s="3" t="s">
        <v>234</v>
      </c>
      <c r="D198" s="3" t="s">
        <v>235</v>
      </c>
      <c r="E198" s="3" t="s">
        <v>236</v>
      </c>
      <c r="F198" s="4" t="s">
        <v>26</v>
      </c>
      <c r="G198" s="22">
        <v>998531</v>
      </c>
      <c r="H198" s="23">
        <v>0.18</v>
      </c>
      <c r="I198" s="9">
        <v>12000</v>
      </c>
      <c r="J198" s="9">
        <f t="shared" si="14"/>
        <v>1080</v>
      </c>
      <c r="K198" s="9">
        <f t="shared" si="15"/>
        <v>1080</v>
      </c>
      <c r="L198" s="9"/>
      <c r="M198" s="37">
        <f>Table432[[#This Row],[Taxable Amount]]+Table432[[#This Row],[SGST]]+Table432[[#This Row],[CGST]]</f>
        <v>14160</v>
      </c>
      <c r="N198" s="71">
        <v>0</v>
      </c>
      <c r="O198" s="150">
        <v>0</v>
      </c>
      <c r="P198" s="148">
        <v>14160</v>
      </c>
      <c r="Q198" s="59"/>
      <c r="R198" s="193" t="s">
        <v>311</v>
      </c>
      <c r="S198" s="138">
        <f>Table432[[#This Row],[Invoice Amount]]-Table432[[#This Row],[TDS]]-Table432[[#This Row],[RTN]]-Table432[[#This Row],[RECIVED AMOUNT]]</f>
        <v>0</v>
      </c>
      <c r="T198" s="55"/>
      <c r="U198" s="3"/>
      <c r="V198" s="41">
        <f>Table432[[#This Row],[BALANCE]]-Table432[[#This Row],[RECIVED AMOUNT2]]</f>
        <v>0</v>
      </c>
      <c r="W198" s="209"/>
      <c r="X198" s="209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</row>
    <row r="199" spans="1:121" s="13" customFormat="1" ht="19.95" customHeight="1">
      <c r="A199" s="83">
        <v>45504</v>
      </c>
      <c r="B199" s="84" t="s">
        <v>362</v>
      </c>
      <c r="C199" s="3" t="s">
        <v>955</v>
      </c>
      <c r="D199" s="84" t="s">
        <v>205</v>
      </c>
      <c r="E199" s="84" t="s">
        <v>67</v>
      </c>
      <c r="F199" s="85" t="s">
        <v>37</v>
      </c>
      <c r="G199" s="85">
        <v>998531</v>
      </c>
      <c r="H199" s="23">
        <v>0.18</v>
      </c>
      <c r="I199" s="93">
        <v>15148</v>
      </c>
      <c r="J199" s="93">
        <f t="shared" si="14"/>
        <v>1363.32</v>
      </c>
      <c r="K199" s="93">
        <f t="shared" si="15"/>
        <v>1363.32</v>
      </c>
      <c r="L199" s="94"/>
      <c r="M199" s="94">
        <f>Table432[[#This Row],[Taxable Amount]]+Table432[[#This Row],[SGST]]+Table432[[#This Row],[CGST]]</f>
        <v>17874.64</v>
      </c>
      <c r="N199" s="155">
        <f>Table432[[#This Row],[Taxable Amount]]*1%</f>
        <v>151.47999999999999</v>
      </c>
      <c r="O199" s="180">
        <v>0</v>
      </c>
      <c r="P199" s="156">
        <v>17875</v>
      </c>
      <c r="Q199" s="97">
        <v>45868</v>
      </c>
      <c r="R199" s="199" t="s">
        <v>333</v>
      </c>
      <c r="S199" s="138">
        <f>Table432[[#This Row],[Invoice Amount]]-Table432[[#This Row],[TDS]]-Table432[[#This Row],[RTN]]-Table432[[#This Row],[RECIVED AMOUNT]]</f>
        <v>-151.84000000000015</v>
      </c>
      <c r="T199" s="98"/>
      <c r="U199" s="7"/>
      <c r="V199" s="41">
        <f>Table432[[#This Row],[BALANCE]]-Table432[[#This Row],[RECIVED AMOUNT2]]</f>
        <v>-151.84000000000015</v>
      </c>
      <c r="W199" s="208"/>
      <c r="X199" s="208"/>
    </row>
    <row r="200" spans="1:121" ht="19.95" customHeight="1">
      <c r="A200" s="68">
        <v>45504</v>
      </c>
      <c r="B200" s="3" t="s">
        <v>363</v>
      </c>
      <c r="C200" s="3" t="s">
        <v>42</v>
      </c>
      <c r="D200" s="3" t="s">
        <v>43</v>
      </c>
      <c r="E200" s="3" t="s">
        <v>44</v>
      </c>
      <c r="F200" s="4" t="s">
        <v>26</v>
      </c>
      <c r="G200" s="22">
        <v>998531</v>
      </c>
      <c r="H200" s="23">
        <v>0.18</v>
      </c>
      <c r="I200" s="9">
        <v>21900</v>
      </c>
      <c r="J200" s="9">
        <f t="shared" si="14"/>
        <v>1971</v>
      </c>
      <c r="K200" s="9">
        <f t="shared" si="15"/>
        <v>1971</v>
      </c>
      <c r="L200" s="41"/>
      <c r="M200" s="37">
        <f>Table432[[#This Row],[Taxable Amount]]+Table432[[#This Row],[SGST]]+Table432[[#This Row],[CGST]]</f>
        <v>25842</v>
      </c>
      <c r="N200" s="71">
        <f>Table432[[#This Row],[Taxable Amount]]*1%</f>
        <v>219</v>
      </c>
      <c r="O200" s="157">
        <v>547</v>
      </c>
      <c r="P200" s="145">
        <v>32557</v>
      </c>
      <c r="Q200" s="65">
        <v>45373</v>
      </c>
      <c r="R200" s="193" t="s">
        <v>311</v>
      </c>
      <c r="S200" s="138">
        <f>Table432[[#This Row],[Invoice Amount]]-Table432[[#This Row],[TDS]]-Table432[[#This Row],[RTN]]-Table432[[#This Row],[RECIVED AMOUNT]]</f>
        <v>-7481</v>
      </c>
      <c r="T200" s="55"/>
      <c r="U200" s="3"/>
      <c r="V200" s="41">
        <f>Table432[[#This Row],[BALANCE]]-Table432[[#This Row],[RECIVED AMOUNT2]]</f>
        <v>-7481</v>
      </c>
      <c r="W200" s="50"/>
      <c r="X200" s="50"/>
    </row>
    <row r="201" spans="1:121" s="10" customFormat="1" ht="19.95" customHeight="1">
      <c r="A201" s="68">
        <v>45504</v>
      </c>
      <c r="B201" s="3" t="s">
        <v>364</v>
      </c>
      <c r="C201" s="3" t="s">
        <v>42</v>
      </c>
      <c r="D201" s="3" t="s">
        <v>43</v>
      </c>
      <c r="E201" s="3" t="s">
        <v>163</v>
      </c>
      <c r="F201" s="4" t="s">
        <v>26</v>
      </c>
      <c r="G201" s="22">
        <v>998531</v>
      </c>
      <c r="H201" s="23">
        <v>0.18</v>
      </c>
      <c r="I201" s="9">
        <v>25250</v>
      </c>
      <c r="J201" s="9">
        <f t="shared" si="14"/>
        <v>2272.5</v>
      </c>
      <c r="K201" s="9">
        <f t="shared" si="15"/>
        <v>2272.5</v>
      </c>
      <c r="L201" s="41"/>
      <c r="M201" s="37">
        <f>Table432[[#This Row],[Taxable Amount]]+Table432[[#This Row],[SGST]]+Table432[[#This Row],[CGST]]</f>
        <v>29795</v>
      </c>
      <c r="N201" s="71">
        <f>Table432[[#This Row],[Taxable Amount]]*1%</f>
        <v>252.5</v>
      </c>
      <c r="O201" s="157">
        <v>631</v>
      </c>
      <c r="P201" s="148">
        <v>6890</v>
      </c>
      <c r="Q201" s="59">
        <v>45716</v>
      </c>
      <c r="R201" s="193" t="s">
        <v>333</v>
      </c>
      <c r="S201" s="138">
        <f>Table432[[#This Row],[Invoice Amount]]-Table432[[#This Row],[TDS]]-Table432[[#This Row],[RTN]]-Table432[[#This Row],[RECIVED AMOUNT]]</f>
        <v>22021.5</v>
      </c>
      <c r="T201" s="55"/>
      <c r="U201" s="3"/>
      <c r="V201" s="41">
        <f>Table432[[#This Row],[BALANCE]]-Table432[[#This Row],[RECIVED AMOUNT2]]</f>
        <v>22021.5</v>
      </c>
      <c r="W201" s="211"/>
      <c r="X201" s="211"/>
    </row>
    <row r="202" spans="1:121" ht="19.95" customHeight="1">
      <c r="A202" s="68">
        <v>45512</v>
      </c>
      <c r="B202" s="3" t="s">
        <v>365</v>
      </c>
      <c r="C202" s="21" t="s">
        <v>23</v>
      </c>
      <c r="D202" s="3" t="s">
        <v>24</v>
      </c>
      <c r="E202" s="3" t="s">
        <v>25</v>
      </c>
      <c r="F202" s="4" t="s">
        <v>26</v>
      </c>
      <c r="G202" s="22">
        <v>998531</v>
      </c>
      <c r="H202" s="23">
        <v>0.18</v>
      </c>
      <c r="I202" s="9">
        <v>9800</v>
      </c>
      <c r="J202" s="9">
        <f t="shared" si="14"/>
        <v>882</v>
      </c>
      <c r="K202" s="9">
        <f t="shared" si="15"/>
        <v>882</v>
      </c>
      <c r="L202" s="41"/>
      <c r="M202" s="37">
        <f>Table432[[#This Row],[Taxable Amount]]+Table432[[#This Row],[SGST]]+Table432[[#This Row],[CGST]]</f>
        <v>11564</v>
      </c>
      <c r="N202" s="71">
        <f>Table432[[#This Row],[Taxable Amount]]*1%</f>
        <v>98</v>
      </c>
      <c r="O202" s="157">
        <v>0</v>
      </c>
      <c r="P202" s="148"/>
      <c r="Q202" s="59">
        <v>45785</v>
      </c>
      <c r="R202" s="193" t="s">
        <v>356</v>
      </c>
      <c r="S202" s="138">
        <f>Table432[[#This Row],[Invoice Amount]]-Table432[[#This Row],[TDS]]-Table432[[#This Row],[RTN]]-Table432[[#This Row],[RECIVED AMOUNT]]</f>
        <v>11466</v>
      </c>
      <c r="T202" s="55"/>
      <c r="U202" s="3"/>
      <c r="V202" s="41">
        <f>Table432[[#This Row],[BALANCE]]-Table432[[#This Row],[RECIVED AMOUNT2]]</f>
        <v>11466</v>
      </c>
      <c r="W202" s="50"/>
      <c r="X202" s="50"/>
    </row>
    <row r="203" spans="1:121" ht="19.95" customHeight="1">
      <c r="A203" s="68">
        <v>45520</v>
      </c>
      <c r="B203" s="3" t="s">
        <v>366</v>
      </c>
      <c r="C203" s="21" t="s">
        <v>293</v>
      </c>
      <c r="D203" s="3" t="s">
        <v>294</v>
      </c>
      <c r="E203" s="3" t="s">
        <v>295</v>
      </c>
      <c r="F203" s="4" t="s">
        <v>26</v>
      </c>
      <c r="G203" s="22">
        <v>998531</v>
      </c>
      <c r="H203" s="23">
        <v>0.18</v>
      </c>
      <c r="I203" s="9">
        <v>6000</v>
      </c>
      <c r="J203" s="9">
        <f t="shared" si="14"/>
        <v>540</v>
      </c>
      <c r="K203" s="9">
        <f t="shared" si="15"/>
        <v>540</v>
      </c>
      <c r="L203" s="41"/>
      <c r="M203" s="37">
        <f>Table432[[#This Row],[Taxable Amount]]+Table432[[#This Row],[SGST]]+Table432[[#This Row],[CGST]]</f>
        <v>7080</v>
      </c>
      <c r="N203" s="71">
        <f>Table432[[#This Row],[Taxable Amount]]*1%</f>
        <v>60</v>
      </c>
      <c r="O203" s="144">
        <v>0</v>
      </c>
      <c r="P203" s="148"/>
      <c r="Q203" s="59">
        <v>45580</v>
      </c>
      <c r="R203" s="193" t="s">
        <v>333</v>
      </c>
      <c r="S203" s="138">
        <f>Table432[[#This Row],[Invoice Amount]]-Table432[[#This Row],[TDS]]-Table432[[#This Row],[RTN]]-Table432[[#This Row],[RECIVED AMOUNT]]</f>
        <v>7020</v>
      </c>
      <c r="T203" s="55"/>
      <c r="U203" s="3"/>
      <c r="V203" s="41">
        <f>Table432[[#This Row],[BALANCE]]-Table432[[#This Row],[RECIVED AMOUNT2]]</f>
        <v>7020</v>
      </c>
      <c r="W203" s="50"/>
      <c r="X203" s="50"/>
    </row>
    <row r="204" spans="1:121" ht="19.95" customHeight="1">
      <c r="A204" s="68">
        <v>45526</v>
      </c>
      <c r="B204" s="3" t="s">
        <v>367</v>
      </c>
      <c r="C204" s="3" t="s">
        <v>258</v>
      </c>
      <c r="D204" s="3" t="s">
        <v>259</v>
      </c>
      <c r="E204" s="3" t="s">
        <v>260</v>
      </c>
      <c r="F204" s="4" t="s">
        <v>26</v>
      </c>
      <c r="G204" s="22">
        <v>998531</v>
      </c>
      <c r="H204" s="23">
        <v>0.18</v>
      </c>
      <c r="I204" s="9">
        <v>18800</v>
      </c>
      <c r="J204" s="9">
        <f t="shared" si="14"/>
        <v>1692</v>
      </c>
      <c r="K204" s="9">
        <f t="shared" si="15"/>
        <v>1692</v>
      </c>
      <c r="L204" s="41"/>
      <c r="M204" s="37">
        <f>Table432[[#This Row],[Taxable Amount]]+Table432[[#This Row],[SGST]]+Table432[[#This Row],[CGST]]</f>
        <v>22184</v>
      </c>
      <c r="N204" s="71">
        <f>Table432[[#This Row],[Taxable Amount]]*1%</f>
        <v>188</v>
      </c>
      <c r="O204" s="157">
        <v>0</v>
      </c>
      <c r="P204" s="148">
        <v>21998</v>
      </c>
      <c r="Q204" s="59">
        <v>45580</v>
      </c>
      <c r="R204" s="193" t="s">
        <v>333</v>
      </c>
      <c r="S204" s="138">
        <f>Table432[[#This Row],[Invoice Amount]]-Table432[[#This Row],[TDS]]-Table432[[#This Row],[RTN]]-Table432[[#This Row],[RECIVED AMOUNT]]</f>
        <v>-2</v>
      </c>
      <c r="T204" s="55"/>
      <c r="U204" s="3"/>
      <c r="V204" s="41">
        <f>Table432[[#This Row],[BALANCE]]-Table432[[#This Row],[RECIVED AMOUNT2]]</f>
        <v>-2</v>
      </c>
      <c r="W204" s="50"/>
      <c r="X204" s="50"/>
    </row>
    <row r="205" spans="1:121" ht="19.95" customHeight="1">
      <c r="A205" s="78">
        <v>45528</v>
      </c>
      <c r="B205" s="31" t="s">
        <v>368</v>
      </c>
      <c r="C205" s="31" t="s">
        <v>369</v>
      </c>
      <c r="D205" s="31" t="s">
        <v>370</v>
      </c>
      <c r="E205" s="31" t="s">
        <v>25</v>
      </c>
      <c r="F205" s="33" t="s">
        <v>37</v>
      </c>
      <c r="G205" s="34">
        <v>998531</v>
      </c>
      <c r="H205" s="23">
        <v>0.18</v>
      </c>
      <c r="I205" s="42">
        <v>22500</v>
      </c>
      <c r="J205" s="42">
        <f t="shared" si="14"/>
        <v>2025</v>
      </c>
      <c r="K205" s="42">
        <f t="shared" si="15"/>
        <v>2025</v>
      </c>
      <c r="L205" s="43"/>
      <c r="M205" s="44">
        <f>Table432[[#This Row],[Taxable Amount]]+Table432[[#This Row],[SGST]]+Table432[[#This Row],[CGST]]</f>
        <v>26550</v>
      </c>
      <c r="N205" s="142">
        <f>Table432[[#This Row],[Taxable Amount]]*1%</f>
        <v>225</v>
      </c>
      <c r="O205" s="152">
        <v>0</v>
      </c>
      <c r="P205" s="154">
        <v>22500</v>
      </c>
      <c r="Q205" s="73">
        <v>45560</v>
      </c>
      <c r="R205" s="198" t="s">
        <v>243</v>
      </c>
      <c r="S205" s="138">
        <f>Table432[[#This Row],[Invoice Amount]]-Table432[[#This Row],[TDS]]-Table432[[#This Row],[RTN]]-Table432[[#This Row],[RECIVED AMOUNT]]</f>
        <v>3825</v>
      </c>
      <c r="T205" s="63"/>
      <c r="U205" s="31"/>
      <c r="V205" s="41">
        <f>Table432[[#This Row],[BALANCE]]-Table432[[#This Row],[RECIVED AMOUNT2]]</f>
        <v>3825</v>
      </c>
      <c r="W205" s="50"/>
      <c r="X205" s="50"/>
    </row>
    <row r="206" spans="1:121" ht="19.95" customHeight="1">
      <c r="A206" s="68">
        <v>45534</v>
      </c>
      <c r="B206" s="3" t="s">
        <v>371</v>
      </c>
      <c r="C206" s="3" t="s">
        <v>372</v>
      </c>
      <c r="D206" s="3" t="s">
        <v>373</v>
      </c>
      <c r="E206" s="3" t="s">
        <v>374</v>
      </c>
      <c r="F206" s="4" t="s">
        <v>37</v>
      </c>
      <c r="G206" s="22">
        <v>998531</v>
      </c>
      <c r="H206" s="23">
        <v>0.18</v>
      </c>
      <c r="I206" s="9">
        <v>7500</v>
      </c>
      <c r="J206" s="9">
        <f t="shared" si="14"/>
        <v>675</v>
      </c>
      <c r="K206" s="9">
        <f t="shared" si="15"/>
        <v>675</v>
      </c>
      <c r="L206" s="41"/>
      <c r="M206" s="37">
        <f>Table432[[#This Row],[Taxable Amount]]+Table432[[#This Row],[SGST]]+Table432[[#This Row],[CGST]]</f>
        <v>8850</v>
      </c>
      <c r="N206" s="71">
        <v>0</v>
      </c>
      <c r="O206" s="157">
        <v>0</v>
      </c>
      <c r="P206" s="148">
        <v>8850</v>
      </c>
      <c r="Q206" s="59">
        <v>45541</v>
      </c>
      <c r="R206" s="193" t="s">
        <v>333</v>
      </c>
      <c r="S206" s="138">
        <f>Table432[[#This Row],[Invoice Amount]]-Table432[[#This Row],[TDS]]-Table432[[#This Row],[RTN]]-Table432[[#This Row],[RECIVED AMOUNT]]</f>
        <v>0</v>
      </c>
      <c r="T206" s="55"/>
      <c r="U206" s="3"/>
      <c r="V206" s="41">
        <f>Table432[[#This Row],[BALANCE]]-Table432[[#This Row],[RECIVED AMOUNT2]]</f>
        <v>0</v>
      </c>
      <c r="W206" s="50"/>
      <c r="X206" s="50"/>
    </row>
    <row r="207" spans="1:121" s="13" customFormat="1" ht="19.95" customHeight="1">
      <c r="A207" s="78">
        <v>45535</v>
      </c>
      <c r="B207" s="31" t="s">
        <v>375</v>
      </c>
      <c r="C207" s="31" t="s">
        <v>87</v>
      </c>
      <c r="D207" s="31" t="s">
        <v>88</v>
      </c>
      <c r="E207" s="31" t="s">
        <v>89</v>
      </c>
      <c r="F207" s="33" t="s">
        <v>26</v>
      </c>
      <c r="G207" s="34">
        <v>998531</v>
      </c>
      <c r="H207" s="23">
        <v>0.18</v>
      </c>
      <c r="I207" s="42">
        <v>13600</v>
      </c>
      <c r="J207" s="42">
        <f t="shared" si="14"/>
        <v>1224</v>
      </c>
      <c r="K207" s="42">
        <f t="shared" si="15"/>
        <v>1224</v>
      </c>
      <c r="L207" s="43"/>
      <c r="M207" s="44">
        <f>Table432[[#This Row],[Taxable Amount]]+Table432[[#This Row],[SGST]]+Table432[[#This Row],[CGST]]</f>
        <v>16048</v>
      </c>
      <c r="N207" s="142"/>
      <c r="O207" s="152">
        <v>0</v>
      </c>
      <c r="P207" s="153" t="s">
        <v>243</v>
      </c>
      <c r="Q207" s="73"/>
      <c r="R207" s="198" t="s">
        <v>243</v>
      </c>
      <c r="S207" s="138" t="e">
        <f>Table432[[#This Row],[Invoice Amount]]-Table432[[#This Row],[TDS]]-Table432[[#This Row],[RTN]]-Table432[[#This Row],[RECIVED AMOUNT]]</f>
        <v>#VALUE!</v>
      </c>
      <c r="T207" s="63"/>
      <c r="U207" s="31"/>
      <c r="V207" s="41" t="e">
        <f>Table432[[#This Row],[BALANCE]]-Table432[[#This Row],[RECIVED AMOUNT2]]</f>
        <v>#VALUE!</v>
      </c>
      <c r="W207" s="208"/>
      <c r="X207" s="208"/>
    </row>
    <row r="208" spans="1:121" ht="19.95" customHeight="1">
      <c r="A208" s="68">
        <v>45535</v>
      </c>
      <c r="B208" s="3" t="s">
        <v>376</v>
      </c>
      <c r="C208" s="3" t="s">
        <v>42</v>
      </c>
      <c r="D208" s="3" t="s">
        <v>43</v>
      </c>
      <c r="E208" s="3" t="s">
        <v>101</v>
      </c>
      <c r="F208" s="4" t="s">
        <v>26</v>
      </c>
      <c r="G208" s="22">
        <v>998531</v>
      </c>
      <c r="H208" s="23">
        <v>0.18</v>
      </c>
      <c r="I208" s="9">
        <v>6000</v>
      </c>
      <c r="J208" s="9">
        <f t="shared" si="14"/>
        <v>540</v>
      </c>
      <c r="K208" s="9">
        <f t="shared" si="15"/>
        <v>540</v>
      </c>
      <c r="L208" s="41"/>
      <c r="M208" s="37">
        <f>Table432[[#This Row],[Taxable Amount]]+Table432[[#This Row],[SGST]]+Table432[[#This Row],[CGST]]</f>
        <v>7080</v>
      </c>
      <c r="N208" s="71">
        <f>Table432[[#This Row],[Taxable Amount]]*1%</f>
        <v>60</v>
      </c>
      <c r="O208" s="157">
        <v>0</v>
      </c>
      <c r="P208" s="148">
        <v>18600</v>
      </c>
      <c r="Q208" s="59">
        <v>45381</v>
      </c>
      <c r="R208" s="193" t="s">
        <v>333</v>
      </c>
      <c r="S208" s="138">
        <f>Table432[[#This Row],[Invoice Amount]]-Table432[[#This Row],[TDS]]-Table432[[#This Row],[RTN]]-Table432[[#This Row],[RECIVED AMOUNT]]</f>
        <v>-11580</v>
      </c>
      <c r="T208" s="55"/>
      <c r="U208" s="3"/>
      <c r="V208" s="41">
        <f>Table432[[#This Row],[BALANCE]]-Table432[[#This Row],[RECIVED AMOUNT2]]</f>
        <v>-11580</v>
      </c>
      <c r="W208" s="50"/>
      <c r="X208" s="50"/>
    </row>
    <row r="209" spans="1:121" s="13" customFormat="1" ht="19.95" customHeight="1">
      <c r="A209" s="68">
        <v>45535</v>
      </c>
      <c r="B209" s="3" t="s">
        <v>377</v>
      </c>
      <c r="C209" s="21" t="s">
        <v>116</v>
      </c>
      <c r="D209" s="3" t="s">
        <v>117</v>
      </c>
      <c r="E209" s="3" t="s">
        <v>59</v>
      </c>
      <c r="F209" s="4" t="s">
        <v>26</v>
      </c>
      <c r="G209" s="22">
        <v>998531</v>
      </c>
      <c r="H209" s="23">
        <v>0.18</v>
      </c>
      <c r="I209" s="9">
        <v>17300</v>
      </c>
      <c r="J209" s="9">
        <f t="shared" si="14"/>
        <v>1557</v>
      </c>
      <c r="K209" s="9">
        <f t="shared" si="15"/>
        <v>1557</v>
      </c>
      <c r="L209" s="41"/>
      <c r="M209" s="37">
        <f>Table432[[#This Row],[Taxable Amount]]+Table432[[#This Row],[SGST]]+Table432[[#This Row],[CGST]]</f>
        <v>20414</v>
      </c>
      <c r="N209" s="71">
        <f>Table432[[#This Row],[Taxable Amount]]*1%</f>
        <v>173</v>
      </c>
      <c r="O209" s="157">
        <v>0</v>
      </c>
      <c r="P209" s="148">
        <v>20241</v>
      </c>
      <c r="Q209" s="59">
        <v>45561</v>
      </c>
      <c r="R209" s="193" t="s">
        <v>333</v>
      </c>
      <c r="S209" s="138">
        <f>Table432[[#This Row],[Invoice Amount]]-Table432[[#This Row],[TDS]]-Table432[[#This Row],[RTN]]-Table432[[#This Row],[RECIVED AMOUNT]]</f>
        <v>0</v>
      </c>
      <c r="T209" s="55"/>
      <c r="U209" s="3"/>
      <c r="V209" s="41">
        <f>Table432[[#This Row],[BALANCE]]-Table432[[#This Row],[RECIVED AMOUNT2]]</f>
        <v>0</v>
      </c>
      <c r="W209" s="208"/>
      <c r="X209" s="208"/>
    </row>
    <row r="210" spans="1:121" ht="19.95" customHeight="1">
      <c r="A210" s="68">
        <v>45535</v>
      </c>
      <c r="B210" s="3" t="s">
        <v>378</v>
      </c>
      <c r="C210" s="3" t="s">
        <v>955</v>
      </c>
      <c r="D210" s="3" t="s">
        <v>205</v>
      </c>
      <c r="E210" s="3" t="s">
        <v>59</v>
      </c>
      <c r="F210" s="4" t="s">
        <v>26</v>
      </c>
      <c r="G210" s="22">
        <v>998531</v>
      </c>
      <c r="H210" s="23">
        <v>0.18</v>
      </c>
      <c r="I210" s="9">
        <v>10000</v>
      </c>
      <c r="J210" s="9">
        <f t="shared" si="14"/>
        <v>900</v>
      </c>
      <c r="K210" s="9">
        <f t="shared" si="15"/>
        <v>900</v>
      </c>
      <c r="L210" s="41"/>
      <c r="M210" s="37">
        <f>Table432[[#This Row],[Taxable Amount]]+Table432[[#This Row],[SGST]]+Table432[[#This Row],[CGST]]</f>
        <v>11800</v>
      </c>
      <c r="N210" s="71">
        <v>0</v>
      </c>
      <c r="O210" s="157">
        <v>0</v>
      </c>
      <c r="P210" s="148">
        <v>10000</v>
      </c>
      <c r="Q210" s="59">
        <v>45622</v>
      </c>
      <c r="R210" s="193" t="s">
        <v>333</v>
      </c>
      <c r="S210" s="138">
        <f>Table432[[#This Row],[Invoice Amount]]-Table432[[#This Row],[TDS]]-Table432[[#This Row],[RTN]]-Table432[[#This Row],[RECIVED AMOUNT]]</f>
        <v>1800</v>
      </c>
      <c r="T210" s="55"/>
      <c r="U210" s="3"/>
      <c r="V210" s="41">
        <f>Table432[[#This Row],[BALANCE]]-Table432[[#This Row],[RECIVED AMOUNT2]]</f>
        <v>1800</v>
      </c>
      <c r="W210" s="50"/>
      <c r="X210" s="50"/>
    </row>
    <row r="211" spans="1:121" ht="19.95" customHeight="1">
      <c r="A211" s="68">
        <v>45535</v>
      </c>
      <c r="B211" s="3" t="s">
        <v>379</v>
      </c>
      <c r="C211" s="3" t="s">
        <v>290</v>
      </c>
      <c r="D211" s="3" t="s">
        <v>291</v>
      </c>
      <c r="E211" s="3" t="s">
        <v>25</v>
      </c>
      <c r="F211" s="4" t="s">
        <v>26</v>
      </c>
      <c r="G211" s="22">
        <v>998531</v>
      </c>
      <c r="H211" s="23">
        <v>0.18</v>
      </c>
      <c r="I211" s="9">
        <v>4500</v>
      </c>
      <c r="J211" s="9">
        <f t="shared" si="14"/>
        <v>405</v>
      </c>
      <c r="K211" s="9">
        <f t="shared" si="15"/>
        <v>405</v>
      </c>
      <c r="L211" s="41"/>
      <c r="M211" s="37">
        <f>Table432[[#This Row],[Taxable Amount]]+Table432[[#This Row],[SGST]]+Table432[[#This Row],[CGST]]</f>
        <v>5310</v>
      </c>
      <c r="N211" s="71">
        <v>0</v>
      </c>
      <c r="O211" s="157">
        <v>0</v>
      </c>
      <c r="P211" s="148">
        <v>5310</v>
      </c>
      <c r="Q211" s="59">
        <v>45541</v>
      </c>
      <c r="R211" s="193" t="s">
        <v>333</v>
      </c>
      <c r="S211" s="138">
        <f>Table432[[#This Row],[Invoice Amount]]-Table432[[#This Row],[TDS]]-Table432[[#This Row],[RTN]]-Table432[[#This Row],[RECIVED AMOUNT]]</f>
        <v>0</v>
      </c>
      <c r="T211" s="55"/>
      <c r="U211" s="3"/>
      <c r="V211" s="41">
        <f>Table432[[#This Row],[BALANCE]]-Table432[[#This Row],[RECIVED AMOUNT2]]</f>
        <v>0</v>
      </c>
      <c r="W211" s="50"/>
      <c r="X211" s="50"/>
    </row>
    <row r="212" spans="1:121" ht="19.95" customHeight="1">
      <c r="A212" s="68">
        <v>45535</v>
      </c>
      <c r="B212" s="3" t="s">
        <v>380</v>
      </c>
      <c r="C212" s="3" t="s">
        <v>337</v>
      </c>
      <c r="D212" s="3" t="s">
        <v>338</v>
      </c>
      <c r="E212" s="3" t="s">
        <v>339</v>
      </c>
      <c r="F212" s="4" t="s">
        <v>26</v>
      </c>
      <c r="G212" s="22">
        <v>998531</v>
      </c>
      <c r="H212" s="23">
        <v>0.18</v>
      </c>
      <c r="I212" s="9">
        <v>15300</v>
      </c>
      <c r="J212" s="9">
        <f t="shared" si="14"/>
        <v>1377</v>
      </c>
      <c r="K212" s="9">
        <f t="shared" si="15"/>
        <v>1377</v>
      </c>
      <c r="L212" s="41"/>
      <c r="M212" s="37">
        <f>Table432[[#This Row],[Taxable Amount]]+Table432[[#This Row],[SGST]]+Table432[[#This Row],[CGST]]</f>
        <v>18054</v>
      </c>
      <c r="N212" s="71">
        <v>0</v>
      </c>
      <c r="O212" s="157">
        <v>0</v>
      </c>
      <c r="P212" s="148">
        <v>10000</v>
      </c>
      <c r="Q212" s="59">
        <v>45595</v>
      </c>
      <c r="R212" s="193" t="s">
        <v>356</v>
      </c>
      <c r="S212" s="138">
        <f>Table432[[#This Row],[Invoice Amount]]-Table432[[#This Row],[TDS]]-Table432[[#This Row],[RTN]]-Table432[[#This Row],[RECIVED AMOUNT]]</f>
        <v>8054</v>
      </c>
      <c r="T212" s="45"/>
      <c r="U212" s="74"/>
      <c r="V212" s="41">
        <f>Table432[[#This Row],[BALANCE]]-Table432[[#This Row],[RECIVED AMOUNT2]]</f>
        <v>8054</v>
      </c>
      <c r="W212" s="50"/>
      <c r="X212" s="50"/>
    </row>
    <row r="213" spans="1:121" s="448" customFormat="1" ht="19.95" customHeight="1">
      <c r="A213" s="432">
        <v>45535</v>
      </c>
      <c r="B213" s="433" t="s">
        <v>381</v>
      </c>
      <c r="C213" s="433" t="s">
        <v>157</v>
      </c>
      <c r="D213" s="433" t="s">
        <v>158</v>
      </c>
      <c r="E213" s="433" t="s">
        <v>59</v>
      </c>
      <c r="F213" s="434" t="s">
        <v>26</v>
      </c>
      <c r="G213" s="435">
        <v>998531</v>
      </c>
      <c r="H213" s="436">
        <v>0.18</v>
      </c>
      <c r="I213" s="437">
        <v>37600</v>
      </c>
      <c r="J213" s="437">
        <f t="shared" si="14"/>
        <v>3384</v>
      </c>
      <c r="K213" s="437">
        <f t="shared" si="15"/>
        <v>3384</v>
      </c>
      <c r="L213" s="438"/>
      <c r="M213" s="439">
        <f>Table432[[#This Row],[Taxable Amount]]+Table432[[#This Row],[SGST]]+Table432[[#This Row],[CGST]]</f>
        <v>44368</v>
      </c>
      <c r="N213" s="440">
        <f>Table432[[#This Row],[Taxable Amount]]*1%</f>
        <v>376</v>
      </c>
      <c r="O213" s="441">
        <v>0</v>
      </c>
      <c r="P213" s="442"/>
      <c r="Q213" s="443"/>
      <c r="R213" s="444" t="s">
        <v>333</v>
      </c>
      <c r="S213" s="445">
        <f>Table432[[#This Row],[Invoice Amount]]-Table432[[#This Row],[TDS]]-Table432[[#This Row],[RTN]]-Table432[[#This Row],[RECIVED AMOUNT]]</f>
        <v>43992</v>
      </c>
      <c r="T213" s="446"/>
      <c r="U213" s="433"/>
      <c r="V213" s="438">
        <f>Table432[[#This Row],[BALANCE]]-Table432[[#This Row],[RECIVED AMOUNT2]]</f>
        <v>43992</v>
      </c>
      <c r="W213" s="447"/>
      <c r="X213" s="447"/>
    </row>
    <row r="214" spans="1:121" s="10" customFormat="1" ht="19.95" customHeight="1">
      <c r="A214" s="86">
        <v>45535</v>
      </c>
      <c r="B214" s="7" t="s">
        <v>382</v>
      </c>
      <c r="C214" s="7" t="s">
        <v>157</v>
      </c>
      <c r="D214" s="7" t="s">
        <v>158</v>
      </c>
      <c r="E214" s="7" t="s">
        <v>59</v>
      </c>
      <c r="F214" s="5" t="s">
        <v>26</v>
      </c>
      <c r="G214" s="85">
        <v>998531</v>
      </c>
      <c r="H214" s="221">
        <v>0.18</v>
      </c>
      <c r="I214" s="69">
        <v>8880</v>
      </c>
      <c r="J214" s="69">
        <f t="shared" si="14"/>
        <v>799.2</v>
      </c>
      <c r="K214" s="69">
        <f t="shared" si="15"/>
        <v>799.2</v>
      </c>
      <c r="L214" s="70"/>
      <c r="M214" s="94">
        <f>Table432[[#This Row],[Taxable Amount]]+Table432[[#This Row],[SGST]]+Table432[[#This Row],[CGST]]</f>
        <v>10478.400000000001</v>
      </c>
      <c r="N214" s="155">
        <f>Table432[[#This Row],[Taxable Amount]]*1%</f>
        <v>88.8</v>
      </c>
      <c r="O214" s="158">
        <v>0</v>
      </c>
      <c r="P214" s="156"/>
      <c r="Q214" s="97">
        <v>45751</v>
      </c>
      <c r="R214" s="199" t="s">
        <v>333</v>
      </c>
      <c r="S214" s="93">
        <f>Table432[[#This Row],[Invoice Amount]]-Table432[[#This Row],[TDS]]-Table432[[#This Row],[RTN]]-Table432[[#This Row],[RECIVED AMOUNT]]</f>
        <v>10389.600000000002</v>
      </c>
      <c r="T214" s="100"/>
      <c r="U214" s="7"/>
      <c r="V214" s="70">
        <f>Table432[[#This Row],[BALANCE]]-Table432[[#This Row],[RECIVED AMOUNT2]]</f>
        <v>10389.600000000002</v>
      </c>
      <c r="W214" s="211"/>
      <c r="X214" s="211"/>
    </row>
    <row r="215" spans="1:121" s="11" customFormat="1" ht="19.95" customHeight="1">
      <c r="A215" s="30">
        <v>45535</v>
      </c>
      <c r="B215" s="31" t="s">
        <v>383</v>
      </c>
      <c r="C215" s="31" t="s">
        <v>319</v>
      </c>
      <c r="D215" s="31" t="s">
        <v>320</v>
      </c>
      <c r="E215" s="31" t="s">
        <v>85</v>
      </c>
      <c r="F215" s="33" t="s">
        <v>26</v>
      </c>
      <c r="G215" s="34">
        <v>998531</v>
      </c>
      <c r="H215" s="23">
        <v>0.18</v>
      </c>
      <c r="I215" s="42">
        <v>8800</v>
      </c>
      <c r="J215" s="42">
        <f t="shared" si="14"/>
        <v>792</v>
      </c>
      <c r="K215" s="42">
        <f t="shared" si="15"/>
        <v>792</v>
      </c>
      <c r="L215" s="42"/>
      <c r="M215" s="44">
        <f>Table432[[#This Row],[Taxable Amount]]+Table432[[#This Row],[SGST]]+Table432[[#This Row],[CGST]]</f>
        <v>10384</v>
      </c>
      <c r="N215" s="142">
        <f>Table432[[#This Row],[Taxable Amount]]*1%</f>
        <v>88</v>
      </c>
      <c r="O215" s="179">
        <v>0</v>
      </c>
      <c r="P215" s="154">
        <v>0</v>
      </c>
      <c r="Q215" s="73"/>
      <c r="R215" s="198" t="s">
        <v>243</v>
      </c>
      <c r="S215" s="138">
        <f>Table432[[#This Row],[Invoice Amount]]-Table432[[#This Row],[TDS]]-Table432[[#This Row],[RTN]]-Table432[[#This Row],[RECIVED AMOUNT]]</f>
        <v>10296</v>
      </c>
      <c r="T215" s="63"/>
      <c r="U215" s="31"/>
      <c r="V215" s="41">
        <f>Table432[[#This Row],[BALANCE]]-Table432[[#This Row],[RECIVED AMOUNT2]]</f>
        <v>10296</v>
      </c>
      <c r="W215" s="211"/>
      <c r="X215" s="2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</row>
    <row r="216" spans="1:121" s="11" customFormat="1" ht="19.95" customHeight="1">
      <c r="A216" s="2">
        <v>45535</v>
      </c>
      <c r="B216" s="3" t="s">
        <v>384</v>
      </c>
      <c r="C216" s="3" t="s">
        <v>955</v>
      </c>
      <c r="D216" s="3" t="s">
        <v>205</v>
      </c>
      <c r="E216" s="3" t="s">
        <v>67</v>
      </c>
      <c r="F216" s="4" t="s">
        <v>26</v>
      </c>
      <c r="G216" s="22">
        <v>998531</v>
      </c>
      <c r="H216" s="23">
        <v>0.18</v>
      </c>
      <c r="I216" s="9">
        <v>7500</v>
      </c>
      <c r="J216" s="9">
        <f t="shared" si="14"/>
        <v>675</v>
      </c>
      <c r="K216" s="9">
        <f t="shared" si="15"/>
        <v>675</v>
      </c>
      <c r="L216" s="9"/>
      <c r="M216" s="37">
        <f>Table432[[#This Row],[Taxable Amount]]+Table432[[#This Row],[SGST]]+Table432[[#This Row],[CGST]]</f>
        <v>8850</v>
      </c>
      <c r="N216" s="71">
        <f>Table432[[#This Row],[Taxable Amount]]*1%</f>
        <v>75</v>
      </c>
      <c r="O216" s="150">
        <v>0</v>
      </c>
      <c r="P216" s="156">
        <v>29325</v>
      </c>
      <c r="Q216" s="59">
        <v>45657</v>
      </c>
      <c r="R216" s="193" t="s">
        <v>385</v>
      </c>
      <c r="S216" s="138">
        <f>Table432[[#This Row],[Invoice Amount]]-Table432[[#This Row],[TDS]]-Table432[[#This Row],[RTN]]-Table432[[#This Row],[RECIVED AMOUNT]]</f>
        <v>-20550</v>
      </c>
      <c r="T216" s="55"/>
      <c r="U216" s="3"/>
      <c r="V216" s="41">
        <f>Table432[[#This Row],[BALANCE]]-Table432[[#This Row],[RECIVED AMOUNT2]]</f>
        <v>-20550</v>
      </c>
      <c r="W216" s="211"/>
      <c r="X216" s="2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</row>
    <row r="217" spans="1:121" s="13" customFormat="1" ht="19.95" customHeight="1">
      <c r="A217" s="79">
        <v>45535</v>
      </c>
      <c r="B217" s="21" t="s">
        <v>386</v>
      </c>
      <c r="C217" s="21" t="s">
        <v>42</v>
      </c>
      <c r="D217" s="21" t="s">
        <v>43</v>
      </c>
      <c r="E217" s="21" t="s">
        <v>44</v>
      </c>
      <c r="F217" s="22" t="s">
        <v>26</v>
      </c>
      <c r="G217" s="22">
        <v>998531</v>
      </c>
      <c r="H217" s="23">
        <v>0.18</v>
      </c>
      <c r="I217" s="36">
        <v>31130</v>
      </c>
      <c r="J217" s="36">
        <f t="shared" si="14"/>
        <v>2801.7</v>
      </c>
      <c r="K217" s="36">
        <f t="shared" si="15"/>
        <v>2801.7</v>
      </c>
      <c r="L217" s="37"/>
      <c r="M217" s="37">
        <f>Table432[[#This Row],[Taxable Amount]]+Table432[[#This Row],[SGST]]+Table432[[#This Row],[CGST]]</f>
        <v>36733.399999999994</v>
      </c>
      <c r="N217" s="71">
        <f>Table432[[#This Row],[Taxable Amount]]*1%</f>
        <v>311.3</v>
      </c>
      <c r="O217" s="173">
        <v>778</v>
      </c>
      <c r="P217" s="145">
        <v>74032</v>
      </c>
      <c r="Q217" s="59">
        <v>45527</v>
      </c>
      <c r="R217" s="193" t="s">
        <v>333</v>
      </c>
      <c r="S217" s="138">
        <f>Table432[[#This Row],[Invoice Amount]]-Table432[[#This Row],[TDS]]-Table432[[#This Row],[RTN]]-Table432[[#This Row],[RECIVED AMOUNT]]</f>
        <v>-38387.900000000009</v>
      </c>
      <c r="T217" s="49"/>
      <c r="U217" s="3"/>
      <c r="V217" s="41">
        <f>Table432[[#This Row],[BALANCE]]-Table432[[#This Row],[RECIVED AMOUNT2]]</f>
        <v>-38387.900000000009</v>
      </c>
      <c r="W217" s="208"/>
      <c r="X217" s="208"/>
    </row>
    <row r="218" spans="1:121" ht="19.95" customHeight="1">
      <c r="A218" s="68">
        <v>45535</v>
      </c>
      <c r="B218" s="3" t="s">
        <v>387</v>
      </c>
      <c r="C218" s="3" t="s">
        <v>42</v>
      </c>
      <c r="D218" s="3" t="s">
        <v>43</v>
      </c>
      <c r="E218" s="3" t="s">
        <v>163</v>
      </c>
      <c r="F218" s="4" t="s">
        <v>26</v>
      </c>
      <c r="G218" s="22">
        <v>998531</v>
      </c>
      <c r="H218" s="23">
        <v>0.18</v>
      </c>
      <c r="I218" s="9">
        <v>12200</v>
      </c>
      <c r="J218" s="9">
        <f t="shared" si="14"/>
        <v>1098</v>
      </c>
      <c r="K218" s="9">
        <f t="shared" si="15"/>
        <v>1098</v>
      </c>
      <c r="L218" s="41"/>
      <c r="M218" s="37">
        <f>Table432[[#This Row],[Taxable Amount]]+Table432[[#This Row],[SGST]]+Table432[[#This Row],[CGST]]</f>
        <v>14396</v>
      </c>
      <c r="N218" s="71">
        <f>Table432[[#This Row],[Taxable Amount]]*1%</f>
        <v>122</v>
      </c>
      <c r="O218" s="157">
        <v>305</v>
      </c>
      <c r="P218" s="148">
        <v>6185</v>
      </c>
      <c r="Q218" s="59">
        <v>45717</v>
      </c>
      <c r="R218" s="193" t="s">
        <v>333</v>
      </c>
      <c r="S218" s="138">
        <f>Table432[[#This Row],[Invoice Amount]]-Table432[[#This Row],[TDS]]-Table432[[#This Row],[RTN]]-Table432[[#This Row],[RECIVED AMOUNT]]</f>
        <v>7784</v>
      </c>
      <c r="T218" s="55"/>
      <c r="U218" s="3"/>
      <c r="V218" s="41">
        <f>Table432[[#This Row],[BALANCE]]-Table432[[#This Row],[RECIVED AMOUNT2]]</f>
        <v>7784</v>
      </c>
      <c r="W218" s="50"/>
      <c r="X218" s="50"/>
    </row>
    <row r="219" spans="1:121" ht="19.95" customHeight="1">
      <c r="A219" s="68">
        <v>45537</v>
      </c>
      <c r="B219" s="3" t="s">
        <v>388</v>
      </c>
      <c r="C219" s="21" t="s">
        <v>173</v>
      </c>
      <c r="D219" s="3" t="s">
        <v>174</v>
      </c>
      <c r="E219" s="3" t="s">
        <v>175</v>
      </c>
      <c r="F219" s="4" t="s">
        <v>37</v>
      </c>
      <c r="G219" s="22">
        <v>998531</v>
      </c>
      <c r="H219" s="23">
        <v>0.18</v>
      </c>
      <c r="I219" s="9">
        <v>4110</v>
      </c>
      <c r="J219" s="9">
        <f t="shared" si="14"/>
        <v>369.9</v>
      </c>
      <c r="K219" s="9">
        <f t="shared" si="15"/>
        <v>369.9</v>
      </c>
      <c r="L219" s="41"/>
      <c r="M219" s="37">
        <f>Table432[[#This Row],[Taxable Amount]]+Table432[[#This Row],[SGST]]+Table432[[#This Row],[CGST]]</f>
        <v>4849.7999999999993</v>
      </c>
      <c r="N219" s="71">
        <f>Table432[[#This Row],[Taxable Amount]]*1%</f>
        <v>41.1</v>
      </c>
      <c r="O219" s="157">
        <v>0</v>
      </c>
      <c r="P219" s="148">
        <v>4850</v>
      </c>
      <c r="Q219" s="59">
        <v>45580</v>
      </c>
      <c r="R219" s="193" t="s">
        <v>356</v>
      </c>
      <c r="S219" s="138">
        <f>Table432[[#This Row],[Invoice Amount]]-Table432[[#This Row],[TDS]]-Table432[[#This Row],[RTN]]-Table432[[#This Row],[RECIVED AMOUNT]]</f>
        <v>-41.300000000001091</v>
      </c>
      <c r="T219" s="55"/>
      <c r="U219" s="3"/>
      <c r="V219" s="41">
        <f>Table432[[#This Row],[BALANCE]]-Table432[[#This Row],[RECIVED AMOUNT2]]</f>
        <v>-41.300000000001091</v>
      </c>
      <c r="W219" s="50"/>
      <c r="X219" s="50"/>
    </row>
    <row r="220" spans="1:121" ht="19.95" customHeight="1">
      <c r="A220" s="78">
        <v>45538</v>
      </c>
      <c r="B220" s="31" t="s">
        <v>389</v>
      </c>
      <c r="C220" s="32" t="s">
        <v>390</v>
      </c>
      <c r="D220" s="31" t="s">
        <v>391</v>
      </c>
      <c r="E220" s="31" t="s">
        <v>260</v>
      </c>
      <c r="F220" s="33" t="s">
        <v>26</v>
      </c>
      <c r="G220" s="34">
        <v>998531</v>
      </c>
      <c r="H220" s="23">
        <v>0.18</v>
      </c>
      <c r="I220" s="42">
        <v>8800</v>
      </c>
      <c r="J220" s="42">
        <f t="shared" si="14"/>
        <v>792</v>
      </c>
      <c r="K220" s="42">
        <f t="shared" si="15"/>
        <v>792</v>
      </c>
      <c r="L220" s="43"/>
      <c r="M220" s="44">
        <f>Table432[[#This Row],[Taxable Amount]]+Table432[[#This Row],[SGST]]+Table432[[#This Row],[CGST]]</f>
        <v>10384</v>
      </c>
      <c r="N220" s="142">
        <f>Table432[[#This Row],[Taxable Amount]]*1%</f>
        <v>88</v>
      </c>
      <c r="O220" s="152">
        <v>0</v>
      </c>
      <c r="P220" s="154"/>
      <c r="Q220" s="101"/>
      <c r="R220" s="198" t="s">
        <v>243</v>
      </c>
      <c r="S220" s="138">
        <f>Table432[[#This Row],[Invoice Amount]]-Table432[[#This Row],[TDS]]-Table432[[#This Row],[RTN]]-Table432[[#This Row],[RECIVED AMOUNT]]</f>
        <v>10296</v>
      </c>
      <c r="T220" s="63"/>
      <c r="U220" s="31"/>
      <c r="V220" s="41">
        <f>Table432[[#This Row],[BALANCE]]-Table432[[#This Row],[RECIVED AMOUNT2]]</f>
        <v>10296</v>
      </c>
      <c r="W220" s="50"/>
      <c r="X220" s="50"/>
    </row>
    <row r="221" spans="1:121" ht="19.95" customHeight="1">
      <c r="A221" s="68">
        <v>45545</v>
      </c>
      <c r="B221" s="3" t="s">
        <v>392</v>
      </c>
      <c r="C221" s="3" t="s">
        <v>173</v>
      </c>
      <c r="D221" s="3" t="s">
        <v>174</v>
      </c>
      <c r="E221" s="3" t="s">
        <v>62</v>
      </c>
      <c r="F221" s="4" t="s">
        <v>37</v>
      </c>
      <c r="G221" s="22">
        <v>998531</v>
      </c>
      <c r="H221" s="23">
        <v>0.18</v>
      </c>
      <c r="I221" s="9">
        <v>8699.31</v>
      </c>
      <c r="J221" s="9">
        <f t="shared" ref="J221:J252" si="16">I221*9/100</f>
        <v>782.9378999999999</v>
      </c>
      <c r="K221" s="9">
        <f t="shared" ref="K221:K252" si="17">I221*9/100</f>
        <v>782.9378999999999</v>
      </c>
      <c r="L221" s="41"/>
      <c r="M221" s="37">
        <f>Table432[[#This Row],[Taxable Amount]]+Table432[[#This Row],[SGST]]+Table432[[#This Row],[CGST]]</f>
        <v>10265.185799999999</v>
      </c>
      <c r="N221" s="71">
        <f>Table432[[#This Row],[Taxable Amount]]*1%</f>
        <v>86.993099999999998</v>
      </c>
      <c r="O221" s="157">
        <v>0</v>
      </c>
      <c r="P221" s="148">
        <v>10265</v>
      </c>
      <c r="Q221" s="59">
        <v>45580</v>
      </c>
      <c r="R221" s="193" t="s">
        <v>356</v>
      </c>
      <c r="S221" s="138">
        <f>Table432[[#This Row],[Invoice Amount]]-Table432[[#This Row],[TDS]]-Table432[[#This Row],[RTN]]-Table432[[#This Row],[RECIVED AMOUNT]]</f>
        <v>-86.807300000000396</v>
      </c>
      <c r="T221" s="55"/>
      <c r="U221" s="3"/>
      <c r="V221" s="41">
        <f>Table432[[#This Row],[BALANCE]]-Table432[[#This Row],[RECIVED AMOUNT2]]</f>
        <v>-86.807300000000396</v>
      </c>
      <c r="W221" s="50"/>
      <c r="X221" s="50"/>
    </row>
    <row r="222" spans="1:121" s="10" customFormat="1" ht="19.95" customHeight="1">
      <c r="A222" s="86">
        <v>45549</v>
      </c>
      <c r="B222" s="7" t="s">
        <v>393</v>
      </c>
      <c r="C222" s="87" t="s">
        <v>157</v>
      </c>
      <c r="D222" s="87" t="s">
        <v>158</v>
      </c>
      <c r="E222" s="87" t="s">
        <v>59</v>
      </c>
      <c r="F222" s="88" t="s">
        <v>26</v>
      </c>
      <c r="G222" s="85">
        <v>998531</v>
      </c>
      <c r="H222" s="221">
        <v>0.18</v>
      </c>
      <c r="I222" s="95">
        <v>7920</v>
      </c>
      <c r="J222" s="95">
        <f t="shared" si="16"/>
        <v>712.8</v>
      </c>
      <c r="K222" s="95">
        <f t="shared" si="17"/>
        <v>712.8</v>
      </c>
      <c r="L222" s="96"/>
      <c r="M222" s="94">
        <f>Table432[[#This Row],[Taxable Amount]]+Table432[[#This Row],[SGST]]+Table432[[#This Row],[CGST]]</f>
        <v>9345.5999999999985</v>
      </c>
      <c r="N222" s="155">
        <f>Table432[[#This Row],[Taxable Amount]]*1%</f>
        <v>79.2</v>
      </c>
      <c r="O222" s="181">
        <v>0</v>
      </c>
      <c r="P222" s="156"/>
      <c r="Q222" s="97">
        <v>45751</v>
      </c>
      <c r="R222" s="199" t="s">
        <v>313</v>
      </c>
      <c r="S222" s="93">
        <f>Table432[[#This Row],[Invoice Amount]]-Table432[[#This Row],[TDS]]-Table432[[#This Row],[RTN]]-Table432[[#This Row],[RECIVED AMOUNT]]</f>
        <v>9266.3999999999978</v>
      </c>
      <c r="T222" s="99"/>
      <c r="U222" s="7"/>
      <c r="V222" s="70">
        <f>Table432[[#This Row],[BALANCE]]-Table432[[#This Row],[RECIVED AMOUNT2]]</f>
        <v>9266.3999999999978</v>
      </c>
      <c r="W222" s="211"/>
      <c r="X222" s="211"/>
    </row>
    <row r="223" spans="1:121" ht="19.95" customHeight="1">
      <c r="A223" s="78">
        <v>45549</v>
      </c>
      <c r="B223" s="31" t="s">
        <v>394</v>
      </c>
      <c r="C223" s="31" t="s">
        <v>331</v>
      </c>
      <c r="D223" s="31" t="s">
        <v>332</v>
      </c>
      <c r="E223" s="31" t="s">
        <v>59</v>
      </c>
      <c r="F223" s="33" t="s">
        <v>37</v>
      </c>
      <c r="G223" s="34">
        <v>998531</v>
      </c>
      <c r="H223" s="23">
        <v>0.18</v>
      </c>
      <c r="I223" s="42">
        <v>10925.91</v>
      </c>
      <c r="J223" s="42">
        <f t="shared" si="16"/>
        <v>983.33190000000002</v>
      </c>
      <c r="K223" s="42">
        <f t="shared" si="17"/>
        <v>983.33190000000002</v>
      </c>
      <c r="L223" s="43"/>
      <c r="M223" s="44">
        <f>Table432[[#This Row],[Taxable Amount]]+Table432[[#This Row],[SGST]]+Table432[[#This Row],[CGST]]</f>
        <v>12892.573799999998</v>
      </c>
      <c r="N223" s="142">
        <f>Table432[[#This Row],[Taxable Amount]]*1%</f>
        <v>109.2591</v>
      </c>
      <c r="O223" s="152">
        <v>273</v>
      </c>
      <c r="P223" s="154"/>
      <c r="Q223" s="73"/>
      <c r="R223" s="198" t="s">
        <v>243</v>
      </c>
      <c r="S223" s="138">
        <f>Table432[[#This Row],[Invoice Amount]]-Table432[[#This Row],[TDS]]-Table432[[#This Row],[RTN]]-Table432[[#This Row],[RECIVED AMOUNT]]</f>
        <v>12510.314699999999</v>
      </c>
      <c r="T223" s="63"/>
      <c r="U223" s="31"/>
      <c r="V223" s="41">
        <f>Table432[[#This Row],[BALANCE]]-Table432[[#This Row],[RECIVED AMOUNT2]]</f>
        <v>12510.314699999999</v>
      </c>
      <c r="W223" s="50"/>
      <c r="X223" s="50"/>
    </row>
    <row r="224" spans="1:121" s="11" customFormat="1" ht="19.95" customHeight="1">
      <c r="A224" s="2">
        <v>45553</v>
      </c>
      <c r="B224" s="3" t="s">
        <v>395</v>
      </c>
      <c r="C224" s="89" t="s">
        <v>396</v>
      </c>
      <c r="D224" s="3" t="s">
        <v>397</v>
      </c>
      <c r="E224" s="3" t="s">
        <v>398</v>
      </c>
      <c r="F224" s="4" t="s">
        <v>37</v>
      </c>
      <c r="G224" s="22">
        <v>998531</v>
      </c>
      <c r="H224" s="23">
        <v>0.18</v>
      </c>
      <c r="I224" s="9">
        <v>28607.74</v>
      </c>
      <c r="J224" s="9">
        <f t="shared" si="16"/>
        <v>2574.6966000000002</v>
      </c>
      <c r="K224" s="9">
        <f t="shared" si="17"/>
        <v>2574.6966000000002</v>
      </c>
      <c r="L224" s="9"/>
      <c r="M224" s="37">
        <f>Table432[[#This Row],[Taxable Amount]]+Table432[[#This Row],[SGST]]+Table432[[#This Row],[CGST]]</f>
        <v>33757.133200000004</v>
      </c>
      <c r="N224" s="71">
        <f>Table432[[#This Row],[Taxable Amount]]*1%</f>
        <v>286.07740000000001</v>
      </c>
      <c r="O224" s="150">
        <v>0</v>
      </c>
      <c r="P224" s="148">
        <v>33471</v>
      </c>
      <c r="Q224" s="59"/>
      <c r="R224" s="193" t="s">
        <v>313</v>
      </c>
      <c r="S224" s="138">
        <f>Table432[[#This Row],[Invoice Amount]]-Table432[[#This Row],[TDS]]-Table432[[#This Row],[RTN]]-Table432[[#This Row],[RECIVED AMOUNT]]</f>
        <v>5.5800000001909211E-2</v>
      </c>
      <c r="T224" s="55"/>
      <c r="U224" s="3"/>
      <c r="V224" s="41">
        <f>Table432[[#This Row],[BALANCE]]-Table432[[#This Row],[RECIVED AMOUNT2]]</f>
        <v>5.5800000001909211E-2</v>
      </c>
      <c r="W224" s="211"/>
      <c r="X224" s="2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</row>
    <row r="225" spans="1:121" s="13" customFormat="1" ht="19.95" customHeight="1">
      <c r="A225" s="79">
        <v>45556</v>
      </c>
      <c r="B225" s="21" t="s">
        <v>399</v>
      </c>
      <c r="C225" s="21" t="s">
        <v>258</v>
      </c>
      <c r="D225" s="21" t="s">
        <v>259</v>
      </c>
      <c r="E225" s="21" t="s">
        <v>260</v>
      </c>
      <c r="F225" s="22" t="s">
        <v>26</v>
      </c>
      <c r="G225" s="22">
        <v>998531</v>
      </c>
      <c r="H225" s="23">
        <v>0.18</v>
      </c>
      <c r="I225" s="36">
        <v>19950</v>
      </c>
      <c r="J225" s="36">
        <f t="shared" si="16"/>
        <v>1795.5</v>
      </c>
      <c r="K225" s="36">
        <f t="shared" si="17"/>
        <v>1795.5</v>
      </c>
      <c r="L225" s="37"/>
      <c r="M225" s="37">
        <f>Table432[[#This Row],[Taxable Amount]]+Table432[[#This Row],[SGST]]+Table432[[#This Row],[CGST]]</f>
        <v>23541</v>
      </c>
      <c r="N225" s="71">
        <f>Table432[[#This Row],[Taxable Amount]]*1%</f>
        <v>199.5</v>
      </c>
      <c r="O225" s="173">
        <v>0</v>
      </c>
      <c r="P225" s="148">
        <v>23340</v>
      </c>
      <c r="Q225" s="59">
        <v>45625</v>
      </c>
      <c r="R225" s="194" t="s">
        <v>356</v>
      </c>
      <c r="S225" s="138">
        <f>Table432[[#This Row],[Invoice Amount]]-Table432[[#This Row],[TDS]]-Table432[[#This Row],[RTN]]-Table432[[#This Row],[RECIVED AMOUNT]]</f>
        <v>1.5</v>
      </c>
      <c r="T225" s="49"/>
      <c r="U225" s="3"/>
      <c r="V225" s="41">
        <f>Table432[[#This Row],[BALANCE]]-Table432[[#This Row],[RECIVED AMOUNT2]]</f>
        <v>1.5</v>
      </c>
      <c r="W225" s="208"/>
      <c r="X225" s="208"/>
    </row>
    <row r="226" spans="1:121" ht="19.95" customHeight="1">
      <c r="A226" s="68">
        <v>45560</v>
      </c>
      <c r="B226" s="3" t="s">
        <v>400</v>
      </c>
      <c r="C226" s="3" t="s">
        <v>390</v>
      </c>
      <c r="D226" s="3" t="s">
        <v>391</v>
      </c>
      <c r="E226" s="3" t="s">
        <v>260</v>
      </c>
      <c r="F226" s="4" t="s">
        <v>26</v>
      </c>
      <c r="G226" s="22">
        <v>998531</v>
      </c>
      <c r="H226" s="23">
        <v>0.18</v>
      </c>
      <c r="I226" s="9">
        <v>2582</v>
      </c>
      <c r="J226" s="9">
        <f t="shared" si="16"/>
        <v>232.38</v>
      </c>
      <c r="K226" s="9">
        <f t="shared" si="17"/>
        <v>232.38</v>
      </c>
      <c r="L226" s="41"/>
      <c r="M226" s="37">
        <f>Table432[[#This Row],[Taxable Amount]]+Table432[[#This Row],[SGST]]+Table432[[#This Row],[CGST]]</f>
        <v>3046.76</v>
      </c>
      <c r="N226" s="71">
        <f>Table432[[#This Row],[Taxable Amount]]*1%</f>
        <v>25.82</v>
      </c>
      <c r="O226" s="157">
        <v>0</v>
      </c>
      <c r="P226" s="148"/>
      <c r="Q226" s="59">
        <v>45600</v>
      </c>
      <c r="R226" s="193" t="s">
        <v>313</v>
      </c>
      <c r="S226" s="138">
        <f>Table432[[#This Row],[Invoice Amount]]-Table432[[#This Row],[TDS]]-Table432[[#This Row],[RTN]]-Table432[[#This Row],[RECIVED AMOUNT]]</f>
        <v>3020.94</v>
      </c>
      <c r="T226" s="55"/>
      <c r="U226" s="3"/>
      <c r="V226" s="41">
        <f>Table432[[#This Row],[BALANCE]]-Table432[[#This Row],[RECIVED AMOUNT2]]</f>
        <v>3020.94</v>
      </c>
      <c r="W226" s="50"/>
      <c r="X226" s="50"/>
    </row>
    <row r="227" spans="1:121" ht="19.95" customHeight="1">
      <c r="A227" s="68">
        <v>45560</v>
      </c>
      <c r="B227" s="3" t="s">
        <v>401</v>
      </c>
      <c r="C227" s="3" t="s">
        <v>390</v>
      </c>
      <c r="D227" s="3" t="s">
        <v>391</v>
      </c>
      <c r="E227" s="3" t="s">
        <v>260</v>
      </c>
      <c r="F227" s="4" t="s">
        <v>26</v>
      </c>
      <c r="G227" s="22">
        <v>998531</v>
      </c>
      <c r="H227" s="23">
        <v>0.18</v>
      </c>
      <c r="I227" s="9">
        <v>2088</v>
      </c>
      <c r="J227" s="9">
        <f t="shared" si="16"/>
        <v>187.92</v>
      </c>
      <c r="K227" s="9">
        <f t="shared" si="17"/>
        <v>187.92</v>
      </c>
      <c r="L227" s="41"/>
      <c r="M227" s="37">
        <f>Table432[[#This Row],[Taxable Amount]]+Table432[[#This Row],[SGST]]+Table432[[#This Row],[CGST]]</f>
        <v>2463.84</v>
      </c>
      <c r="N227" s="71">
        <f>Table432[[#This Row],[Taxable Amount]]*1%</f>
        <v>20.88</v>
      </c>
      <c r="O227" s="157">
        <v>0</v>
      </c>
      <c r="P227" s="148"/>
      <c r="Q227" s="59">
        <v>45600</v>
      </c>
      <c r="R227" s="193" t="s">
        <v>313</v>
      </c>
      <c r="S227" s="138">
        <f>Table432[[#This Row],[Invoice Amount]]-Table432[[#This Row],[TDS]]-Table432[[#This Row],[RTN]]-Table432[[#This Row],[RECIVED AMOUNT]]</f>
        <v>2442.96</v>
      </c>
      <c r="T227" s="55"/>
      <c r="U227" s="3"/>
      <c r="V227" s="41">
        <f>Table432[[#This Row],[BALANCE]]-Table432[[#This Row],[RECIVED AMOUNT2]]</f>
        <v>2442.96</v>
      </c>
      <c r="W227" s="50"/>
      <c r="X227" s="50"/>
    </row>
    <row r="228" spans="1:121" ht="19.95" customHeight="1">
      <c r="A228" s="68">
        <v>45560</v>
      </c>
      <c r="B228" s="3" t="s">
        <v>402</v>
      </c>
      <c r="C228" s="3" t="s">
        <v>390</v>
      </c>
      <c r="D228" s="3" t="s">
        <v>391</v>
      </c>
      <c r="E228" s="3" t="s">
        <v>260</v>
      </c>
      <c r="F228" s="4" t="s">
        <v>26</v>
      </c>
      <c r="G228" s="22">
        <v>998531</v>
      </c>
      <c r="H228" s="23">
        <v>0.18</v>
      </c>
      <c r="I228" s="9">
        <v>2908</v>
      </c>
      <c r="J228" s="9">
        <f t="shared" si="16"/>
        <v>261.72000000000003</v>
      </c>
      <c r="K228" s="9">
        <f t="shared" si="17"/>
        <v>261.72000000000003</v>
      </c>
      <c r="L228" s="41"/>
      <c r="M228" s="37">
        <f>Table432[[#This Row],[Taxable Amount]]+Table432[[#This Row],[SGST]]+Table432[[#This Row],[CGST]]</f>
        <v>3431.4400000000005</v>
      </c>
      <c r="N228" s="71">
        <f>Table432[[#This Row],[Taxable Amount]]*1%</f>
        <v>29.080000000000002</v>
      </c>
      <c r="O228" s="157">
        <v>0</v>
      </c>
      <c r="P228" s="148"/>
      <c r="Q228" s="59">
        <v>45600</v>
      </c>
      <c r="R228" s="193" t="s">
        <v>313</v>
      </c>
      <c r="S228" s="138">
        <f>Table432[[#This Row],[Invoice Amount]]-Table432[[#This Row],[TDS]]-Table432[[#This Row],[RTN]]-Table432[[#This Row],[RECIVED AMOUNT]]</f>
        <v>3402.3600000000006</v>
      </c>
      <c r="T228" s="55"/>
      <c r="U228" s="3"/>
      <c r="V228" s="41">
        <f>Table432[[#This Row],[BALANCE]]-Table432[[#This Row],[RECIVED AMOUNT2]]</f>
        <v>3402.3600000000006</v>
      </c>
      <c r="W228" s="50"/>
      <c r="X228" s="50"/>
    </row>
    <row r="229" spans="1:121" ht="19.95" customHeight="1">
      <c r="A229" s="68">
        <v>45560</v>
      </c>
      <c r="B229" s="3" t="s">
        <v>403</v>
      </c>
      <c r="C229" s="3" t="s">
        <v>390</v>
      </c>
      <c r="D229" s="3" t="s">
        <v>391</v>
      </c>
      <c r="E229" s="3" t="s">
        <v>260</v>
      </c>
      <c r="F229" s="4" t="s">
        <v>26</v>
      </c>
      <c r="G229" s="22">
        <v>998531</v>
      </c>
      <c r="H229" s="23">
        <v>0.18</v>
      </c>
      <c r="I229" s="9">
        <v>2132</v>
      </c>
      <c r="J229" s="9">
        <f t="shared" si="16"/>
        <v>191.88</v>
      </c>
      <c r="K229" s="9">
        <f t="shared" si="17"/>
        <v>191.88</v>
      </c>
      <c r="L229" s="41"/>
      <c r="M229" s="37">
        <f>Table432[[#This Row],[Taxable Amount]]+Table432[[#This Row],[SGST]]+Table432[[#This Row],[CGST]]</f>
        <v>2515.7600000000002</v>
      </c>
      <c r="N229" s="71">
        <f>Table432[[#This Row],[Taxable Amount]]*1%</f>
        <v>21.32</v>
      </c>
      <c r="O229" s="157">
        <v>0</v>
      </c>
      <c r="P229" s="148"/>
      <c r="Q229" s="59">
        <v>45600</v>
      </c>
      <c r="R229" s="193" t="s">
        <v>313</v>
      </c>
      <c r="S229" s="138">
        <f>Table432[[#This Row],[Invoice Amount]]-Table432[[#This Row],[TDS]]-Table432[[#This Row],[RTN]]-Table432[[#This Row],[RECIVED AMOUNT]]</f>
        <v>2494.44</v>
      </c>
      <c r="T229" s="55"/>
      <c r="U229" s="3"/>
      <c r="V229" s="41">
        <f>Table432[[#This Row],[BALANCE]]-Table432[[#This Row],[RECIVED AMOUNT2]]</f>
        <v>2494.44</v>
      </c>
      <c r="W229" s="50"/>
      <c r="X229" s="50"/>
    </row>
    <row r="230" spans="1:121" ht="19.95" customHeight="1">
      <c r="A230" s="68">
        <v>45560</v>
      </c>
      <c r="B230" s="3" t="s">
        <v>404</v>
      </c>
      <c r="C230" s="3" t="s">
        <v>390</v>
      </c>
      <c r="D230" s="3" t="s">
        <v>391</v>
      </c>
      <c r="E230" s="3" t="s">
        <v>260</v>
      </c>
      <c r="F230" s="4" t="s">
        <v>26</v>
      </c>
      <c r="G230" s="22">
        <v>998531</v>
      </c>
      <c r="H230" s="23">
        <v>0.18</v>
      </c>
      <c r="I230" s="9">
        <v>2890</v>
      </c>
      <c r="J230" s="9">
        <f t="shared" si="16"/>
        <v>260.10000000000002</v>
      </c>
      <c r="K230" s="9">
        <f t="shared" si="17"/>
        <v>260.10000000000002</v>
      </c>
      <c r="L230" s="41"/>
      <c r="M230" s="37">
        <f>Table432[[#This Row],[Taxable Amount]]+Table432[[#This Row],[SGST]]+Table432[[#This Row],[CGST]]</f>
        <v>3410.2</v>
      </c>
      <c r="N230" s="71">
        <f>Table432[[#This Row],[Taxable Amount]]*1%</f>
        <v>28.900000000000002</v>
      </c>
      <c r="O230" s="157">
        <v>0</v>
      </c>
      <c r="P230" s="148">
        <v>14742</v>
      </c>
      <c r="Q230" s="59">
        <v>45600</v>
      </c>
      <c r="R230" s="193" t="s">
        <v>313</v>
      </c>
      <c r="S230" s="138">
        <f>Table432[[#This Row],[Invoice Amount]]-Table432[[#This Row],[TDS]]-Table432[[#This Row],[RTN]]-Table432[[#This Row],[RECIVED AMOUNT]]</f>
        <v>-11360.7</v>
      </c>
      <c r="T230" s="55"/>
      <c r="U230" s="3"/>
      <c r="V230" s="41">
        <f>Table432[[#This Row],[BALANCE]]-Table432[[#This Row],[RECIVED AMOUNT2]]</f>
        <v>-11360.7</v>
      </c>
      <c r="W230" s="50"/>
      <c r="X230" s="50"/>
    </row>
    <row r="231" spans="1:121" ht="19.95" customHeight="1">
      <c r="A231" s="68">
        <v>45565</v>
      </c>
      <c r="B231" s="3" t="s">
        <v>405</v>
      </c>
      <c r="C231" s="90" t="s">
        <v>406</v>
      </c>
      <c r="D231" s="3" t="s">
        <v>407</v>
      </c>
      <c r="E231" s="3" t="s">
        <v>408</v>
      </c>
      <c r="F231" s="4" t="s">
        <v>26</v>
      </c>
      <c r="G231" s="22">
        <v>998531</v>
      </c>
      <c r="H231" s="23">
        <v>0.18</v>
      </c>
      <c r="I231" s="9">
        <v>15000</v>
      </c>
      <c r="J231" s="9">
        <f t="shared" si="16"/>
        <v>1350</v>
      </c>
      <c r="K231" s="9">
        <f t="shared" si="17"/>
        <v>1350</v>
      </c>
      <c r="L231" s="41"/>
      <c r="M231" s="37">
        <f>Table432[[#This Row],[Taxable Amount]]+Table432[[#This Row],[SGST]]+Table432[[#This Row],[CGST]]</f>
        <v>17700</v>
      </c>
      <c r="N231" s="71"/>
      <c r="O231" s="157">
        <v>0</v>
      </c>
      <c r="P231" s="148">
        <v>17700</v>
      </c>
      <c r="Q231" s="59"/>
      <c r="R231" s="193" t="s">
        <v>313</v>
      </c>
      <c r="S231" s="138">
        <f>Table432[[#This Row],[Invoice Amount]]-Table432[[#This Row],[TDS]]-Table432[[#This Row],[RTN]]-Table432[[#This Row],[RECIVED AMOUNT]]</f>
        <v>0</v>
      </c>
      <c r="T231" s="55"/>
      <c r="U231" s="3"/>
      <c r="V231" s="41">
        <f>Table432[[#This Row],[BALANCE]]-Table432[[#This Row],[RECIVED AMOUNT2]]</f>
        <v>0</v>
      </c>
      <c r="W231" s="50"/>
      <c r="X231" s="50"/>
    </row>
    <row r="232" spans="1:121" ht="19.95" customHeight="1">
      <c r="A232" s="68">
        <v>45565</v>
      </c>
      <c r="B232" s="3" t="s">
        <v>409</v>
      </c>
      <c r="C232" s="21" t="s">
        <v>116</v>
      </c>
      <c r="D232" s="3" t="s">
        <v>117</v>
      </c>
      <c r="E232" s="3" t="s">
        <v>59</v>
      </c>
      <c r="F232" s="4" t="s">
        <v>26</v>
      </c>
      <c r="G232" s="22">
        <v>998531</v>
      </c>
      <c r="H232" s="23">
        <v>0.18</v>
      </c>
      <c r="I232" s="9">
        <v>17300</v>
      </c>
      <c r="J232" s="9">
        <f t="shared" si="16"/>
        <v>1557</v>
      </c>
      <c r="K232" s="9">
        <f t="shared" si="17"/>
        <v>1557</v>
      </c>
      <c r="L232" s="41"/>
      <c r="M232" s="37">
        <f>Table432[[#This Row],[Taxable Amount]]+Table432[[#This Row],[SGST]]+Table432[[#This Row],[CGST]]</f>
        <v>20414</v>
      </c>
      <c r="N232" s="71">
        <f>Table432[[#This Row],[Taxable Amount]]*1%</f>
        <v>173</v>
      </c>
      <c r="O232" s="157">
        <v>0</v>
      </c>
      <c r="P232" s="148">
        <v>20241</v>
      </c>
      <c r="Q232" s="59">
        <v>45594</v>
      </c>
      <c r="R232" s="193" t="s">
        <v>356</v>
      </c>
      <c r="S232" s="138">
        <f>Table432[[#This Row],[Invoice Amount]]-Table432[[#This Row],[TDS]]-Table432[[#This Row],[RTN]]-Table432[[#This Row],[RECIVED AMOUNT]]</f>
        <v>0</v>
      </c>
      <c r="T232" s="55"/>
      <c r="U232" s="3"/>
      <c r="V232" s="41">
        <f>Table432[[#This Row],[BALANCE]]-Table432[[#This Row],[RECIVED AMOUNT2]]</f>
        <v>0</v>
      </c>
      <c r="W232" s="50"/>
      <c r="X232" s="50"/>
    </row>
    <row r="233" spans="1:121" ht="19.95" customHeight="1">
      <c r="A233" s="68">
        <v>45565</v>
      </c>
      <c r="B233" s="3" t="s">
        <v>410</v>
      </c>
      <c r="C233" s="3" t="s">
        <v>290</v>
      </c>
      <c r="D233" s="3" t="s">
        <v>291</v>
      </c>
      <c r="E233" s="3" t="s">
        <v>25</v>
      </c>
      <c r="F233" s="4" t="s">
        <v>26</v>
      </c>
      <c r="G233" s="22">
        <v>998531</v>
      </c>
      <c r="H233" s="23">
        <v>0.18</v>
      </c>
      <c r="I233" s="9">
        <v>4500</v>
      </c>
      <c r="J233" s="9">
        <f t="shared" si="16"/>
        <v>405</v>
      </c>
      <c r="K233" s="9">
        <f t="shared" si="17"/>
        <v>405</v>
      </c>
      <c r="L233" s="41"/>
      <c r="M233" s="37">
        <f>Table432[[#This Row],[Taxable Amount]]+Table432[[#This Row],[SGST]]+Table432[[#This Row],[CGST]]</f>
        <v>5310</v>
      </c>
      <c r="N233" s="71">
        <v>0</v>
      </c>
      <c r="O233" s="157">
        <v>0</v>
      </c>
      <c r="P233" s="148">
        <v>5310</v>
      </c>
      <c r="Q233" s="59">
        <v>45574</v>
      </c>
      <c r="R233" s="193" t="s">
        <v>356</v>
      </c>
      <c r="S233" s="138">
        <f>Table432[[#This Row],[Invoice Amount]]-Table432[[#This Row],[TDS]]-Table432[[#This Row],[RTN]]-Table432[[#This Row],[RECIVED AMOUNT]]</f>
        <v>0</v>
      </c>
      <c r="T233" s="55"/>
      <c r="U233" s="3"/>
      <c r="V233" s="41">
        <f>Table432[[#This Row],[BALANCE]]-Table432[[#This Row],[RECIVED AMOUNT2]]</f>
        <v>0</v>
      </c>
      <c r="W233" s="50"/>
      <c r="X233" s="50"/>
    </row>
    <row r="234" spans="1:121" ht="19.95" customHeight="1">
      <c r="A234" s="68">
        <v>45565</v>
      </c>
      <c r="B234" s="3" t="s">
        <v>411</v>
      </c>
      <c r="C234" s="3" t="s">
        <v>955</v>
      </c>
      <c r="D234" s="3" t="s">
        <v>205</v>
      </c>
      <c r="E234" s="3" t="s">
        <v>59</v>
      </c>
      <c r="F234" s="4" t="s">
        <v>26</v>
      </c>
      <c r="G234" s="22">
        <v>998531</v>
      </c>
      <c r="H234" s="23">
        <v>0.18</v>
      </c>
      <c r="I234" s="9">
        <v>10000</v>
      </c>
      <c r="J234" s="9">
        <f t="shared" si="16"/>
        <v>900</v>
      </c>
      <c r="K234" s="9">
        <f t="shared" si="17"/>
        <v>900</v>
      </c>
      <c r="L234" s="41"/>
      <c r="M234" s="37">
        <f>Table432[[#This Row],[Taxable Amount]]+Table432[[#This Row],[SGST]]+Table432[[#This Row],[CGST]]</f>
        <v>11800</v>
      </c>
      <c r="N234" s="71">
        <v>0</v>
      </c>
      <c r="O234" s="157">
        <v>0</v>
      </c>
      <c r="P234" s="148">
        <v>10000</v>
      </c>
      <c r="Q234" s="59">
        <v>45623</v>
      </c>
      <c r="R234" s="193" t="s">
        <v>313</v>
      </c>
      <c r="S234" s="138">
        <f>Table432[[#This Row],[Invoice Amount]]-Table432[[#This Row],[TDS]]-Table432[[#This Row],[RTN]]-Table432[[#This Row],[RECIVED AMOUNT]]</f>
        <v>1800</v>
      </c>
      <c r="T234" s="55"/>
      <c r="U234" s="3"/>
      <c r="V234" s="41">
        <f>Table432[[#This Row],[BALANCE]]-Table432[[#This Row],[RECIVED AMOUNT2]]</f>
        <v>1800</v>
      </c>
      <c r="W234" s="50"/>
      <c r="X234" s="50"/>
    </row>
    <row r="235" spans="1:121" ht="19.95" customHeight="1">
      <c r="A235" s="86">
        <v>45565</v>
      </c>
      <c r="B235" s="7" t="s">
        <v>412</v>
      </c>
      <c r="C235" s="7" t="s">
        <v>337</v>
      </c>
      <c r="D235" s="7" t="s">
        <v>338</v>
      </c>
      <c r="E235" s="7" t="s">
        <v>339</v>
      </c>
      <c r="F235" s="5" t="s">
        <v>26</v>
      </c>
      <c r="G235" s="85">
        <v>998531</v>
      </c>
      <c r="H235" s="23">
        <v>0.18</v>
      </c>
      <c r="I235" s="69">
        <v>15300</v>
      </c>
      <c r="J235" s="69">
        <f t="shared" si="16"/>
        <v>1377</v>
      </c>
      <c r="K235" s="69">
        <f t="shared" si="17"/>
        <v>1377</v>
      </c>
      <c r="L235" s="70"/>
      <c r="M235" s="94">
        <f>Table432[[#This Row],[Taxable Amount]]+Table432[[#This Row],[SGST]]+Table432[[#This Row],[CGST]]</f>
        <v>18054</v>
      </c>
      <c r="N235" s="71">
        <v>0</v>
      </c>
      <c r="O235" s="158">
        <v>0</v>
      </c>
      <c r="P235" s="156">
        <v>20000</v>
      </c>
      <c r="Q235" s="97">
        <v>45924</v>
      </c>
      <c r="R235" s="116" t="s">
        <v>413</v>
      </c>
      <c r="S235" s="138">
        <f>Table432[[#This Row],[Invoice Amount]]-Table432[[#This Row],[TDS]]-Table432[[#This Row],[RTN]]-Table432[[#This Row],[RECIVED AMOUNT]]</f>
        <v>-1946</v>
      </c>
      <c r="T235" s="99"/>
      <c r="U235" s="7"/>
      <c r="V235" s="41">
        <f>Table432[[#This Row],[BALANCE]]-Table432[[#This Row],[RECIVED AMOUNT2]]</f>
        <v>-1946</v>
      </c>
      <c r="W235" s="50"/>
      <c r="X235" s="50"/>
    </row>
    <row r="236" spans="1:121" s="10" customFormat="1" ht="19.95" customHeight="1">
      <c r="A236" s="86">
        <v>45565</v>
      </c>
      <c r="B236" s="7" t="s">
        <v>414</v>
      </c>
      <c r="C236" s="7" t="s">
        <v>157</v>
      </c>
      <c r="D236" s="7" t="s">
        <v>158</v>
      </c>
      <c r="E236" s="7" t="s">
        <v>59</v>
      </c>
      <c r="F236" s="5" t="s">
        <v>26</v>
      </c>
      <c r="G236" s="85">
        <v>998531</v>
      </c>
      <c r="H236" s="221">
        <v>0.18</v>
      </c>
      <c r="I236" s="69">
        <v>18800</v>
      </c>
      <c r="J236" s="69">
        <f t="shared" si="16"/>
        <v>1692</v>
      </c>
      <c r="K236" s="69">
        <f t="shared" si="17"/>
        <v>1692</v>
      </c>
      <c r="L236" s="70"/>
      <c r="M236" s="94">
        <f>Table432[[#This Row],[Taxable Amount]]+Table432[[#This Row],[SGST]]+Table432[[#This Row],[CGST]]</f>
        <v>22184</v>
      </c>
      <c r="N236" s="155">
        <f>Table432[[#This Row],[Taxable Amount]]*1%</f>
        <v>188</v>
      </c>
      <c r="O236" s="158">
        <v>0</v>
      </c>
      <c r="P236" s="156"/>
      <c r="Q236" s="97">
        <v>45751</v>
      </c>
      <c r="R236" s="199" t="s">
        <v>313</v>
      </c>
      <c r="S236" s="93">
        <f>Table432[[#This Row],[Invoice Amount]]-Table432[[#This Row],[TDS]]-Table432[[#This Row],[RTN]]-Table432[[#This Row],[RECIVED AMOUNT]]</f>
        <v>21996</v>
      </c>
      <c r="T236" s="99"/>
      <c r="U236" s="7"/>
      <c r="V236" s="70">
        <f>Table432[[#This Row],[BALANCE]]-Table432[[#This Row],[RECIVED AMOUNT2]]</f>
        <v>21996</v>
      </c>
      <c r="W236" s="211"/>
      <c r="X236" s="211"/>
    </row>
    <row r="237" spans="1:121" s="10" customFormat="1" ht="19.95" customHeight="1">
      <c r="A237" s="68">
        <v>45565</v>
      </c>
      <c r="B237" s="3" t="s">
        <v>415</v>
      </c>
      <c r="C237" s="3" t="s">
        <v>955</v>
      </c>
      <c r="D237" s="3" t="s">
        <v>205</v>
      </c>
      <c r="E237" s="3" t="s">
        <v>67</v>
      </c>
      <c r="F237" s="4" t="s">
        <v>26</v>
      </c>
      <c r="G237" s="22">
        <v>998531</v>
      </c>
      <c r="H237" s="23">
        <v>0.18</v>
      </c>
      <c r="I237" s="9">
        <v>10000</v>
      </c>
      <c r="J237" s="9">
        <f t="shared" si="16"/>
        <v>900</v>
      </c>
      <c r="K237" s="9">
        <f t="shared" si="17"/>
        <v>900</v>
      </c>
      <c r="L237" s="41"/>
      <c r="M237" s="37">
        <f>Table432[[#This Row],[Taxable Amount]]+Table432[[#This Row],[SGST]]+Table432[[#This Row],[CGST]]</f>
        <v>11800</v>
      </c>
      <c r="N237" s="71">
        <f>Table432[[#This Row],[Taxable Amount]]*1%</f>
        <v>100</v>
      </c>
      <c r="O237" s="157">
        <v>0</v>
      </c>
      <c r="P237" s="148">
        <v>14997</v>
      </c>
      <c r="Q237" s="59">
        <v>45687</v>
      </c>
      <c r="R237" s="193" t="s">
        <v>385</v>
      </c>
      <c r="S237" s="138">
        <f>Table432[[#This Row],[Invoice Amount]]-Table432[[#This Row],[TDS]]-Table432[[#This Row],[RTN]]-Table432[[#This Row],[RECIVED AMOUNT]]</f>
        <v>-3297</v>
      </c>
      <c r="T237" s="55"/>
      <c r="U237" s="3"/>
      <c r="V237" s="41">
        <f>Table432[[#This Row],[BALANCE]]-Table432[[#This Row],[RECIVED AMOUNT2]]</f>
        <v>-3297</v>
      </c>
      <c r="W237" s="211"/>
      <c r="X237" s="211"/>
    </row>
    <row r="238" spans="1:121" s="11" customFormat="1" ht="19.95" customHeight="1">
      <c r="A238" s="2">
        <v>45565</v>
      </c>
      <c r="B238" s="3" t="s">
        <v>416</v>
      </c>
      <c r="C238" s="3" t="s">
        <v>372</v>
      </c>
      <c r="D238" s="3" t="s">
        <v>373</v>
      </c>
      <c r="E238" s="3" t="s">
        <v>374</v>
      </c>
      <c r="F238" s="4" t="s">
        <v>26</v>
      </c>
      <c r="G238" s="22">
        <v>998531</v>
      </c>
      <c r="H238" s="23">
        <v>0.18</v>
      </c>
      <c r="I238" s="9">
        <v>1500</v>
      </c>
      <c r="J238" s="9">
        <f t="shared" si="16"/>
        <v>135</v>
      </c>
      <c r="K238" s="9">
        <f t="shared" si="17"/>
        <v>135</v>
      </c>
      <c r="L238" s="9"/>
      <c r="M238" s="37">
        <f>Table432[[#This Row],[Taxable Amount]]+Table432[[#This Row],[SGST]]+Table432[[#This Row],[CGST]]</f>
        <v>1770</v>
      </c>
      <c r="N238" s="71">
        <v>0</v>
      </c>
      <c r="O238" s="150">
        <v>0</v>
      </c>
      <c r="P238" s="148"/>
      <c r="Q238" s="59">
        <v>45656</v>
      </c>
      <c r="R238" s="193" t="s">
        <v>385</v>
      </c>
      <c r="S238" s="138">
        <f>Table432[[#This Row],[Invoice Amount]]-Table432[[#This Row],[TDS]]-Table432[[#This Row],[RTN]]-Table432[[#This Row],[RECIVED AMOUNT]]</f>
        <v>1770</v>
      </c>
      <c r="T238" s="55"/>
      <c r="U238" s="3"/>
      <c r="V238" s="41">
        <f>Table432[[#This Row],[BALANCE]]-Table432[[#This Row],[RECIVED AMOUNT2]]</f>
        <v>1770</v>
      </c>
      <c r="W238" s="211"/>
      <c r="X238" s="2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</row>
    <row r="239" spans="1:121" ht="19.95" customHeight="1">
      <c r="A239" s="83">
        <v>45565</v>
      </c>
      <c r="B239" s="84" t="s">
        <v>417</v>
      </c>
      <c r="C239" s="3" t="s">
        <v>963</v>
      </c>
      <c r="D239" s="7" t="s">
        <v>143</v>
      </c>
      <c r="E239" s="84" t="s">
        <v>232</v>
      </c>
      <c r="F239" s="85" t="s">
        <v>37</v>
      </c>
      <c r="G239" s="85">
        <v>998531</v>
      </c>
      <c r="H239" s="23">
        <v>0.18</v>
      </c>
      <c r="I239" s="93">
        <v>10278</v>
      </c>
      <c r="J239" s="93">
        <f t="shared" si="16"/>
        <v>925.02</v>
      </c>
      <c r="K239" s="93">
        <f t="shared" si="17"/>
        <v>925.02</v>
      </c>
      <c r="L239" s="94"/>
      <c r="M239" s="94">
        <f>Table432[[#This Row],[Taxable Amount]]+Table432[[#This Row],[SGST]]+Table432[[#This Row],[CGST]]</f>
        <v>12128.04</v>
      </c>
      <c r="N239" s="155">
        <v>0</v>
      </c>
      <c r="O239" s="180">
        <v>257</v>
      </c>
      <c r="P239" s="156">
        <v>12128</v>
      </c>
      <c r="Q239" s="97">
        <v>45842</v>
      </c>
      <c r="R239" s="116" t="s">
        <v>413</v>
      </c>
      <c r="S239" s="138">
        <f>Table432[[#This Row],[Invoice Amount]]-Table432[[#This Row],[TDS]]-Table432[[#This Row],[RTN]]-Table432[[#This Row],[RECIVED AMOUNT]]</f>
        <v>-256.95999999999913</v>
      </c>
      <c r="T239" s="98"/>
      <c r="U239" s="7"/>
      <c r="V239" s="41">
        <f>Table432[[#This Row],[BALANCE]]-Table432[[#This Row],[RECIVED AMOUNT2]]</f>
        <v>-256.95999999999913</v>
      </c>
      <c r="W239" s="50"/>
      <c r="X239" s="50"/>
    </row>
    <row r="240" spans="1:121" ht="19.95" customHeight="1">
      <c r="A240" s="68">
        <v>45565</v>
      </c>
      <c r="B240" s="3" t="s">
        <v>418</v>
      </c>
      <c r="C240" s="3" t="s">
        <v>42</v>
      </c>
      <c r="D240" s="3" t="s">
        <v>43</v>
      </c>
      <c r="E240" s="3" t="s">
        <v>101</v>
      </c>
      <c r="F240" s="4" t="s">
        <v>26</v>
      </c>
      <c r="G240" s="22">
        <v>998531</v>
      </c>
      <c r="H240" s="23">
        <v>0.18</v>
      </c>
      <c r="I240" s="9">
        <v>6000</v>
      </c>
      <c r="J240" s="9">
        <f t="shared" si="16"/>
        <v>540</v>
      </c>
      <c r="K240" s="9">
        <f t="shared" si="17"/>
        <v>540</v>
      </c>
      <c r="L240" s="41"/>
      <c r="M240" s="37">
        <f>Table432[[#This Row],[Taxable Amount]]+Table432[[#This Row],[SGST]]+Table432[[#This Row],[CGST]]</f>
        <v>7080</v>
      </c>
      <c r="N240" s="71">
        <f>Table432[[#This Row],[Taxable Amount]]*1%</f>
        <v>60</v>
      </c>
      <c r="O240" s="157">
        <v>0</v>
      </c>
      <c r="P240" s="148">
        <v>7020</v>
      </c>
      <c r="Q240" s="59">
        <v>45590</v>
      </c>
      <c r="R240" s="193" t="s">
        <v>356</v>
      </c>
      <c r="S240" s="138">
        <f>Table432[[#This Row],[Invoice Amount]]-Table432[[#This Row],[TDS]]-Table432[[#This Row],[RTN]]-Table432[[#This Row],[RECIVED AMOUNT]]</f>
        <v>0</v>
      </c>
      <c r="T240" s="55"/>
      <c r="U240" s="3"/>
      <c r="V240" s="41">
        <f>Table432[[#This Row],[BALANCE]]-Table432[[#This Row],[RECIVED AMOUNT2]]</f>
        <v>0</v>
      </c>
      <c r="W240" s="50"/>
      <c r="X240" s="50"/>
    </row>
    <row r="241" spans="1:121" s="10" customFormat="1" ht="19.95" customHeight="1">
      <c r="A241" s="68">
        <v>45565</v>
      </c>
      <c r="B241" s="3" t="s">
        <v>419</v>
      </c>
      <c r="C241" s="3" t="s">
        <v>42</v>
      </c>
      <c r="D241" s="3" t="s">
        <v>43</v>
      </c>
      <c r="E241" s="3" t="s">
        <v>44</v>
      </c>
      <c r="F241" s="4" t="s">
        <v>26</v>
      </c>
      <c r="G241" s="22">
        <v>998531</v>
      </c>
      <c r="H241" s="23">
        <v>0.18</v>
      </c>
      <c r="I241" s="9">
        <v>18400</v>
      </c>
      <c r="J241" s="9">
        <f t="shared" si="16"/>
        <v>1656</v>
      </c>
      <c r="K241" s="9">
        <f t="shared" si="17"/>
        <v>1656</v>
      </c>
      <c r="L241" s="41"/>
      <c r="M241" s="37">
        <f>Table432[[#This Row],[Taxable Amount]]+Table432[[#This Row],[SGST]]+Table432[[#This Row],[CGST]]</f>
        <v>21712</v>
      </c>
      <c r="N241" s="71">
        <f>Table432[[#This Row],[Taxable Amount]]*1%</f>
        <v>184</v>
      </c>
      <c r="O241" s="157">
        <v>460</v>
      </c>
      <c r="P241" s="145">
        <v>39162</v>
      </c>
      <c r="Q241" s="59">
        <v>45531</v>
      </c>
      <c r="R241" s="193" t="s">
        <v>356</v>
      </c>
      <c r="S241" s="138">
        <f>Table432[[#This Row],[Invoice Amount]]-Table432[[#This Row],[TDS]]-Table432[[#This Row],[RTN]]-Table432[[#This Row],[RECIVED AMOUNT]]</f>
        <v>-18094</v>
      </c>
      <c r="T241" s="55"/>
      <c r="U241" s="3"/>
      <c r="V241" s="41">
        <f>Table432[[#This Row],[BALANCE]]-Table432[[#This Row],[RECIVED AMOUNT2]]</f>
        <v>-18094</v>
      </c>
      <c r="W241" s="211"/>
      <c r="X241" s="211"/>
    </row>
    <row r="242" spans="1:121" ht="19.95" customHeight="1">
      <c r="A242" s="68">
        <v>45565</v>
      </c>
      <c r="B242" s="3" t="s">
        <v>420</v>
      </c>
      <c r="C242" s="21" t="s">
        <v>42</v>
      </c>
      <c r="D242" s="3" t="s">
        <v>43</v>
      </c>
      <c r="E242" s="3" t="s">
        <v>163</v>
      </c>
      <c r="F242" s="4" t="s">
        <v>26</v>
      </c>
      <c r="G242" s="22">
        <v>998531</v>
      </c>
      <c r="H242" s="23">
        <v>0.18</v>
      </c>
      <c r="I242" s="9">
        <v>10200</v>
      </c>
      <c r="J242" s="9">
        <f t="shared" si="16"/>
        <v>918</v>
      </c>
      <c r="K242" s="9">
        <f t="shared" si="17"/>
        <v>918</v>
      </c>
      <c r="L242" s="41"/>
      <c r="M242" s="37">
        <f>Table432[[#This Row],[Taxable Amount]]+Table432[[#This Row],[SGST]]+Table432[[#This Row],[CGST]]</f>
        <v>12036</v>
      </c>
      <c r="N242" s="71">
        <f>Table432[[#This Row],[Taxable Amount]]*1%</f>
        <v>102</v>
      </c>
      <c r="O242" s="157">
        <v>255</v>
      </c>
      <c r="P242" s="148"/>
      <c r="Q242" s="59"/>
      <c r="R242" s="193" t="s">
        <v>356</v>
      </c>
      <c r="S242" s="138">
        <f>Table432[[#This Row],[Invoice Amount]]-Table432[[#This Row],[TDS]]-Table432[[#This Row],[RTN]]-Table432[[#This Row],[RECIVED AMOUNT]]</f>
        <v>11679</v>
      </c>
      <c r="T242" s="55"/>
      <c r="U242" s="3"/>
      <c r="V242" s="41">
        <f>Table432[[#This Row],[BALANCE]]-Table432[[#This Row],[RECIVED AMOUNT2]]</f>
        <v>11679</v>
      </c>
      <c r="W242" s="50"/>
      <c r="X242" s="50"/>
    </row>
    <row r="243" spans="1:121" ht="19.95" customHeight="1">
      <c r="A243" s="68">
        <v>45572</v>
      </c>
      <c r="B243" s="3" t="s">
        <v>421</v>
      </c>
      <c r="C243" s="21" t="s">
        <v>293</v>
      </c>
      <c r="D243" s="3" t="s">
        <v>294</v>
      </c>
      <c r="E243" s="3" t="s">
        <v>295</v>
      </c>
      <c r="F243" s="4" t="s">
        <v>26</v>
      </c>
      <c r="G243" s="22">
        <v>998531</v>
      </c>
      <c r="H243" s="23">
        <v>0.18</v>
      </c>
      <c r="I243" s="9">
        <v>6000</v>
      </c>
      <c r="J243" s="9">
        <f t="shared" si="16"/>
        <v>540</v>
      </c>
      <c r="K243" s="9">
        <f t="shared" si="17"/>
        <v>540</v>
      </c>
      <c r="L243" s="41"/>
      <c r="M243" s="37">
        <f>Table432[[#This Row],[Taxable Amount]]+Table432[[#This Row],[SGST]]+Table432[[#This Row],[CGST]]</f>
        <v>7080</v>
      </c>
      <c r="N243" s="71">
        <f>Table432[[#This Row],[Taxable Amount]]*1%</f>
        <v>60</v>
      </c>
      <c r="O243" s="144">
        <v>0</v>
      </c>
      <c r="P243" s="148">
        <v>14160</v>
      </c>
      <c r="Q243" s="59">
        <v>45580</v>
      </c>
      <c r="R243" s="193" t="s">
        <v>313</v>
      </c>
      <c r="S243" s="138">
        <f>Table432[[#This Row],[Invoice Amount]]-Table432[[#This Row],[TDS]]-Table432[[#This Row],[RTN]]-Table432[[#This Row],[RECIVED AMOUNT]]</f>
        <v>-7140</v>
      </c>
      <c r="T243" s="55"/>
      <c r="U243" s="3"/>
      <c r="V243" s="41">
        <f>Table432[[#This Row],[BALANCE]]-Table432[[#This Row],[RECIVED AMOUNT2]]</f>
        <v>-7140</v>
      </c>
      <c r="W243" s="50"/>
      <c r="X243" s="50"/>
    </row>
    <row r="244" spans="1:121" ht="19.95" customHeight="1">
      <c r="A244" s="68">
        <v>45583</v>
      </c>
      <c r="B244" s="3" t="s">
        <v>422</v>
      </c>
      <c r="C244" s="91" t="s">
        <v>396</v>
      </c>
      <c r="D244" s="3" t="s">
        <v>397</v>
      </c>
      <c r="E244" s="3" t="s">
        <v>398</v>
      </c>
      <c r="F244" s="4" t="s">
        <v>37</v>
      </c>
      <c r="G244" s="22">
        <v>998531</v>
      </c>
      <c r="H244" s="23">
        <v>0.18</v>
      </c>
      <c r="I244" s="9">
        <v>40600</v>
      </c>
      <c r="J244" s="9">
        <f t="shared" si="16"/>
        <v>3654</v>
      </c>
      <c r="K244" s="9">
        <f t="shared" si="17"/>
        <v>3654</v>
      </c>
      <c r="L244" s="41"/>
      <c r="M244" s="37">
        <f>Table432[[#This Row],[Taxable Amount]]+Table432[[#This Row],[SGST]]+Table432[[#This Row],[CGST]]</f>
        <v>47908</v>
      </c>
      <c r="N244" s="71">
        <f>Table432[[#This Row],[Taxable Amount]]*1%</f>
        <v>406</v>
      </c>
      <c r="O244" s="157">
        <v>0</v>
      </c>
      <c r="P244" s="148">
        <v>47502</v>
      </c>
      <c r="Q244" s="59"/>
      <c r="R244" s="193" t="s">
        <v>313</v>
      </c>
      <c r="S244" s="138">
        <f>Table432[[#This Row],[Invoice Amount]]-Table432[[#This Row],[TDS]]-Table432[[#This Row],[RTN]]-Table432[[#This Row],[RECIVED AMOUNT]]</f>
        <v>0</v>
      </c>
      <c r="T244" s="55"/>
      <c r="U244" s="3"/>
      <c r="V244" s="41">
        <f>Table432[[#This Row],[BALANCE]]-Table432[[#This Row],[RECIVED AMOUNT2]]</f>
        <v>0</v>
      </c>
      <c r="W244" s="50"/>
      <c r="X244" s="50"/>
    </row>
    <row r="245" spans="1:121" ht="19.95" customHeight="1">
      <c r="A245" s="68">
        <v>45587</v>
      </c>
      <c r="B245" s="3" t="s">
        <v>423</v>
      </c>
      <c r="C245" s="3" t="s">
        <v>258</v>
      </c>
      <c r="D245" s="3" t="s">
        <v>259</v>
      </c>
      <c r="E245" s="3" t="s">
        <v>260</v>
      </c>
      <c r="F245" s="4" t="s">
        <v>26</v>
      </c>
      <c r="G245" s="22">
        <v>998531</v>
      </c>
      <c r="H245" s="23">
        <v>0.18</v>
      </c>
      <c r="I245" s="9">
        <v>19825</v>
      </c>
      <c r="J245" s="9">
        <f t="shared" si="16"/>
        <v>1784.25</v>
      </c>
      <c r="K245" s="9">
        <f t="shared" si="17"/>
        <v>1784.25</v>
      </c>
      <c r="L245" s="41"/>
      <c r="M245" s="37">
        <f>Table432[[#This Row],[Taxable Amount]]+Table432[[#This Row],[SGST]]+Table432[[#This Row],[CGST]]</f>
        <v>23393.5</v>
      </c>
      <c r="N245" s="71">
        <f>Table432[[#This Row],[Taxable Amount]]*1%</f>
        <v>198.25</v>
      </c>
      <c r="O245" s="157">
        <v>0</v>
      </c>
      <c r="P245" s="148">
        <v>23195</v>
      </c>
      <c r="Q245" s="59">
        <v>45645</v>
      </c>
      <c r="R245" s="193" t="s">
        <v>313</v>
      </c>
      <c r="S245" s="138">
        <f>Table432[[#This Row],[Invoice Amount]]-Table432[[#This Row],[TDS]]-Table432[[#This Row],[RTN]]-Table432[[#This Row],[RECIVED AMOUNT]]</f>
        <v>0.25</v>
      </c>
      <c r="T245" s="55"/>
      <c r="U245" s="3"/>
      <c r="V245" s="41">
        <f>Table432[[#This Row],[BALANCE]]-Table432[[#This Row],[RECIVED AMOUNT2]]</f>
        <v>0.25</v>
      </c>
      <c r="W245" s="50"/>
      <c r="X245" s="50"/>
    </row>
    <row r="246" spans="1:121" ht="19.95" customHeight="1">
      <c r="A246" s="68">
        <v>45596</v>
      </c>
      <c r="B246" s="3" t="s">
        <v>424</v>
      </c>
      <c r="C246" s="3" t="s">
        <v>390</v>
      </c>
      <c r="D246" s="3" t="s">
        <v>391</v>
      </c>
      <c r="E246" s="3" t="s">
        <v>260</v>
      </c>
      <c r="F246" s="4" t="s">
        <v>26</v>
      </c>
      <c r="G246" s="22">
        <v>998531</v>
      </c>
      <c r="H246" s="23">
        <v>0.18</v>
      </c>
      <c r="I246" s="9">
        <v>1536.75</v>
      </c>
      <c r="J246" s="9">
        <f t="shared" si="16"/>
        <v>138.3075</v>
      </c>
      <c r="K246" s="9">
        <f t="shared" si="17"/>
        <v>138.3075</v>
      </c>
      <c r="L246" s="41"/>
      <c r="M246" s="37">
        <f>Table432[[#This Row],[Taxable Amount]]+Table432[[#This Row],[SGST]]+Table432[[#This Row],[CGST]]</f>
        <v>1813.3649999999998</v>
      </c>
      <c r="N246" s="71">
        <f>Table432[[#This Row],[Taxable Amount]]*1%</f>
        <v>15.3675</v>
      </c>
      <c r="O246" s="157">
        <v>0</v>
      </c>
      <c r="P246" s="148"/>
      <c r="Q246" s="59">
        <v>45614</v>
      </c>
      <c r="R246" s="193" t="s">
        <v>349</v>
      </c>
      <c r="S246" s="138">
        <f>Table432[[#This Row],[Invoice Amount]]-Table432[[#This Row],[TDS]]-Table432[[#This Row],[RTN]]-Table432[[#This Row],[RECIVED AMOUNT]]</f>
        <v>1797.9974999999997</v>
      </c>
      <c r="T246" s="55"/>
      <c r="U246" s="3"/>
      <c r="V246" s="41">
        <f>Table432[[#This Row],[BALANCE]]-Table432[[#This Row],[RECIVED AMOUNT2]]</f>
        <v>1797.9974999999997</v>
      </c>
      <c r="W246" s="50"/>
      <c r="X246" s="50"/>
    </row>
    <row r="247" spans="1:121" ht="19.95" customHeight="1">
      <c r="A247" s="68">
        <v>45596</v>
      </c>
      <c r="B247" s="3" t="s">
        <v>425</v>
      </c>
      <c r="C247" s="3" t="s">
        <v>390</v>
      </c>
      <c r="D247" s="3" t="s">
        <v>391</v>
      </c>
      <c r="E247" s="3" t="s">
        <v>260</v>
      </c>
      <c r="F247" s="4" t="s">
        <v>26</v>
      </c>
      <c r="G247" s="22">
        <v>998531</v>
      </c>
      <c r="H247" s="23">
        <v>0.18</v>
      </c>
      <c r="I247" s="9">
        <v>1242.75</v>
      </c>
      <c r="J247" s="9">
        <f t="shared" si="16"/>
        <v>111.8475</v>
      </c>
      <c r="K247" s="9">
        <f t="shared" si="17"/>
        <v>111.8475</v>
      </c>
      <c r="L247" s="41"/>
      <c r="M247" s="37">
        <f>Table432[[#This Row],[Taxable Amount]]+Table432[[#This Row],[SGST]]+Table432[[#This Row],[CGST]]</f>
        <v>1466.4450000000002</v>
      </c>
      <c r="N247" s="71">
        <f>Table432[[#This Row],[Taxable Amount]]*1%</f>
        <v>12.4275</v>
      </c>
      <c r="O247" s="157">
        <v>0</v>
      </c>
      <c r="P247" s="148"/>
      <c r="Q247" s="59">
        <v>45614</v>
      </c>
      <c r="R247" s="193" t="s">
        <v>349</v>
      </c>
      <c r="S247" s="138">
        <f>Table432[[#This Row],[Invoice Amount]]-Table432[[#This Row],[TDS]]-Table432[[#This Row],[RTN]]-Table432[[#This Row],[RECIVED AMOUNT]]</f>
        <v>1454.0175000000002</v>
      </c>
      <c r="T247" s="55"/>
      <c r="U247" s="3"/>
      <c r="V247" s="41">
        <f>Table432[[#This Row],[BALANCE]]-Table432[[#This Row],[RECIVED AMOUNT2]]</f>
        <v>1454.0175000000002</v>
      </c>
      <c r="W247" s="50"/>
      <c r="X247" s="50"/>
    </row>
    <row r="248" spans="1:121" ht="19.95" customHeight="1">
      <c r="A248" s="68">
        <v>45596</v>
      </c>
      <c r="B248" s="3" t="s">
        <v>426</v>
      </c>
      <c r="C248" s="3" t="s">
        <v>390</v>
      </c>
      <c r="D248" s="3" t="s">
        <v>391</v>
      </c>
      <c r="E248" s="3" t="s">
        <v>260</v>
      </c>
      <c r="F248" s="4" t="s">
        <v>26</v>
      </c>
      <c r="G248" s="22">
        <v>998531</v>
      </c>
      <c r="H248" s="23">
        <v>0.18</v>
      </c>
      <c r="I248" s="9">
        <v>1731</v>
      </c>
      <c r="J248" s="9">
        <f t="shared" si="16"/>
        <v>155.79</v>
      </c>
      <c r="K248" s="9">
        <f t="shared" si="17"/>
        <v>155.79</v>
      </c>
      <c r="L248" s="41"/>
      <c r="M248" s="37">
        <f>Table432[[#This Row],[Taxable Amount]]+Table432[[#This Row],[SGST]]+Table432[[#This Row],[CGST]]</f>
        <v>2042.58</v>
      </c>
      <c r="N248" s="71">
        <f>Table432[[#This Row],[Taxable Amount]]*1%</f>
        <v>17.309999999999999</v>
      </c>
      <c r="O248" s="157">
        <v>0</v>
      </c>
      <c r="P248" s="148"/>
      <c r="Q248" s="59">
        <v>45614</v>
      </c>
      <c r="R248" s="193" t="s">
        <v>349</v>
      </c>
      <c r="S248" s="138">
        <f>Table432[[#This Row],[Invoice Amount]]-Table432[[#This Row],[TDS]]-Table432[[#This Row],[RTN]]-Table432[[#This Row],[RECIVED AMOUNT]]</f>
        <v>2025.27</v>
      </c>
      <c r="T248" s="55"/>
      <c r="U248" s="3"/>
      <c r="V248" s="41">
        <f>Table432[[#This Row],[BALANCE]]-Table432[[#This Row],[RECIVED AMOUNT2]]</f>
        <v>2025.27</v>
      </c>
      <c r="W248" s="50"/>
      <c r="X248" s="50"/>
    </row>
    <row r="249" spans="1:121" ht="19.95" customHeight="1">
      <c r="A249" s="68">
        <v>45596</v>
      </c>
      <c r="B249" s="3" t="s">
        <v>427</v>
      </c>
      <c r="C249" s="3" t="s">
        <v>390</v>
      </c>
      <c r="D249" s="3" t="s">
        <v>391</v>
      </c>
      <c r="E249" s="3" t="s">
        <v>260</v>
      </c>
      <c r="F249" s="4" t="s">
        <v>26</v>
      </c>
      <c r="G249" s="22">
        <v>998531</v>
      </c>
      <c r="H249" s="23">
        <v>0.18</v>
      </c>
      <c r="I249" s="9">
        <v>1269</v>
      </c>
      <c r="J249" s="9">
        <f t="shared" si="16"/>
        <v>114.21</v>
      </c>
      <c r="K249" s="9">
        <f t="shared" si="17"/>
        <v>114.21</v>
      </c>
      <c r="L249" s="41"/>
      <c r="M249" s="37">
        <f>Table432[[#This Row],[Taxable Amount]]+Table432[[#This Row],[SGST]]+Table432[[#This Row],[CGST]]</f>
        <v>1497.42</v>
      </c>
      <c r="N249" s="71">
        <f>Table432[[#This Row],[Taxable Amount]]*1%</f>
        <v>12.69</v>
      </c>
      <c r="O249" s="157">
        <v>0</v>
      </c>
      <c r="P249" s="148"/>
      <c r="Q249" s="59">
        <v>45614</v>
      </c>
      <c r="R249" s="193" t="s">
        <v>349</v>
      </c>
      <c r="S249" s="138">
        <f>Table432[[#This Row],[Invoice Amount]]-Table432[[#This Row],[TDS]]-Table432[[#This Row],[RTN]]-Table432[[#This Row],[RECIVED AMOUNT]]</f>
        <v>1484.73</v>
      </c>
      <c r="T249" s="55"/>
      <c r="U249" s="3"/>
      <c r="V249" s="41">
        <f>Table432[[#This Row],[BALANCE]]-Table432[[#This Row],[RECIVED AMOUNT2]]</f>
        <v>1484.73</v>
      </c>
      <c r="W249" s="50"/>
      <c r="X249" s="50"/>
    </row>
    <row r="250" spans="1:121" ht="19.95" customHeight="1">
      <c r="A250" s="68">
        <v>45596</v>
      </c>
      <c r="B250" s="3" t="s">
        <v>428</v>
      </c>
      <c r="C250" s="3" t="s">
        <v>390</v>
      </c>
      <c r="D250" s="3" t="s">
        <v>391</v>
      </c>
      <c r="E250" s="3" t="s">
        <v>260</v>
      </c>
      <c r="F250" s="4" t="s">
        <v>26</v>
      </c>
      <c r="G250" s="22">
        <v>998531</v>
      </c>
      <c r="H250" s="23">
        <v>0.18</v>
      </c>
      <c r="I250" s="9">
        <v>1720.5</v>
      </c>
      <c r="J250" s="9">
        <f t="shared" si="16"/>
        <v>154.845</v>
      </c>
      <c r="K250" s="9">
        <f t="shared" si="17"/>
        <v>154.845</v>
      </c>
      <c r="L250" s="41"/>
      <c r="M250" s="37">
        <f>Table432[[#This Row],[Taxable Amount]]+Table432[[#This Row],[SGST]]+Table432[[#This Row],[CGST]]</f>
        <v>2030.19</v>
      </c>
      <c r="N250" s="71">
        <f>Table432[[#This Row],[Taxable Amount]]*1%</f>
        <v>17.205000000000002</v>
      </c>
      <c r="O250" s="157">
        <v>0</v>
      </c>
      <c r="P250" s="148">
        <v>10143</v>
      </c>
      <c r="Q250" s="59">
        <v>45614</v>
      </c>
      <c r="R250" s="193" t="s">
        <v>349</v>
      </c>
      <c r="S250" s="138">
        <f>Table432[[#This Row],[Invoice Amount]]-Table432[[#This Row],[TDS]]-Table432[[#This Row],[RTN]]-Table432[[#This Row],[RECIVED AMOUNT]]</f>
        <v>-8130.0149999999994</v>
      </c>
      <c r="T250" s="55"/>
      <c r="U250" s="3"/>
      <c r="V250" s="41">
        <f>Table432[[#This Row],[BALANCE]]-Table432[[#This Row],[RECIVED AMOUNT2]]</f>
        <v>-8130.0149999999994</v>
      </c>
      <c r="W250" s="50"/>
      <c r="X250" s="50"/>
    </row>
    <row r="251" spans="1:121" ht="19.95" customHeight="1">
      <c r="A251" s="68">
        <v>45596</v>
      </c>
      <c r="B251" s="3" t="s">
        <v>429</v>
      </c>
      <c r="C251" s="21" t="s">
        <v>116</v>
      </c>
      <c r="D251" s="3" t="s">
        <v>117</v>
      </c>
      <c r="E251" s="3" t="s">
        <v>59</v>
      </c>
      <c r="F251" s="4" t="s">
        <v>26</v>
      </c>
      <c r="G251" s="22">
        <v>998531</v>
      </c>
      <c r="H251" s="23">
        <v>0.18</v>
      </c>
      <c r="I251" s="9">
        <v>17300</v>
      </c>
      <c r="J251" s="9">
        <f t="shared" si="16"/>
        <v>1557</v>
      </c>
      <c r="K251" s="9">
        <f t="shared" si="17"/>
        <v>1557</v>
      </c>
      <c r="L251" s="41"/>
      <c r="M251" s="37">
        <f>Table432[[#This Row],[Taxable Amount]]+Table432[[#This Row],[SGST]]+Table432[[#This Row],[CGST]]</f>
        <v>20414</v>
      </c>
      <c r="N251" s="71">
        <f>Table432[[#This Row],[Taxable Amount]]*1%</f>
        <v>173</v>
      </c>
      <c r="O251" s="157">
        <v>0</v>
      </c>
      <c r="P251" s="148">
        <v>43899</v>
      </c>
      <c r="Q251" s="59">
        <v>45610</v>
      </c>
      <c r="R251" s="193" t="s">
        <v>313</v>
      </c>
      <c r="S251" s="138">
        <f>Table432[[#This Row],[Invoice Amount]]-Table432[[#This Row],[TDS]]-Table432[[#This Row],[RTN]]-Table432[[#This Row],[RECIVED AMOUNT]]</f>
        <v>-23658</v>
      </c>
      <c r="T251" s="55"/>
      <c r="U251" s="3"/>
      <c r="V251" s="41">
        <f>Table432[[#This Row],[BALANCE]]-Table432[[#This Row],[RECIVED AMOUNT2]]</f>
        <v>-23658</v>
      </c>
      <c r="W251" s="50"/>
      <c r="X251" s="50"/>
    </row>
    <row r="252" spans="1:121" ht="19.95" customHeight="1">
      <c r="A252" s="68">
        <v>45596</v>
      </c>
      <c r="B252" s="3"/>
      <c r="C252" s="21" t="s">
        <v>116</v>
      </c>
      <c r="D252" s="3" t="s">
        <v>117</v>
      </c>
      <c r="E252" s="3" t="s">
        <v>59</v>
      </c>
      <c r="F252" s="4" t="s">
        <v>26</v>
      </c>
      <c r="G252" s="22">
        <v>998531</v>
      </c>
      <c r="H252" s="23">
        <v>0.18</v>
      </c>
      <c r="I252" s="9"/>
      <c r="J252" s="9">
        <f t="shared" si="16"/>
        <v>0</v>
      </c>
      <c r="K252" s="9">
        <f t="shared" si="17"/>
        <v>0</v>
      </c>
      <c r="L252" s="41"/>
      <c r="M252" s="37">
        <f>Table432[[#This Row],[Taxable Amount]]+Table432[[#This Row],[SGST]]+Table432[[#This Row],[CGST]]</f>
        <v>0</v>
      </c>
      <c r="N252" s="71">
        <f>Table432[[#This Row],[Taxable Amount]]*1%</f>
        <v>0</v>
      </c>
      <c r="O252" s="157">
        <v>0</v>
      </c>
      <c r="P252" s="148">
        <v>20241</v>
      </c>
      <c r="Q252" s="59">
        <v>45621</v>
      </c>
      <c r="R252" s="193" t="s">
        <v>313</v>
      </c>
      <c r="S252" s="138">
        <f>Table432[[#This Row],[Invoice Amount]]-Table432[[#This Row],[TDS]]-Table432[[#This Row],[RTN]]-Table432[[#This Row],[RECIVED AMOUNT]]</f>
        <v>-20241</v>
      </c>
      <c r="T252" s="55"/>
      <c r="U252" s="3"/>
      <c r="V252" s="41">
        <f>Table432[[#This Row],[BALANCE]]-Table432[[#This Row],[RECIVED AMOUNT2]]</f>
        <v>-20241</v>
      </c>
      <c r="W252" s="50"/>
      <c r="X252" s="50"/>
    </row>
    <row r="253" spans="1:121" ht="19.95" customHeight="1">
      <c r="A253" s="68">
        <v>45596</v>
      </c>
      <c r="B253" s="3" t="s">
        <v>430</v>
      </c>
      <c r="C253" s="3" t="s">
        <v>290</v>
      </c>
      <c r="D253" s="3" t="s">
        <v>291</v>
      </c>
      <c r="E253" s="3" t="s">
        <v>25</v>
      </c>
      <c r="F253" s="4" t="s">
        <v>26</v>
      </c>
      <c r="G253" s="22">
        <v>998531</v>
      </c>
      <c r="H253" s="23">
        <v>0.18</v>
      </c>
      <c r="I253" s="9">
        <v>4500</v>
      </c>
      <c r="J253" s="9">
        <f t="shared" ref="J253:J284" si="18">I253*9/100</f>
        <v>405</v>
      </c>
      <c r="K253" s="9">
        <f t="shared" ref="K253:K284" si="19">I253*9/100</f>
        <v>405</v>
      </c>
      <c r="L253" s="41"/>
      <c r="M253" s="37">
        <f>Table432[[#This Row],[Taxable Amount]]+Table432[[#This Row],[SGST]]+Table432[[#This Row],[CGST]]</f>
        <v>5310</v>
      </c>
      <c r="N253" s="71">
        <v>0</v>
      </c>
      <c r="O253" s="157">
        <v>0</v>
      </c>
      <c r="P253" s="148">
        <v>5310</v>
      </c>
      <c r="Q253" s="59">
        <v>45608</v>
      </c>
      <c r="R253" s="193" t="s">
        <v>313</v>
      </c>
      <c r="S253" s="138">
        <f>Table432[[#This Row],[Invoice Amount]]-Table432[[#This Row],[TDS]]-Table432[[#This Row],[RTN]]-Table432[[#This Row],[RECIVED AMOUNT]]</f>
        <v>0</v>
      </c>
      <c r="T253" s="55"/>
      <c r="U253" s="3"/>
      <c r="V253" s="41">
        <f>Table432[[#This Row],[BALANCE]]-Table432[[#This Row],[RECIVED AMOUNT2]]</f>
        <v>0</v>
      </c>
      <c r="W253" s="50"/>
      <c r="X253" s="50"/>
    </row>
    <row r="254" spans="1:121" s="381" customFormat="1" ht="19.95" customHeight="1">
      <c r="A254" s="365">
        <v>45596</v>
      </c>
      <c r="B254" s="366" t="s">
        <v>280</v>
      </c>
      <c r="C254" s="366" t="s">
        <v>157</v>
      </c>
      <c r="D254" s="366" t="s">
        <v>158</v>
      </c>
      <c r="E254" s="366" t="s">
        <v>59</v>
      </c>
      <c r="F254" s="367" t="s">
        <v>26</v>
      </c>
      <c r="G254" s="368">
        <v>998531</v>
      </c>
      <c r="H254" s="369">
        <v>0.18</v>
      </c>
      <c r="I254" s="370">
        <v>8400</v>
      </c>
      <c r="J254" s="370">
        <f t="shared" si="18"/>
        <v>756</v>
      </c>
      <c r="K254" s="370">
        <f t="shared" si="19"/>
        <v>756</v>
      </c>
      <c r="L254" s="371"/>
      <c r="M254" s="372">
        <f>Table432[[#This Row],[Taxable Amount]]+Table432[[#This Row],[SGST]]+Table432[[#This Row],[CGST]]</f>
        <v>9912</v>
      </c>
      <c r="N254" s="373">
        <f>Table432[[#This Row],[Taxable Amount]]*1%</f>
        <v>84</v>
      </c>
      <c r="O254" s="374">
        <v>0</v>
      </c>
      <c r="P254" s="375"/>
      <c r="Q254" s="376"/>
      <c r="R254" s="377" t="s">
        <v>431</v>
      </c>
      <c r="S254" s="378">
        <f>Table432[[#This Row],[Invoice Amount]]-Table432[[#This Row],[TDS]]-Table432[[#This Row],[RTN]]-Table432[[#This Row],[RECIVED AMOUNT]]</f>
        <v>9828</v>
      </c>
      <c r="T254" s="379" t="s">
        <v>1333</v>
      </c>
      <c r="U254" s="463">
        <v>46113</v>
      </c>
      <c r="V254" s="371" t="e">
        <f>Table432[[#This Row],[BALANCE]]-Table432[[#This Row],[RECIVED AMOUNT2]]</f>
        <v>#VALUE!</v>
      </c>
      <c r="W254" s="380"/>
      <c r="X254" s="380"/>
    </row>
    <row r="255" spans="1:121" s="381" customFormat="1" ht="19.95" customHeight="1">
      <c r="A255" s="365">
        <v>45596</v>
      </c>
      <c r="B255" s="366" t="s">
        <v>432</v>
      </c>
      <c r="C255" s="366" t="s">
        <v>157</v>
      </c>
      <c r="D255" s="366" t="s">
        <v>158</v>
      </c>
      <c r="E255" s="366" t="s">
        <v>59</v>
      </c>
      <c r="F255" s="367" t="s">
        <v>26</v>
      </c>
      <c r="G255" s="368">
        <v>998531</v>
      </c>
      <c r="H255" s="369">
        <v>0.18</v>
      </c>
      <c r="I255" s="370">
        <v>12240</v>
      </c>
      <c r="J255" s="370">
        <f t="shared" si="18"/>
        <v>1101.5999999999999</v>
      </c>
      <c r="K255" s="370">
        <f t="shared" si="19"/>
        <v>1101.5999999999999</v>
      </c>
      <c r="L255" s="371"/>
      <c r="M255" s="372">
        <f>Table432[[#This Row],[Taxable Amount]]+Table432[[#This Row],[SGST]]+Table432[[#This Row],[CGST]]</f>
        <v>14443.2</v>
      </c>
      <c r="N255" s="373">
        <f>Table432[[#This Row],[Taxable Amount]]*1%</f>
        <v>122.4</v>
      </c>
      <c r="O255" s="374">
        <v>0</v>
      </c>
      <c r="P255" s="375"/>
      <c r="Q255" s="376"/>
      <c r="R255" s="382" t="s">
        <v>313</v>
      </c>
      <c r="S255" s="378">
        <f>Table432[[#This Row],[Invoice Amount]]-Table432[[#This Row],[TDS]]-Table432[[#This Row],[RTN]]-Table432[[#This Row],[RECIVED AMOUNT]]</f>
        <v>14320.800000000001</v>
      </c>
      <c r="T255" s="379" t="s">
        <v>1333</v>
      </c>
      <c r="U255" s="463">
        <v>46113</v>
      </c>
      <c r="V255" s="371" t="e">
        <f>Table432[[#This Row],[BALANCE]]-Table432[[#This Row],[RECIVED AMOUNT2]]</f>
        <v>#VALUE!</v>
      </c>
      <c r="W255" s="380"/>
      <c r="X255" s="380"/>
    </row>
    <row r="256" spans="1:121" s="12" customFormat="1" ht="19.95" customHeight="1">
      <c r="A256" s="92">
        <v>45596</v>
      </c>
      <c r="B256" s="7" t="s">
        <v>433</v>
      </c>
      <c r="C256" s="7" t="s">
        <v>337</v>
      </c>
      <c r="D256" s="7" t="s">
        <v>338</v>
      </c>
      <c r="E256" s="7" t="s">
        <v>339</v>
      </c>
      <c r="F256" s="5" t="s">
        <v>434</v>
      </c>
      <c r="G256" s="85">
        <v>998531</v>
      </c>
      <c r="H256" s="23">
        <v>0.18</v>
      </c>
      <c r="I256" s="69">
        <v>5400</v>
      </c>
      <c r="J256" s="69">
        <f t="shared" si="18"/>
        <v>486</v>
      </c>
      <c r="K256" s="69">
        <f t="shared" si="19"/>
        <v>486</v>
      </c>
      <c r="L256" s="69"/>
      <c r="M256" s="94">
        <f>Table432[[#This Row],[Taxable Amount]]+Table432[[#This Row],[SGST]]+Table432[[#This Row],[CGST]]</f>
        <v>6372</v>
      </c>
      <c r="N256" s="71">
        <v>0</v>
      </c>
      <c r="O256" s="182">
        <v>0</v>
      </c>
      <c r="P256" s="156">
        <v>10000</v>
      </c>
      <c r="Q256" s="97">
        <v>45777</v>
      </c>
      <c r="R256" s="116" t="s">
        <v>413</v>
      </c>
      <c r="S256" s="138">
        <f>Table432[[#This Row],[Invoice Amount]]-Table432[[#This Row],[TDS]]-Table432[[#This Row],[RTN]]-Table432[[#This Row],[RECIVED AMOUNT]]</f>
        <v>-3628</v>
      </c>
      <c r="T256" s="99"/>
      <c r="U256" s="7"/>
      <c r="V256" s="41">
        <f>Table432[[#This Row],[BALANCE]]-Table432[[#This Row],[RECIVED AMOUNT2]]</f>
        <v>-3628</v>
      </c>
      <c r="W256" s="50"/>
      <c r="X256" s="50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</row>
    <row r="257" spans="1:121" s="11" customFormat="1" ht="19.95" customHeight="1">
      <c r="A257" s="2">
        <v>45596</v>
      </c>
      <c r="B257" s="3" t="s">
        <v>435</v>
      </c>
      <c r="C257" s="3" t="s">
        <v>955</v>
      </c>
      <c r="D257" s="3" t="s">
        <v>205</v>
      </c>
      <c r="E257" s="3" t="s">
        <v>59</v>
      </c>
      <c r="F257" s="4" t="s">
        <v>26</v>
      </c>
      <c r="G257" s="22">
        <v>998531</v>
      </c>
      <c r="H257" s="23">
        <v>0.18</v>
      </c>
      <c r="I257" s="9">
        <v>10000</v>
      </c>
      <c r="J257" s="9">
        <f t="shared" si="18"/>
        <v>900</v>
      </c>
      <c r="K257" s="9">
        <f t="shared" si="19"/>
        <v>900</v>
      </c>
      <c r="L257" s="9"/>
      <c r="M257" s="37">
        <f>Table432[[#This Row],[Taxable Amount]]+Table432[[#This Row],[SGST]]+Table432[[#This Row],[CGST]]</f>
        <v>11800</v>
      </c>
      <c r="N257" s="71">
        <v>0</v>
      </c>
      <c r="O257" s="150">
        <v>0</v>
      </c>
      <c r="P257" s="148">
        <v>10000</v>
      </c>
      <c r="Q257" s="59">
        <v>45639</v>
      </c>
      <c r="R257" s="193" t="s">
        <v>313</v>
      </c>
      <c r="S257" s="138">
        <f>Table432[[#This Row],[Invoice Amount]]-Table432[[#This Row],[TDS]]-Table432[[#This Row],[RTN]]-Table432[[#This Row],[RECIVED AMOUNT]]</f>
        <v>1800</v>
      </c>
      <c r="T257" s="55"/>
      <c r="U257" s="3"/>
      <c r="V257" s="41">
        <f>Table432[[#This Row],[BALANCE]]-Table432[[#This Row],[RECIVED AMOUNT2]]</f>
        <v>1800</v>
      </c>
      <c r="W257" s="211"/>
      <c r="X257" s="2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</row>
    <row r="258" spans="1:121" s="10" customFormat="1" ht="19.95" customHeight="1">
      <c r="A258" s="79">
        <v>45596</v>
      </c>
      <c r="B258" s="21" t="s">
        <v>436</v>
      </c>
      <c r="C258" s="3" t="s">
        <v>955</v>
      </c>
      <c r="D258" s="21" t="s">
        <v>205</v>
      </c>
      <c r="E258" s="21" t="s">
        <v>67</v>
      </c>
      <c r="F258" s="22"/>
      <c r="G258" s="22">
        <v>998531</v>
      </c>
      <c r="H258" s="23">
        <v>0.18</v>
      </c>
      <c r="I258" s="36">
        <v>10000</v>
      </c>
      <c r="J258" s="36">
        <f t="shared" si="18"/>
        <v>900</v>
      </c>
      <c r="K258" s="36">
        <f t="shared" si="19"/>
        <v>900</v>
      </c>
      <c r="L258" s="37"/>
      <c r="M258" s="37">
        <f>Table432[[#This Row],[Taxable Amount]]+Table432[[#This Row],[SGST]]+Table432[[#This Row],[CGST]]</f>
        <v>11800</v>
      </c>
      <c r="N258" s="71">
        <f>Table432[[#This Row],[Taxable Amount]]*1%</f>
        <v>100</v>
      </c>
      <c r="O258" s="173">
        <v>0</v>
      </c>
      <c r="P258" s="148"/>
      <c r="Q258" s="59"/>
      <c r="R258" s="193" t="s">
        <v>385</v>
      </c>
      <c r="S258" s="138">
        <f>Table432[[#This Row],[Invoice Amount]]-Table432[[#This Row],[TDS]]-Table432[[#This Row],[RTN]]-Table432[[#This Row],[RECIVED AMOUNT]]</f>
        <v>11700</v>
      </c>
      <c r="T258" s="49"/>
      <c r="U258" s="3"/>
      <c r="V258" s="41">
        <f>Table432[[#This Row],[BALANCE]]-Table432[[#This Row],[RECIVED AMOUNT2]]</f>
        <v>11700</v>
      </c>
      <c r="W258" s="211"/>
      <c r="X258" s="211"/>
    </row>
    <row r="259" spans="1:121" ht="19.95" customHeight="1">
      <c r="A259" s="68">
        <v>45596</v>
      </c>
      <c r="B259" s="3" t="s">
        <v>437</v>
      </c>
      <c r="C259" s="3" t="s">
        <v>372</v>
      </c>
      <c r="D259" s="3" t="s">
        <v>373</v>
      </c>
      <c r="E259" s="3" t="s">
        <v>374</v>
      </c>
      <c r="F259" s="4" t="s">
        <v>26</v>
      </c>
      <c r="G259" s="22">
        <v>998531</v>
      </c>
      <c r="H259" s="23">
        <v>0.18</v>
      </c>
      <c r="I259" s="9">
        <v>1500</v>
      </c>
      <c r="J259" s="9">
        <f t="shared" si="18"/>
        <v>135</v>
      </c>
      <c r="K259" s="9">
        <f t="shared" si="19"/>
        <v>135</v>
      </c>
      <c r="L259" s="41"/>
      <c r="M259" s="37">
        <f>Table432[[#This Row],[Taxable Amount]]+Table432[[#This Row],[SGST]]+Table432[[#This Row],[CGST]]</f>
        <v>1770</v>
      </c>
      <c r="N259" s="71">
        <v>0</v>
      </c>
      <c r="O259" s="157">
        <v>0</v>
      </c>
      <c r="P259" s="148"/>
      <c r="Q259" s="59">
        <v>45656</v>
      </c>
      <c r="R259" s="193" t="s">
        <v>385</v>
      </c>
      <c r="S259" s="138">
        <f>Table432[[#This Row],[Invoice Amount]]-Table432[[#This Row],[TDS]]-Table432[[#This Row],[RTN]]-Table432[[#This Row],[RECIVED AMOUNT]]</f>
        <v>1770</v>
      </c>
      <c r="T259" s="55"/>
      <c r="U259" s="3"/>
      <c r="V259" s="41">
        <f>Table432[[#This Row],[BALANCE]]-Table432[[#This Row],[RECIVED AMOUNT2]]</f>
        <v>1770</v>
      </c>
      <c r="W259" s="50"/>
      <c r="X259" s="50"/>
    </row>
    <row r="260" spans="1:121" s="325" customFormat="1" ht="19.95" customHeight="1">
      <c r="A260" s="345">
        <v>45596</v>
      </c>
      <c r="B260" s="327" t="s">
        <v>288</v>
      </c>
      <c r="C260" s="327" t="s">
        <v>234</v>
      </c>
      <c r="D260" s="327" t="s">
        <v>235</v>
      </c>
      <c r="E260" s="327" t="s">
        <v>236</v>
      </c>
      <c r="F260" s="332" t="s">
        <v>26</v>
      </c>
      <c r="G260" s="346">
        <v>998531</v>
      </c>
      <c r="H260" s="317">
        <v>0.18</v>
      </c>
      <c r="I260" s="340">
        <v>6000</v>
      </c>
      <c r="J260" s="340">
        <f t="shared" si="18"/>
        <v>540</v>
      </c>
      <c r="K260" s="340">
        <f t="shared" si="19"/>
        <v>540</v>
      </c>
      <c r="L260" s="324"/>
      <c r="M260" s="347">
        <f>Table432[[#This Row],[Taxable Amount]]+Table432[[#This Row],[SGST]]+Table432[[#This Row],[CGST]]</f>
        <v>7080</v>
      </c>
      <c r="N260" s="348">
        <v>0</v>
      </c>
      <c r="O260" s="349">
        <v>0</v>
      </c>
      <c r="P260" s="354"/>
      <c r="Q260" s="355"/>
      <c r="R260" s="359" t="s">
        <v>385</v>
      </c>
      <c r="S260" s="323">
        <f>Table432[[#This Row],[Invoice Amount]]-Table432[[#This Row],[TDS]]-Table432[[#This Row],[RTN]]-Table432[[#This Row],[RECIVED AMOUNT]]</f>
        <v>7080</v>
      </c>
      <c r="T260" s="351"/>
      <c r="U260" s="327"/>
      <c r="V260" s="324">
        <f>Table432[[#This Row],[BALANCE]]-Table432[[#This Row],[RECIVED AMOUNT2]]</f>
        <v>7080</v>
      </c>
      <c r="W260" s="352"/>
      <c r="X260" s="352"/>
    </row>
    <row r="261" spans="1:121" s="325" customFormat="1" ht="19.95" customHeight="1">
      <c r="A261" s="345">
        <v>45596</v>
      </c>
      <c r="B261" s="327" t="s">
        <v>304</v>
      </c>
      <c r="C261" s="327" t="s">
        <v>337</v>
      </c>
      <c r="D261" s="327" t="s">
        <v>338</v>
      </c>
      <c r="E261" s="327" t="s">
        <v>339</v>
      </c>
      <c r="F261" s="332" t="s">
        <v>37</v>
      </c>
      <c r="G261" s="346">
        <v>998531</v>
      </c>
      <c r="H261" s="317">
        <v>0.18</v>
      </c>
      <c r="I261" s="340">
        <v>6825</v>
      </c>
      <c r="J261" s="340">
        <f t="shared" si="18"/>
        <v>614.25</v>
      </c>
      <c r="K261" s="340">
        <f t="shared" si="19"/>
        <v>614.25</v>
      </c>
      <c r="L261" s="324"/>
      <c r="M261" s="347">
        <f>Table432[[#This Row],[Taxable Amount]]+Table432[[#This Row],[SGST]]+Table432[[#This Row],[CGST]]</f>
        <v>8053.5</v>
      </c>
      <c r="N261" s="348">
        <v>0</v>
      </c>
      <c r="O261" s="349">
        <v>0</v>
      </c>
      <c r="P261" s="354"/>
      <c r="Q261" s="355"/>
      <c r="R261" s="350" t="s">
        <v>413</v>
      </c>
      <c r="S261" s="323">
        <f>Table432[[#This Row],[Invoice Amount]]-Table432[[#This Row],[TDS]]-Table432[[#This Row],[RTN]]-Table432[[#This Row],[RECIVED AMOUNT]]</f>
        <v>8053.5</v>
      </c>
      <c r="T261" s="351"/>
      <c r="U261" s="327"/>
      <c r="V261" s="324">
        <f>Table432[[#This Row],[BALANCE]]-Table432[[#This Row],[RECIVED AMOUNT2]]</f>
        <v>8053.5</v>
      </c>
      <c r="W261" s="352"/>
      <c r="X261" s="352"/>
    </row>
    <row r="262" spans="1:121" ht="19.95" customHeight="1">
      <c r="A262" s="68">
        <v>45596</v>
      </c>
      <c r="B262" s="3" t="s">
        <v>438</v>
      </c>
      <c r="C262" s="3" t="s">
        <v>42</v>
      </c>
      <c r="D262" s="3" t="s">
        <v>43</v>
      </c>
      <c r="E262" s="3" t="s">
        <v>101</v>
      </c>
      <c r="F262" s="4" t="s">
        <v>26</v>
      </c>
      <c r="G262" s="22">
        <v>998531</v>
      </c>
      <c r="H262" s="23">
        <v>0.18</v>
      </c>
      <c r="I262" s="9">
        <v>6000</v>
      </c>
      <c r="J262" s="9">
        <f t="shared" si="18"/>
        <v>540</v>
      </c>
      <c r="K262" s="9">
        <f t="shared" si="19"/>
        <v>540</v>
      </c>
      <c r="L262" s="41"/>
      <c r="M262" s="37">
        <f>Table432[[#This Row],[Taxable Amount]]+Table432[[#This Row],[SGST]]+Table432[[#This Row],[CGST]]</f>
        <v>7080</v>
      </c>
      <c r="N262" s="71">
        <f>Table432[[#This Row],[Taxable Amount]]*1%</f>
        <v>60</v>
      </c>
      <c r="O262" s="157">
        <v>0</v>
      </c>
      <c r="P262" s="148">
        <v>7020</v>
      </c>
      <c r="Q262" s="59">
        <v>45618</v>
      </c>
      <c r="R262" s="193" t="s">
        <v>349</v>
      </c>
      <c r="S262" s="138">
        <f>Table432[[#This Row],[Invoice Amount]]-Table432[[#This Row],[TDS]]-Table432[[#This Row],[RTN]]-Table432[[#This Row],[RECIVED AMOUNT]]</f>
        <v>0</v>
      </c>
      <c r="T262" s="55"/>
      <c r="U262" s="3"/>
      <c r="V262" s="41">
        <f>Table432[[#This Row],[BALANCE]]-Table432[[#This Row],[RECIVED AMOUNT2]]</f>
        <v>0</v>
      </c>
      <c r="W262" s="50"/>
      <c r="X262" s="50"/>
    </row>
    <row r="263" spans="1:121" s="10" customFormat="1" ht="19.95" customHeight="1">
      <c r="A263" s="68">
        <v>45596</v>
      </c>
      <c r="B263" s="3" t="s">
        <v>439</v>
      </c>
      <c r="C263" s="3" t="s">
        <v>42</v>
      </c>
      <c r="D263" s="3" t="s">
        <v>43</v>
      </c>
      <c r="E263" s="3" t="s">
        <v>44</v>
      </c>
      <c r="F263" s="4" t="s">
        <v>26</v>
      </c>
      <c r="G263" s="22">
        <v>998531</v>
      </c>
      <c r="H263" s="23">
        <v>0.18</v>
      </c>
      <c r="I263" s="9">
        <v>18400</v>
      </c>
      <c r="J263" s="9">
        <f t="shared" si="18"/>
        <v>1656</v>
      </c>
      <c r="K263" s="9">
        <f t="shared" si="19"/>
        <v>1656</v>
      </c>
      <c r="L263" s="41"/>
      <c r="M263" s="37">
        <f>Table432[[#This Row],[Taxable Amount]]+Table432[[#This Row],[SGST]]+Table432[[#This Row],[CGST]]</f>
        <v>21712</v>
      </c>
      <c r="N263" s="71">
        <f>Table432[[#This Row],[Taxable Amount]]*1%</f>
        <v>184</v>
      </c>
      <c r="O263" s="157">
        <v>460</v>
      </c>
      <c r="P263" s="148">
        <v>102855</v>
      </c>
      <c r="Q263" s="59">
        <v>45555</v>
      </c>
      <c r="R263" s="193" t="s">
        <v>313</v>
      </c>
      <c r="S263" s="138">
        <f>Table432[[#This Row],[Invoice Amount]]-Table432[[#This Row],[TDS]]-Table432[[#This Row],[RTN]]-Table432[[#This Row],[RECIVED AMOUNT]]</f>
        <v>-81787</v>
      </c>
      <c r="T263" s="55"/>
      <c r="U263" s="3"/>
      <c r="V263" s="41">
        <f>Table432[[#This Row],[BALANCE]]-Table432[[#This Row],[RECIVED AMOUNT2]]</f>
        <v>-81787</v>
      </c>
      <c r="W263" s="211"/>
      <c r="X263" s="211"/>
    </row>
    <row r="264" spans="1:121" ht="19.95" customHeight="1">
      <c r="A264" s="68">
        <v>45596</v>
      </c>
      <c r="B264" s="3" t="s">
        <v>440</v>
      </c>
      <c r="C264" s="21" t="s">
        <v>42</v>
      </c>
      <c r="D264" s="3" t="s">
        <v>43</v>
      </c>
      <c r="E264" s="3" t="s">
        <v>163</v>
      </c>
      <c r="F264" s="4" t="s">
        <v>26</v>
      </c>
      <c r="G264" s="22">
        <v>998531</v>
      </c>
      <c r="H264" s="23">
        <v>0.18</v>
      </c>
      <c r="I264" s="9">
        <v>7500</v>
      </c>
      <c r="J264" s="9">
        <f t="shared" si="18"/>
        <v>675</v>
      </c>
      <c r="K264" s="9">
        <f t="shared" si="19"/>
        <v>675</v>
      </c>
      <c r="L264" s="41"/>
      <c r="M264" s="37">
        <f>Table432[[#This Row],[Taxable Amount]]+Table432[[#This Row],[SGST]]+Table432[[#This Row],[CGST]]</f>
        <v>8850</v>
      </c>
      <c r="N264" s="71">
        <f>Table432[[#This Row],[Taxable Amount]]*1%</f>
        <v>75</v>
      </c>
      <c r="O264" s="157">
        <v>188</v>
      </c>
      <c r="P264" s="148"/>
      <c r="Q264" s="59"/>
      <c r="R264" s="193" t="s">
        <v>313</v>
      </c>
      <c r="S264" s="138">
        <f>Table432[[#This Row],[Invoice Amount]]-Table432[[#This Row],[TDS]]-Table432[[#This Row],[RTN]]-Table432[[#This Row],[RECIVED AMOUNT]]</f>
        <v>8587</v>
      </c>
      <c r="T264" s="55"/>
      <c r="U264" s="3"/>
      <c r="V264" s="41">
        <f>Table432[[#This Row],[BALANCE]]-Table432[[#This Row],[RECIVED AMOUNT2]]</f>
        <v>8587</v>
      </c>
      <c r="W264" s="50"/>
      <c r="X264" s="50"/>
    </row>
    <row r="265" spans="1:121" ht="19.95" customHeight="1">
      <c r="A265" s="68">
        <v>45609</v>
      </c>
      <c r="B265" s="3" t="s">
        <v>441</v>
      </c>
      <c r="C265" s="21" t="s">
        <v>87</v>
      </c>
      <c r="D265" s="3" t="s">
        <v>88</v>
      </c>
      <c r="E265" s="3" t="s">
        <v>89</v>
      </c>
      <c r="F265" s="4" t="s">
        <v>26</v>
      </c>
      <c r="G265" s="22">
        <v>998531</v>
      </c>
      <c r="H265" s="23">
        <v>0.18</v>
      </c>
      <c r="I265" s="9">
        <v>23800</v>
      </c>
      <c r="J265" s="9">
        <f t="shared" si="18"/>
        <v>2142</v>
      </c>
      <c r="K265" s="9">
        <f t="shared" si="19"/>
        <v>2142</v>
      </c>
      <c r="L265" s="41"/>
      <c r="M265" s="37">
        <f>Table432[[#This Row],[Taxable Amount]]+Table432[[#This Row],[SGST]]+Table432[[#This Row],[CGST]]</f>
        <v>28084</v>
      </c>
      <c r="N265" s="71"/>
      <c r="O265" s="157">
        <v>0</v>
      </c>
      <c r="P265" s="148">
        <v>28084</v>
      </c>
      <c r="Q265" s="59">
        <v>45635</v>
      </c>
      <c r="R265" s="193" t="s">
        <v>385</v>
      </c>
      <c r="S265" s="138">
        <f>Table432[[#This Row],[Invoice Amount]]-Table432[[#This Row],[TDS]]-Table432[[#This Row],[RTN]]-Table432[[#This Row],[RECIVED AMOUNT]]</f>
        <v>0</v>
      </c>
      <c r="T265" s="55"/>
      <c r="U265" s="3"/>
      <c r="V265" s="41">
        <f>Table432[[#This Row],[BALANCE]]-Table432[[#This Row],[RECIVED AMOUNT2]]</f>
        <v>0</v>
      </c>
      <c r="W265" s="50"/>
      <c r="X265" s="50"/>
    </row>
    <row r="266" spans="1:121" ht="19.95" customHeight="1">
      <c r="A266" s="68">
        <v>45609</v>
      </c>
      <c r="B266" s="3" t="s">
        <v>442</v>
      </c>
      <c r="C266" s="21" t="s">
        <v>954</v>
      </c>
      <c r="D266" s="3" t="s">
        <v>61</v>
      </c>
      <c r="E266" s="3" t="s">
        <v>62</v>
      </c>
      <c r="F266" s="4" t="s">
        <v>37</v>
      </c>
      <c r="G266" s="22">
        <v>998531</v>
      </c>
      <c r="H266" s="23">
        <v>0.18</v>
      </c>
      <c r="I266" s="9">
        <v>31730</v>
      </c>
      <c r="J266" s="9">
        <f t="shared" si="18"/>
        <v>2855.7</v>
      </c>
      <c r="K266" s="9">
        <f t="shared" si="19"/>
        <v>2855.7</v>
      </c>
      <c r="L266" s="41"/>
      <c r="M266" s="37">
        <f>Table432[[#This Row],[Taxable Amount]]+Table432[[#This Row],[SGST]]+Table432[[#This Row],[CGST]]</f>
        <v>37441.399999999994</v>
      </c>
      <c r="N266" s="71">
        <f>Table432[[#This Row],[Taxable Amount]]*1%</f>
        <v>317.3</v>
      </c>
      <c r="O266" s="157">
        <v>793</v>
      </c>
      <c r="P266" s="148">
        <v>32682</v>
      </c>
      <c r="Q266" s="59">
        <v>45791</v>
      </c>
      <c r="R266" s="193" t="s">
        <v>349</v>
      </c>
      <c r="S266" s="138">
        <f>Table432[[#This Row],[Invoice Amount]]-Table432[[#This Row],[TDS]]-Table432[[#This Row],[RTN]]-Table432[[#This Row],[RECIVED AMOUNT]]</f>
        <v>3649.0999999999913</v>
      </c>
      <c r="T266" s="55"/>
      <c r="U266" s="3"/>
      <c r="V266" s="41">
        <f>Table432[[#This Row],[BALANCE]]-Table432[[#This Row],[RECIVED AMOUNT2]]</f>
        <v>3649.0999999999913</v>
      </c>
      <c r="W266" s="50"/>
      <c r="X266" s="50"/>
    </row>
    <row r="267" spans="1:121" ht="19.95" customHeight="1">
      <c r="A267" s="68">
        <v>45609</v>
      </c>
      <c r="B267" s="3" t="s">
        <v>443</v>
      </c>
      <c r="C267" s="3" t="s">
        <v>444</v>
      </c>
      <c r="D267" s="3" t="s">
        <v>445</v>
      </c>
      <c r="E267" s="3" t="s">
        <v>232</v>
      </c>
      <c r="F267" s="4" t="s">
        <v>37</v>
      </c>
      <c r="G267" s="22">
        <v>998531</v>
      </c>
      <c r="H267" s="23">
        <v>0.18</v>
      </c>
      <c r="I267" s="9">
        <v>3000</v>
      </c>
      <c r="J267" s="9">
        <f t="shared" si="18"/>
        <v>270</v>
      </c>
      <c r="K267" s="9">
        <f t="shared" si="19"/>
        <v>270</v>
      </c>
      <c r="L267" s="41"/>
      <c r="M267" s="37">
        <f>Table432[[#This Row],[Taxable Amount]]+Table432[[#This Row],[SGST]]+Table432[[#This Row],[CGST]]</f>
        <v>3540</v>
      </c>
      <c r="N267" s="71">
        <v>0</v>
      </c>
      <c r="O267" s="157"/>
      <c r="P267" s="148">
        <v>3540</v>
      </c>
      <c r="Q267" s="59">
        <v>45757</v>
      </c>
      <c r="R267" s="193" t="s">
        <v>349</v>
      </c>
      <c r="S267" s="138">
        <f>Table432[[#This Row],[Invoice Amount]]-Table432[[#This Row],[TDS]]-Table432[[#This Row],[RTN]]-Table432[[#This Row],[RECIVED AMOUNT]]</f>
        <v>0</v>
      </c>
      <c r="T267" s="55"/>
      <c r="U267" s="3"/>
      <c r="V267" s="41">
        <f>Table432[[#This Row],[BALANCE]]-Table432[[#This Row],[RECIVED AMOUNT2]]</f>
        <v>0</v>
      </c>
      <c r="W267" s="50"/>
      <c r="X267" s="50"/>
    </row>
    <row r="268" spans="1:121" ht="19.95" customHeight="1">
      <c r="A268" s="78">
        <v>45609</v>
      </c>
      <c r="B268" s="31" t="s">
        <v>446</v>
      </c>
      <c r="C268" s="31" t="s">
        <v>23</v>
      </c>
      <c r="D268" s="31" t="s">
        <v>54</v>
      </c>
      <c r="E268" s="31" t="s">
        <v>447</v>
      </c>
      <c r="F268" s="33" t="s">
        <v>26</v>
      </c>
      <c r="G268" s="34">
        <v>998531</v>
      </c>
      <c r="H268" s="23">
        <v>0.18</v>
      </c>
      <c r="I268" s="42">
        <v>5600</v>
      </c>
      <c r="J268" s="42">
        <f t="shared" si="18"/>
        <v>504</v>
      </c>
      <c r="K268" s="42">
        <f t="shared" si="19"/>
        <v>504</v>
      </c>
      <c r="L268" s="43"/>
      <c r="M268" s="44">
        <f>Table432[[#This Row],[Taxable Amount]]+Table432[[#This Row],[SGST]]+Table432[[#This Row],[CGST]]</f>
        <v>6608</v>
      </c>
      <c r="N268" s="142">
        <f>Table432[[#This Row],[Taxable Amount]]*1%</f>
        <v>56</v>
      </c>
      <c r="O268" s="152"/>
      <c r="P268" s="154"/>
      <c r="Q268" s="73"/>
      <c r="R268" s="198" t="s">
        <v>349</v>
      </c>
      <c r="S268" s="138">
        <f>Table432[[#This Row],[Invoice Amount]]-Table432[[#This Row],[TDS]]-Table432[[#This Row],[RTN]]-Table432[[#This Row],[RECIVED AMOUNT]]</f>
        <v>6552</v>
      </c>
      <c r="T268" s="63" t="s">
        <v>243</v>
      </c>
      <c r="U268" s="31"/>
      <c r="V268" s="41" t="e">
        <f>Table432[[#This Row],[BALANCE]]-Table432[[#This Row],[RECIVED AMOUNT2]]</f>
        <v>#VALUE!</v>
      </c>
      <c r="W268" s="50"/>
      <c r="X268" s="50"/>
    </row>
    <row r="269" spans="1:121" s="13" customFormat="1" ht="19.95" customHeight="1">
      <c r="A269" s="68">
        <v>45617</v>
      </c>
      <c r="B269" s="3" t="s">
        <v>448</v>
      </c>
      <c r="C269" s="3" t="s">
        <v>258</v>
      </c>
      <c r="D269" s="3" t="s">
        <v>259</v>
      </c>
      <c r="E269" s="3" t="s">
        <v>260</v>
      </c>
      <c r="F269" s="4" t="s">
        <v>26</v>
      </c>
      <c r="G269" s="22">
        <v>998531</v>
      </c>
      <c r="H269" s="23">
        <v>0.18</v>
      </c>
      <c r="I269" s="9">
        <v>18550</v>
      </c>
      <c r="J269" s="9">
        <f t="shared" si="18"/>
        <v>1669.5</v>
      </c>
      <c r="K269" s="9">
        <f t="shared" si="19"/>
        <v>1669.5</v>
      </c>
      <c r="L269" s="41"/>
      <c r="M269" s="37">
        <f>Table432[[#This Row],[Taxable Amount]]+Table432[[#This Row],[SGST]]+Table432[[#This Row],[CGST]]</f>
        <v>21889</v>
      </c>
      <c r="N269" s="71">
        <f>Table432[[#This Row],[Taxable Amount]]*1%</f>
        <v>185.5</v>
      </c>
      <c r="O269" s="157">
        <v>0</v>
      </c>
      <c r="P269" s="148">
        <v>21704</v>
      </c>
      <c r="Q269" s="59">
        <v>45667</v>
      </c>
      <c r="R269" s="193" t="s">
        <v>349</v>
      </c>
      <c r="S269" s="138">
        <f>Table432[[#This Row],[Invoice Amount]]-Table432[[#This Row],[TDS]]-Table432[[#This Row],[RTN]]-Table432[[#This Row],[RECIVED AMOUNT]]</f>
        <v>-0.5</v>
      </c>
      <c r="T269" s="55"/>
      <c r="U269" s="3"/>
      <c r="V269" s="41">
        <f>Table432[[#This Row],[BALANCE]]-Table432[[#This Row],[RECIVED AMOUNT2]]</f>
        <v>-0.5</v>
      </c>
      <c r="W269" s="208"/>
      <c r="X269" s="208"/>
    </row>
    <row r="270" spans="1:121" ht="19.95" customHeight="1">
      <c r="A270" s="68">
        <v>45621</v>
      </c>
      <c r="B270" s="3" t="s">
        <v>449</v>
      </c>
      <c r="C270" s="3" t="s">
        <v>390</v>
      </c>
      <c r="D270" s="3" t="s">
        <v>391</v>
      </c>
      <c r="E270" s="3" t="s">
        <v>260</v>
      </c>
      <c r="F270" s="4" t="s">
        <v>26</v>
      </c>
      <c r="G270" s="22">
        <v>998531</v>
      </c>
      <c r="H270" s="23">
        <v>0.18</v>
      </c>
      <c r="I270" s="9">
        <v>1536.75</v>
      </c>
      <c r="J270" s="9">
        <f t="shared" si="18"/>
        <v>138.3075</v>
      </c>
      <c r="K270" s="9">
        <f t="shared" si="19"/>
        <v>138.3075</v>
      </c>
      <c r="L270" s="41"/>
      <c r="M270" s="37">
        <f>Table432[[#This Row],[Taxable Amount]]+Table432[[#This Row],[SGST]]+Table432[[#This Row],[CGST]]</f>
        <v>1813.3649999999998</v>
      </c>
      <c r="N270" s="71">
        <f>Table432[[#This Row],[Taxable Amount]]*1%</f>
        <v>15.3675</v>
      </c>
      <c r="O270" s="157">
        <v>0</v>
      </c>
      <c r="P270" s="148"/>
      <c r="Q270" s="59">
        <v>45670</v>
      </c>
      <c r="R270" s="193" t="s">
        <v>349</v>
      </c>
      <c r="S270" s="138">
        <f>Table432[[#This Row],[Invoice Amount]]-Table432[[#This Row],[TDS]]-Table432[[#This Row],[RTN]]-Table432[[#This Row],[RECIVED AMOUNT]]</f>
        <v>1797.9974999999997</v>
      </c>
      <c r="T270" s="55"/>
      <c r="U270" s="3"/>
      <c r="V270" s="41">
        <f>Table432[[#This Row],[BALANCE]]-Table432[[#This Row],[RECIVED AMOUNT2]]</f>
        <v>1797.9974999999997</v>
      </c>
      <c r="W270" s="50"/>
      <c r="X270" s="50"/>
    </row>
    <row r="271" spans="1:121" ht="19.95" customHeight="1">
      <c r="A271" s="68">
        <v>45621</v>
      </c>
      <c r="B271" s="3" t="s">
        <v>450</v>
      </c>
      <c r="C271" s="3" t="s">
        <v>390</v>
      </c>
      <c r="D271" s="3" t="s">
        <v>391</v>
      </c>
      <c r="E271" s="3" t="s">
        <v>260</v>
      </c>
      <c r="F271" s="4" t="s">
        <v>26</v>
      </c>
      <c r="G271" s="22">
        <v>998531</v>
      </c>
      <c r="H271" s="23">
        <v>0.18</v>
      </c>
      <c r="I271" s="9">
        <v>1442.75</v>
      </c>
      <c r="J271" s="9">
        <f t="shared" si="18"/>
        <v>129.8475</v>
      </c>
      <c r="K271" s="9">
        <f t="shared" si="19"/>
        <v>129.8475</v>
      </c>
      <c r="L271" s="41"/>
      <c r="M271" s="37">
        <f>Table432[[#This Row],[Taxable Amount]]+Table432[[#This Row],[SGST]]+Table432[[#This Row],[CGST]]</f>
        <v>1702.4450000000002</v>
      </c>
      <c r="N271" s="71">
        <f>Table432[[#This Row],[Taxable Amount]]*1%</f>
        <v>14.4275</v>
      </c>
      <c r="O271" s="157">
        <v>0</v>
      </c>
      <c r="P271" s="148"/>
      <c r="Q271" s="59">
        <v>45670</v>
      </c>
      <c r="R271" s="193" t="s">
        <v>349</v>
      </c>
      <c r="S271" s="138">
        <f>Table432[[#This Row],[Invoice Amount]]-Table432[[#This Row],[TDS]]-Table432[[#This Row],[RTN]]-Table432[[#This Row],[RECIVED AMOUNT]]</f>
        <v>1688.0175000000002</v>
      </c>
      <c r="T271" s="55"/>
      <c r="U271" s="3"/>
      <c r="V271" s="41">
        <f>Table432[[#This Row],[BALANCE]]-Table432[[#This Row],[RECIVED AMOUNT2]]</f>
        <v>1688.0175000000002</v>
      </c>
      <c r="W271" s="50"/>
      <c r="X271" s="50"/>
    </row>
    <row r="272" spans="1:121" ht="19.95" customHeight="1">
      <c r="A272" s="68">
        <v>45621</v>
      </c>
      <c r="B272" s="3" t="s">
        <v>451</v>
      </c>
      <c r="C272" s="3" t="s">
        <v>390</v>
      </c>
      <c r="D272" s="3" t="s">
        <v>391</v>
      </c>
      <c r="E272" s="3" t="s">
        <v>260</v>
      </c>
      <c r="F272" s="4" t="s">
        <v>26</v>
      </c>
      <c r="G272" s="22">
        <v>998531</v>
      </c>
      <c r="H272" s="23">
        <v>0.18</v>
      </c>
      <c r="I272" s="9">
        <v>1731</v>
      </c>
      <c r="J272" s="9">
        <f t="shared" si="18"/>
        <v>155.79</v>
      </c>
      <c r="K272" s="9">
        <f t="shared" si="19"/>
        <v>155.79</v>
      </c>
      <c r="L272" s="41"/>
      <c r="M272" s="37">
        <f>Table432[[#This Row],[Taxable Amount]]+Table432[[#This Row],[SGST]]+Table432[[#This Row],[CGST]]</f>
        <v>2042.58</v>
      </c>
      <c r="N272" s="71">
        <f>Table432[[#This Row],[Taxable Amount]]*1%</f>
        <v>17.309999999999999</v>
      </c>
      <c r="O272" s="157">
        <v>0</v>
      </c>
      <c r="P272" s="148"/>
      <c r="Q272" s="59">
        <v>45670</v>
      </c>
      <c r="R272" s="193" t="s">
        <v>349</v>
      </c>
      <c r="S272" s="138">
        <f>Table432[[#This Row],[Invoice Amount]]-Table432[[#This Row],[TDS]]-Table432[[#This Row],[RTN]]-Table432[[#This Row],[RECIVED AMOUNT]]</f>
        <v>2025.27</v>
      </c>
      <c r="T272" s="55"/>
      <c r="U272" s="3"/>
      <c r="V272" s="41">
        <f>Table432[[#This Row],[BALANCE]]-Table432[[#This Row],[RECIVED AMOUNT2]]</f>
        <v>2025.27</v>
      </c>
      <c r="W272" s="50"/>
      <c r="X272" s="50"/>
    </row>
    <row r="273" spans="1:121" ht="19.95" customHeight="1">
      <c r="A273" s="68">
        <v>45621</v>
      </c>
      <c r="B273" s="3" t="s">
        <v>452</v>
      </c>
      <c r="C273" s="3" t="s">
        <v>390</v>
      </c>
      <c r="D273" s="3" t="s">
        <v>391</v>
      </c>
      <c r="E273" s="3" t="s">
        <v>260</v>
      </c>
      <c r="F273" s="4" t="s">
        <v>26</v>
      </c>
      <c r="G273" s="22">
        <v>998531</v>
      </c>
      <c r="H273" s="23">
        <v>0.18</v>
      </c>
      <c r="I273" s="9">
        <v>1269</v>
      </c>
      <c r="J273" s="9">
        <f t="shared" si="18"/>
        <v>114.21</v>
      </c>
      <c r="K273" s="9">
        <f t="shared" si="19"/>
        <v>114.21</v>
      </c>
      <c r="L273" s="41"/>
      <c r="M273" s="37">
        <f>Table432[[#This Row],[Taxable Amount]]+Table432[[#This Row],[SGST]]+Table432[[#This Row],[CGST]]</f>
        <v>1497.42</v>
      </c>
      <c r="N273" s="71">
        <f>Table432[[#This Row],[Taxable Amount]]*1%</f>
        <v>12.69</v>
      </c>
      <c r="O273" s="157">
        <v>0</v>
      </c>
      <c r="P273" s="148"/>
      <c r="Q273" s="59">
        <v>45670</v>
      </c>
      <c r="R273" s="193" t="s">
        <v>349</v>
      </c>
      <c r="S273" s="138">
        <f>Table432[[#This Row],[Invoice Amount]]-Table432[[#This Row],[TDS]]-Table432[[#This Row],[RTN]]-Table432[[#This Row],[RECIVED AMOUNT]]</f>
        <v>1484.73</v>
      </c>
      <c r="T273" s="55"/>
      <c r="U273" s="3"/>
      <c r="V273" s="41">
        <f>Table432[[#This Row],[BALANCE]]-Table432[[#This Row],[RECIVED AMOUNT2]]</f>
        <v>1484.73</v>
      </c>
      <c r="W273" s="50"/>
      <c r="X273" s="50"/>
    </row>
    <row r="274" spans="1:121" ht="19.95" customHeight="1">
      <c r="A274" s="68">
        <v>45621</v>
      </c>
      <c r="B274" s="3" t="s">
        <v>453</v>
      </c>
      <c r="C274" s="3" t="s">
        <v>390</v>
      </c>
      <c r="D274" s="3" t="s">
        <v>391</v>
      </c>
      <c r="E274" s="3" t="s">
        <v>260</v>
      </c>
      <c r="F274" s="4" t="s">
        <v>26</v>
      </c>
      <c r="G274" s="22">
        <v>998531</v>
      </c>
      <c r="H274" s="23">
        <v>0.18</v>
      </c>
      <c r="I274" s="9">
        <v>1720.5</v>
      </c>
      <c r="J274" s="9">
        <f t="shared" si="18"/>
        <v>154.845</v>
      </c>
      <c r="K274" s="9">
        <f t="shared" si="19"/>
        <v>154.845</v>
      </c>
      <c r="L274" s="41"/>
      <c r="M274" s="37">
        <f>Table432[[#This Row],[Taxable Amount]]+Table432[[#This Row],[SGST]]+Table432[[#This Row],[CGST]]</f>
        <v>2030.19</v>
      </c>
      <c r="N274" s="71">
        <f>Table432[[#This Row],[Taxable Amount]]*1%</f>
        <v>17.205000000000002</v>
      </c>
      <c r="O274" s="157">
        <v>0</v>
      </c>
      <c r="P274" s="148">
        <v>8777</v>
      </c>
      <c r="Q274" s="59">
        <v>45670</v>
      </c>
      <c r="R274" s="193" t="s">
        <v>349</v>
      </c>
      <c r="S274" s="138">
        <f>Table432[[#This Row],[Invoice Amount]]-Table432[[#This Row],[TDS]]-Table432[[#This Row],[RTN]]-Table432[[#This Row],[RECIVED AMOUNT]]</f>
        <v>-6764.0149999999994</v>
      </c>
      <c r="T274" s="55"/>
      <c r="U274" s="3"/>
      <c r="V274" s="41">
        <f>Table432[[#This Row],[BALANCE]]-Table432[[#This Row],[RECIVED AMOUNT2]]</f>
        <v>-6764.0149999999994</v>
      </c>
      <c r="W274" s="50"/>
      <c r="X274" s="50"/>
    </row>
    <row r="275" spans="1:121" ht="19.95" customHeight="1">
      <c r="A275" s="68">
        <v>45621</v>
      </c>
      <c r="B275" s="3" t="s">
        <v>454</v>
      </c>
      <c r="C275" s="3" t="s">
        <v>390</v>
      </c>
      <c r="D275" s="3" t="s">
        <v>391</v>
      </c>
      <c r="E275" s="3" t="s">
        <v>260</v>
      </c>
      <c r="F275" s="4" t="s">
        <v>26</v>
      </c>
      <c r="G275" s="22">
        <v>998531</v>
      </c>
      <c r="H275" s="23">
        <v>0.18</v>
      </c>
      <c r="I275" s="9">
        <v>4700</v>
      </c>
      <c r="J275" s="9">
        <f t="shared" si="18"/>
        <v>423</v>
      </c>
      <c r="K275" s="9">
        <f t="shared" si="19"/>
        <v>423</v>
      </c>
      <c r="L275" s="41"/>
      <c r="M275" s="37">
        <f>Table432[[#This Row],[Taxable Amount]]+Table432[[#This Row],[SGST]]+Table432[[#This Row],[CGST]]</f>
        <v>5546</v>
      </c>
      <c r="N275" s="71">
        <f>Table432[[#This Row],[Taxable Amount]]*1%</f>
        <v>47</v>
      </c>
      <c r="O275" s="157">
        <v>0</v>
      </c>
      <c r="P275" s="148">
        <v>5499</v>
      </c>
      <c r="Q275" s="59">
        <v>45776</v>
      </c>
      <c r="R275" s="193" t="s">
        <v>349</v>
      </c>
      <c r="S275" s="138">
        <f>Table432[[#This Row],[Invoice Amount]]-Table432[[#This Row],[TDS]]-Table432[[#This Row],[RTN]]-Table432[[#This Row],[RECIVED AMOUNT]]</f>
        <v>0</v>
      </c>
      <c r="T275" s="55"/>
      <c r="U275" s="3"/>
      <c r="V275" s="41">
        <f>Table432[[#This Row],[BALANCE]]-Table432[[#This Row],[RECIVED AMOUNT2]]</f>
        <v>0</v>
      </c>
      <c r="W275" s="50"/>
      <c r="X275" s="50"/>
    </row>
    <row r="276" spans="1:121" ht="19.95" customHeight="1">
      <c r="A276" s="68">
        <v>45621</v>
      </c>
      <c r="B276" s="3" t="s">
        <v>455</v>
      </c>
      <c r="C276" s="3" t="s">
        <v>390</v>
      </c>
      <c r="D276" s="3" t="s">
        <v>391</v>
      </c>
      <c r="E276" s="3" t="s">
        <v>260</v>
      </c>
      <c r="F276" s="4" t="s">
        <v>26</v>
      </c>
      <c r="G276" s="22">
        <v>998531</v>
      </c>
      <c r="H276" s="23">
        <v>0.18</v>
      </c>
      <c r="I276" s="9">
        <v>4700</v>
      </c>
      <c r="J276" s="9">
        <f t="shared" si="18"/>
        <v>423</v>
      </c>
      <c r="K276" s="9">
        <f t="shared" si="19"/>
        <v>423</v>
      </c>
      <c r="L276" s="41"/>
      <c r="M276" s="37">
        <f>Table432[[#This Row],[Taxable Amount]]+Table432[[#This Row],[SGST]]+Table432[[#This Row],[CGST]]</f>
        <v>5546</v>
      </c>
      <c r="N276" s="71">
        <f>Table432[[#This Row],[Taxable Amount]]*1%</f>
        <v>47</v>
      </c>
      <c r="O276" s="157">
        <v>0</v>
      </c>
      <c r="P276" s="148">
        <v>5499</v>
      </c>
      <c r="Q276" s="59">
        <v>45875</v>
      </c>
      <c r="R276" s="193" t="s">
        <v>349</v>
      </c>
      <c r="S276" s="138">
        <f>Table432[[#This Row],[Invoice Amount]]-Table432[[#This Row],[TDS]]-Table432[[#This Row],[RTN]]-Table432[[#This Row],[RECIVED AMOUNT]]</f>
        <v>0</v>
      </c>
      <c r="T276" s="55"/>
      <c r="U276" s="3"/>
      <c r="V276" s="41">
        <f>Table432[[#This Row],[BALANCE]]-Table432[[#This Row],[RECIVED AMOUNT2]]</f>
        <v>0</v>
      </c>
      <c r="W276" s="50"/>
      <c r="X276" s="50"/>
    </row>
    <row r="277" spans="1:121" ht="19.95" customHeight="1">
      <c r="A277" s="68">
        <v>45626</v>
      </c>
      <c r="B277" s="3" t="s">
        <v>456</v>
      </c>
      <c r="C277" s="21" t="s">
        <v>116</v>
      </c>
      <c r="D277" s="3" t="s">
        <v>117</v>
      </c>
      <c r="E277" s="3" t="s">
        <v>59</v>
      </c>
      <c r="F277" s="4" t="s">
        <v>26</v>
      </c>
      <c r="G277" s="22">
        <v>998531</v>
      </c>
      <c r="H277" s="23">
        <v>0.18</v>
      </c>
      <c r="I277" s="9">
        <v>13800</v>
      </c>
      <c r="J277" s="9">
        <f t="shared" si="18"/>
        <v>1242</v>
      </c>
      <c r="K277" s="9">
        <f t="shared" si="19"/>
        <v>1242</v>
      </c>
      <c r="L277" s="41"/>
      <c r="M277" s="37">
        <f>Table432[[#This Row],[Taxable Amount]]+Table432[[#This Row],[SGST]]+Table432[[#This Row],[CGST]]</f>
        <v>16284</v>
      </c>
      <c r="N277" s="71">
        <f>Table432[[#This Row],[Taxable Amount]]*1%</f>
        <v>138</v>
      </c>
      <c r="O277" s="157">
        <v>0</v>
      </c>
      <c r="P277" s="148">
        <v>16146</v>
      </c>
      <c r="Q277" s="59">
        <v>45645</v>
      </c>
      <c r="R277" s="193" t="s">
        <v>349</v>
      </c>
      <c r="S277" s="138">
        <f>Table432[[#This Row],[Invoice Amount]]-Table432[[#This Row],[TDS]]-Table432[[#This Row],[RTN]]-Table432[[#This Row],[RECIVED AMOUNT]]</f>
        <v>0</v>
      </c>
      <c r="T277" s="55"/>
      <c r="U277" s="3"/>
      <c r="V277" s="41">
        <f>Table432[[#This Row],[BALANCE]]-Table432[[#This Row],[RECIVED AMOUNT2]]</f>
        <v>0</v>
      </c>
      <c r="W277" s="50"/>
      <c r="X277" s="50"/>
    </row>
    <row r="278" spans="1:121" ht="19.95" customHeight="1">
      <c r="A278" s="68">
        <v>45626</v>
      </c>
      <c r="B278" s="3" t="s">
        <v>457</v>
      </c>
      <c r="C278" s="3" t="s">
        <v>290</v>
      </c>
      <c r="D278" s="3" t="s">
        <v>291</v>
      </c>
      <c r="E278" s="3" t="s">
        <v>25</v>
      </c>
      <c r="F278" s="4" t="s">
        <v>26</v>
      </c>
      <c r="G278" s="22">
        <v>998531</v>
      </c>
      <c r="H278" s="23">
        <v>0.18</v>
      </c>
      <c r="I278" s="9">
        <v>3000</v>
      </c>
      <c r="J278" s="9">
        <f t="shared" si="18"/>
        <v>270</v>
      </c>
      <c r="K278" s="9">
        <f t="shared" si="19"/>
        <v>270</v>
      </c>
      <c r="L278" s="41"/>
      <c r="M278" s="37">
        <f>Table432[[#This Row],[Taxable Amount]]+Table432[[#This Row],[SGST]]+Table432[[#This Row],[CGST]]</f>
        <v>3540</v>
      </c>
      <c r="N278" s="71">
        <v>0</v>
      </c>
      <c r="O278" s="157">
        <v>0</v>
      </c>
      <c r="P278" s="148">
        <v>3540</v>
      </c>
      <c r="Q278" s="59">
        <v>45642</v>
      </c>
      <c r="R278" s="193" t="s">
        <v>349</v>
      </c>
      <c r="S278" s="138">
        <f>Table432[[#This Row],[Invoice Amount]]-Table432[[#This Row],[TDS]]-Table432[[#This Row],[RTN]]-Table432[[#This Row],[RECIVED AMOUNT]]</f>
        <v>0</v>
      </c>
      <c r="T278" s="55"/>
      <c r="U278" s="3"/>
      <c r="V278" s="41">
        <f>Table432[[#This Row],[BALANCE]]-Table432[[#This Row],[RECIVED AMOUNT2]]</f>
        <v>0</v>
      </c>
      <c r="W278" s="50"/>
      <c r="X278" s="50"/>
    </row>
    <row r="279" spans="1:121" s="381" customFormat="1" ht="19.95" customHeight="1">
      <c r="A279" s="365">
        <v>45626</v>
      </c>
      <c r="B279" s="366" t="s">
        <v>458</v>
      </c>
      <c r="C279" s="366" t="s">
        <v>157</v>
      </c>
      <c r="D279" s="366" t="s">
        <v>158</v>
      </c>
      <c r="E279" s="366" t="s">
        <v>59</v>
      </c>
      <c r="F279" s="367" t="s">
        <v>26</v>
      </c>
      <c r="G279" s="368">
        <v>998531</v>
      </c>
      <c r="H279" s="369">
        <v>0.18</v>
      </c>
      <c r="I279" s="370">
        <v>8400</v>
      </c>
      <c r="J279" s="370">
        <f t="shared" si="18"/>
        <v>756</v>
      </c>
      <c r="K279" s="370">
        <f t="shared" si="19"/>
        <v>756</v>
      </c>
      <c r="L279" s="371"/>
      <c r="M279" s="372">
        <f>Table432[[#This Row],[Taxable Amount]]+Table432[[#This Row],[SGST]]+Table432[[#This Row],[CGST]]</f>
        <v>9912</v>
      </c>
      <c r="N279" s="373">
        <f>Table432[[#This Row],[Taxable Amount]]*1%</f>
        <v>84</v>
      </c>
      <c r="O279" s="374">
        <v>0</v>
      </c>
      <c r="P279" s="375"/>
      <c r="Q279" s="376"/>
      <c r="R279" s="382" t="s">
        <v>385</v>
      </c>
      <c r="S279" s="378">
        <f>Table432[[#This Row],[Invoice Amount]]-Table432[[#This Row],[TDS]]-Table432[[#This Row],[RTN]]-Table432[[#This Row],[RECIVED AMOUNT]]</f>
        <v>9828</v>
      </c>
      <c r="T279" s="379" t="s">
        <v>1333</v>
      </c>
      <c r="U279" s="463">
        <v>46113</v>
      </c>
      <c r="V279" s="371" t="e">
        <f>Table432[[#This Row],[BALANCE]]-Table432[[#This Row],[RECIVED AMOUNT2]]</f>
        <v>#VALUE!</v>
      </c>
      <c r="W279" s="380"/>
      <c r="X279" s="380"/>
    </row>
    <row r="280" spans="1:121" s="326" customFormat="1" ht="19.95" customHeight="1">
      <c r="A280" s="339">
        <v>45626</v>
      </c>
      <c r="B280" s="327" t="s">
        <v>459</v>
      </c>
      <c r="C280" s="327" t="s">
        <v>337</v>
      </c>
      <c r="D280" s="327" t="s">
        <v>338</v>
      </c>
      <c r="E280" s="327" t="s">
        <v>339</v>
      </c>
      <c r="F280" s="332" t="s">
        <v>26</v>
      </c>
      <c r="G280" s="346">
        <v>998531</v>
      </c>
      <c r="H280" s="317">
        <v>0.18</v>
      </c>
      <c r="I280" s="340">
        <v>6200</v>
      </c>
      <c r="J280" s="340">
        <f t="shared" si="18"/>
        <v>558</v>
      </c>
      <c r="K280" s="340">
        <f t="shared" si="19"/>
        <v>558</v>
      </c>
      <c r="L280" s="340"/>
      <c r="M280" s="347">
        <f>Table432[[#This Row],[Taxable Amount]]+Table432[[#This Row],[SGST]]+Table432[[#This Row],[CGST]]</f>
        <v>7316</v>
      </c>
      <c r="N280" s="348">
        <v>0</v>
      </c>
      <c r="O280" s="342">
        <v>0</v>
      </c>
      <c r="P280" s="354"/>
      <c r="Q280" s="355"/>
      <c r="R280" s="350" t="s">
        <v>413</v>
      </c>
      <c r="S280" s="323">
        <f>Table432[[#This Row],[Invoice Amount]]-Table432[[#This Row],[TDS]]-Table432[[#This Row],[RTN]]-Table432[[#This Row],[RECIVED AMOUNT]]</f>
        <v>7316</v>
      </c>
      <c r="T280" s="351"/>
      <c r="U280" s="327"/>
      <c r="V280" s="324">
        <f>Table432[[#This Row],[BALANCE]]-Table432[[#This Row],[RECIVED AMOUNT2]]</f>
        <v>7316</v>
      </c>
      <c r="W280" s="352"/>
      <c r="X280" s="352"/>
      <c r="Y280" s="325"/>
      <c r="Z280" s="325"/>
      <c r="AA280" s="325"/>
      <c r="AB280" s="325"/>
      <c r="AC280" s="325"/>
      <c r="AD280" s="325"/>
      <c r="AE280" s="325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/>
      <c r="AS280" s="325"/>
      <c r="AT280" s="325"/>
      <c r="AU280" s="325"/>
      <c r="AV280" s="325"/>
      <c r="AW280" s="325"/>
      <c r="AX280" s="325"/>
      <c r="AY280" s="325"/>
      <c r="AZ280" s="325"/>
      <c r="BA280" s="325"/>
      <c r="BB280" s="325"/>
      <c r="BC280" s="325"/>
      <c r="BD280" s="325"/>
      <c r="BE280" s="325"/>
      <c r="BF280" s="325"/>
      <c r="BG280" s="325"/>
      <c r="BH280" s="325"/>
      <c r="BI280" s="325"/>
      <c r="BJ280" s="325"/>
      <c r="BK280" s="325"/>
      <c r="BL280" s="325"/>
      <c r="BM280" s="325"/>
      <c r="BN280" s="325"/>
      <c r="BO280" s="325"/>
      <c r="BP280" s="325"/>
      <c r="BQ280" s="325"/>
      <c r="BR280" s="325"/>
      <c r="BS280" s="325"/>
      <c r="BT280" s="325"/>
      <c r="BU280" s="325"/>
      <c r="BV280" s="325"/>
      <c r="BW280" s="325"/>
      <c r="BX280" s="325"/>
      <c r="BY280" s="325"/>
      <c r="BZ280" s="325"/>
      <c r="CA280" s="325"/>
      <c r="CB280" s="325"/>
      <c r="CC280" s="325"/>
      <c r="CD280" s="325"/>
      <c r="CE280" s="325"/>
      <c r="CF280" s="325"/>
      <c r="CG280" s="325"/>
      <c r="CH280" s="325"/>
      <c r="CI280" s="325"/>
      <c r="CJ280" s="325"/>
      <c r="CK280" s="325"/>
      <c r="CL280" s="325"/>
      <c r="CM280" s="325"/>
      <c r="CN280" s="325"/>
      <c r="CO280" s="325"/>
      <c r="CP280" s="325"/>
      <c r="CQ280" s="325"/>
      <c r="CR280" s="325"/>
      <c r="CS280" s="325"/>
      <c r="CT280" s="325"/>
      <c r="CU280" s="325"/>
      <c r="CV280" s="325"/>
      <c r="CW280" s="325"/>
      <c r="CX280" s="325"/>
      <c r="CY280" s="325"/>
      <c r="CZ280" s="325"/>
      <c r="DA280" s="325"/>
      <c r="DB280" s="325"/>
      <c r="DC280" s="325"/>
      <c r="DD280" s="325"/>
      <c r="DE280" s="325"/>
      <c r="DF280" s="325"/>
      <c r="DG280" s="325"/>
      <c r="DH280" s="325"/>
      <c r="DI280" s="325"/>
      <c r="DJ280" s="325"/>
      <c r="DK280" s="325"/>
      <c r="DL280" s="325"/>
      <c r="DM280" s="325"/>
      <c r="DN280" s="325"/>
      <c r="DO280" s="325"/>
      <c r="DP280" s="325"/>
      <c r="DQ280" s="325"/>
    </row>
    <row r="281" spans="1:121" s="10" customFormat="1" ht="19.95" customHeight="1">
      <c r="A281" s="79">
        <v>45626</v>
      </c>
      <c r="B281" s="21" t="s">
        <v>460</v>
      </c>
      <c r="C281" s="3" t="s">
        <v>955</v>
      </c>
      <c r="D281" s="21" t="s">
        <v>205</v>
      </c>
      <c r="E281" s="21" t="s">
        <v>59</v>
      </c>
      <c r="F281" s="22" t="s">
        <v>26</v>
      </c>
      <c r="G281" s="22">
        <v>998531</v>
      </c>
      <c r="H281" s="23">
        <v>0.18</v>
      </c>
      <c r="I281" s="36">
        <v>10000</v>
      </c>
      <c r="J281" s="36">
        <f t="shared" si="18"/>
        <v>900</v>
      </c>
      <c r="K281" s="36">
        <f t="shared" si="19"/>
        <v>900</v>
      </c>
      <c r="L281" s="37"/>
      <c r="M281" s="37">
        <f>Table432[[#This Row],[Taxable Amount]]+Table432[[#This Row],[SGST]]+Table432[[#This Row],[CGST]]</f>
        <v>11800</v>
      </c>
      <c r="N281" s="71">
        <v>0</v>
      </c>
      <c r="O281" s="173">
        <v>0</v>
      </c>
      <c r="P281" s="148"/>
      <c r="Q281" s="59"/>
      <c r="R281" s="193" t="s">
        <v>349</v>
      </c>
      <c r="S281" s="138">
        <f>Table432[[#This Row],[Invoice Amount]]-Table432[[#This Row],[TDS]]-Table432[[#This Row],[RTN]]-Table432[[#This Row],[RECIVED AMOUNT]]</f>
        <v>11800</v>
      </c>
      <c r="T281" s="49"/>
      <c r="U281" s="3"/>
      <c r="V281" s="41">
        <f>Table432[[#This Row],[BALANCE]]-Table432[[#This Row],[RECIVED AMOUNT2]]</f>
        <v>11800</v>
      </c>
      <c r="W281" s="211"/>
      <c r="X281" s="211"/>
    </row>
    <row r="282" spans="1:121" ht="19.95" customHeight="1">
      <c r="A282" s="68">
        <v>45626</v>
      </c>
      <c r="B282" s="3" t="s">
        <v>461</v>
      </c>
      <c r="C282" s="3" t="s">
        <v>955</v>
      </c>
      <c r="D282" s="3" t="s">
        <v>205</v>
      </c>
      <c r="E282" s="3" t="s">
        <v>67</v>
      </c>
      <c r="F282" s="4" t="s">
        <v>26</v>
      </c>
      <c r="G282" s="22">
        <v>998531</v>
      </c>
      <c r="H282" s="23">
        <v>0.18</v>
      </c>
      <c r="I282" s="9">
        <v>10000</v>
      </c>
      <c r="J282" s="9">
        <f t="shared" si="18"/>
        <v>900</v>
      </c>
      <c r="K282" s="9">
        <f t="shared" si="19"/>
        <v>900</v>
      </c>
      <c r="L282" s="41"/>
      <c r="M282" s="37">
        <f>Table432[[#This Row],[Taxable Amount]]+Table432[[#This Row],[SGST]]+Table432[[#This Row],[CGST]]</f>
        <v>11800</v>
      </c>
      <c r="N282" s="71">
        <f>Table432[[#This Row],[Taxable Amount]]*1%</f>
        <v>100</v>
      </c>
      <c r="O282" s="157">
        <v>0</v>
      </c>
      <c r="P282" s="148"/>
      <c r="Q282" s="59"/>
      <c r="R282" s="193" t="s">
        <v>385</v>
      </c>
      <c r="S282" s="138">
        <f>Table432[[#This Row],[Invoice Amount]]-Table432[[#This Row],[TDS]]-Table432[[#This Row],[RTN]]-Table432[[#This Row],[RECIVED AMOUNT]]</f>
        <v>11700</v>
      </c>
      <c r="T282" s="55"/>
      <c r="U282" s="3"/>
      <c r="V282" s="41">
        <f>Table432[[#This Row],[BALANCE]]-Table432[[#This Row],[RECIVED AMOUNT2]]</f>
        <v>11700</v>
      </c>
      <c r="W282" s="50"/>
      <c r="X282" s="50"/>
    </row>
    <row r="283" spans="1:121" ht="19.95" customHeight="1">
      <c r="A283" s="68">
        <v>45626</v>
      </c>
      <c r="B283" s="3" t="s">
        <v>462</v>
      </c>
      <c r="C283" s="3" t="s">
        <v>372</v>
      </c>
      <c r="D283" s="3" t="s">
        <v>373</v>
      </c>
      <c r="E283" s="3" t="s">
        <v>374</v>
      </c>
      <c r="F283" s="4" t="s">
        <v>26</v>
      </c>
      <c r="G283" s="22">
        <v>998531</v>
      </c>
      <c r="H283" s="23">
        <v>0.18</v>
      </c>
      <c r="I283" s="9">
        <v>1500</v>
      </c>
      <c r="J283" s="9">
        <f t="shared" si="18"/>
        <v>135</v>
      </c>
      <c r="K283" s="9">
        <f t="shared" si="19"/>
        <v>135</v>
      </c>
      <c r="L283" s="41"/>
      <c r="M283" s="37">
        <f>Table432[[#This Row],[Taxable Amount]]+Table432[[#This Row],[SGST]]+Table432[[#This Row],[CGST]]</f>
        <v>1770</v>
      </c>
      <c r="N283" s="71">
        <v>0</v>
      </c>
      <c r="O283" s="157">
        <v>0</v>
      </c>
      <c r="P283" s="148">
        <v>5310</v>
      </c>
      <c r="Q283" s="59">
        <v>45656</v>
      </c>
      <c r="R283" s="193" t="s">
        <v>385</v>
      </c>
      <c r="S283" s="138">
        <f>Table432[[#This Row],[Invoice Amount]]-Table432[[#This Row],[TDS]]-Table432[[#This Row],[RTN]]-Table432[[#This Row],[RECIVED AMOUNT]]</f>
        <v>-3540</v>
      </c>
      <c r="T283" s="55"/>
      <c r="U283" s="3"/>
      <c r="V283" s="41">
        <f>Table432[[#This Row],[BALANCE]]-Table432[[#This Row],[RECIVED AMOUNT2]]</f>
        <v>-3540</v>
      </c>
      <c r="W283" s="50"/>
      <c r="X283" s="50"/>
    </row>
    <row r="284" spans="1:121" ht="19.95" customHeight="1">
      <c r="A284" s="68">
        <v>45626</v>
      </c>
      <c r="B284" s="3" t="s">
        <v>463</v>
      </c>
      <c r="C284" s="3" t="s">
        <v>42</v>
      </c>
      <c r="D284" s="3" t="s">
        <v>43</v>
      </c>
      <c r="E284" s="3" t="s">
        <v>44</v>
      </c>
      <c r="F284" s="4" t="s">
        <v>26</v>
      </c>
      <c r="G284" s="22">
        <v>998531</v>
      </c>
      <c r="H284" s="23">
        <v>0.18</v>
      </c>
      <c r="I284" s="9">
        <v>6540</v>
      </c>
      <c r="J284" s="9">
        <f t="shared" si="18"/>
        <v>588.6</v>
      </c>
      <c r="K284" s="9">
        <f t="shared" si="19"/>
        <v>588.6</v>
      </c>
      <c r="L284" s="41"/>
      <c r="M284" s="37">
        <f>Table432[[#This Row],[Taxable Amount]]+Table432[[#This Row],[SGST]]+Table432[[#This Row],[CGST]]</f>
        <v>7717.2000000000007</v>
      </c>
      <c r="N284" s="71">
        <f>Table432[[#This Row],[Taxable Amount]]*1%</f>
        <v>65.400000000000006</v>
      </c>
      <c r="O284" s="157">
        <v>0</v>
      </c>
      <c r="P284" s="148">
        <v>21068</v>
      </c>
      <c r="Q284" s="59">
        <v>45584</v>
      </c>
      <c r="R284" s="117" t="s">
        <v>431</v>
      </c>
      <c r="S284" s="138">
        <f>Table432[[#This Row],[Invoice Amount]]-Table432[[#This Row],[TDS]]-Table432[[#This Row],[RTN]]-Table432[[#This Row],[RECIVED AMOUNT]]</f>
        <v>-13416.199999999999</v>
      </c>
      <c r="T284" s="55"/>
      <c r="U284" s="3"/>
      <c r="V284" s="41">
        <f>Table432[[#This Row],[BALANCE]]-Table432[[#This Row],[RECIVED AMOUNT2]]</f>
        <v>-13416.199999999999</v>
      </c>
      <c r="W284" s="50"/>
      <c r="X284" s="50"/>
    </row>
    <row r="285" spans="1:121" ht="19.95" customHeight="1">
      <c r="A285" s="68">
        <v>45626</v>
      </c>
      <c r="B285" s="3" t="s">
        <v>464</v>
      </c>
      <c r="C285" s="21" t="s">
        <v>42</v>
      </c>
      <c r="D285" s="3" t="s">
        <v>43</v>
      </c>
      <c r="E285" s="3" t="s">
        <v>101</v>
      </c>
      <c r="F285" s="4" t="s">
        <v>26</v>
      </c>
      <c r="G285" s="22">
        <v>998531</v>
      </c>
      <c r="H285" s="23">
        <v>0.18</v>
      </c>
      <c r="I285" s="9">
        <v>6000</v>
      </c>
      <c r="J285" s="9">
        <f t="shared" ref="J285:J292" si="20">I285*9/100</f>
        <v>540</v>
      </c>
      <c r="K285" s="9">
        <f t="shared" ref="K285:K292" si="21">I285*9/100</f>
        <v>540</v>
      </c>
      <c r="L285" s="41"/>
      <c r="M285" s="37">
        <f>Table432[[#This Row],[Taxable Amount]]+Table432[[#This Row],[SGST]]+Table432[[#This Row],[CGST]]</f>
        <v>7080</v>
      </c>
      <c r="N285" s="71">
        <f>Table432[[#This Row],[Taxable Amount]]*1%</f>
        <v>60</v>
      </c>
      <c r="O285" s="157">
        <v>0</v>
      </c>
      <c r="P285" s="148">
        <v>7020</v>
      </c>
      <c r="Q285" s="59">
        <v>45664</v>
      </c>
      <c r="R285" s="193" t="s">
        <v>349</v>
      </c>
      <c r="S285" s="138">
        <f>Table432[[#This Row],[Invoice Amount]]-Table432[[#This Row],[TDS]]-Table432[[#This Row],[RTN]]-Table432[[#This Row],[RECIVED AMOUNT]]</f>
        <v>0</v>
      </c>
      <c r="T285" s="55"/>
      <c r="U285" s="3"/>
      <c r="V285" s="41">
        <f>Table432[[#This Row],[BALANCE]]-Table432[[#This Row],[RECIVED AMOUNT2]]</f>
        <v>0</v>
      </c>
      <c r="W285" s="50"/>
      <c r="X285" s="50"/>
    </row>
    <row r="286" spans="1:121" ht="19.95" customHeight="1">
      <c r="A286" s="68">
        <v>45626</v>
      </c>
      <c r="B286" s="3" t="s">
        <v>465</v>
      </c>
      <c r="C286" s="21" t="s">
        <v>23</v>
      </c>
      <c r="D286" s="3" t="s">
        <v>24</v>
      </c>
      <c r="E286" s="3" t="s">
        <v>25</v>
      </c>
      <c r="F286" s="4" t="s">
        <v>26</v>
      </c>
      <c r="G286" s="22">
        <v>998531</v>
      </c>
      <c r="H286" s="23">
        <v>0.18</v>
      </c>
      <c r="I286" s="9">
        <v>5775</v>
      </c>
      <c r="J286" s="9">
        <f t="shared" si="20"/>
        <v>519.75</v>
      </c>
      <c r="K286" s="9">
        <f t="shared" si="21"/>
        <v>519.75</v>
      </c>
      <c r="L286" s="41"/>
      <c r="M286" s="37">
        <f>Table432[[#This Row],[Taxable Amount]]+Table432[[#This Row],[SGST]]+Table432[[#This Row],[CGST]]</f>
        <v>6814.5</v>
      </c>
      <c r="N286" s="71">
        <f>Table432[[#This Row],[Taxable Amount]]*1%</f>
        <v>57.75</v>
      </c>
      <c r="O286" s="157">
        <v>0</v>
      </c>
      <c r="P286" s="148"/>
      <c r="Q286" s="59">
        <v>45785</v>
      </c>
      <c r="R286" s="193" t="s">
        <v>349</v>
      </c>
      <c r="S286" s="138">
        <f>Table432[[#This Row],[Invoice Amount]]-Table432[[#This Row],[TDS]]-Table432[[#This Row],[RTN]]-Table432[[#This Row],[RECIVED AMOUNT]]</f>
        <v>6756.75</v>
      </c>
      <c r="T286" s="55"/>
      <c r="U286" s="3"/>
      <c r="V286" s="41">
        <f>Table432[[#This Row],[BALANCE]]-Table432[[#This Row],[RECIVED AMOUNT2]]</f>
        <v>6756.75</v>
      </c>
      <c r="W286" s="50"/>
      <c r="X286" s="50"/>
    </row>
    <row r="287" spans="1:121" ht="19.95" customHeight="1">
      <c r="A287" s="68">
        <v>45626</v>
      </c>
      <c r="B287" s="3" t="s">
        <v>466</v>
      </c>
      <c r="C287" s="3" t="s">
        <v>955</v>
      </c>
      <c r="D287" s="3" t="s">
        <v>205</v>
      </c>
      <c r="E287" s="3" t="s">
        <v>67</v>
      </c>
      <c r="F287" s="4" t="s">
        <v>37</v>
      </c>
      <c r="G287" s="22">
        <v>998531</v>
      </c>
      <c r="H287" s="23">
        <v>0.18</v>
      </c>
      <c r="I287" s="9">
        <v>15148</v>
      </c>
      <c r="J287" s="9">
        <f t="shared" si="20"/>
        <v>1363.32</v>
      </c>
      <c r="K287" s="9">
        <f t="shared" si="21"/>
        <v>1363.32</v>
      </c>
      <c r="L287" s="41"/>
      <c r="M287" s="37">
        <f>Table432[[#This Row],[Taxable Amount]]+Table432[[#This Row],[SGST]]+Table432[[#This Row],[CGST]]</f>
        <v>17874.64</v>
      </c>
      <c r="N287" s="71">
        <f>Table432[[#This Row],[Taxable Amount]]*1%</f>
        <v>151.47999999999999</v>
      </c>
      <c r="O287" s="157">
        <v>0</v>
      </c>
      <c r="P287" s="148"/>
      <c r="Q287" s="59"/>
      <c r="R287" s="193" t="s">
        <v>385</v>
      </c>
      <c r="S287" s="138">
        <f>Table432[[#This Row],[Invoice Amount]]-Table432[[#This Row],[TDS]]-Table432[[#This Row],[RTN]]-Table432[[#This Row],[RECIVED AMOUNT]]</f>
        <v>17723.16</v>
      </c>
      <c r="T287" s="55"/>
      <c r="U287" s="3"/>
      <c r="V287" s="41">
        <f>Table432[[#This Row],[BALANCE]]-Table432[[#This Row],[RECIVED AMOUNT2]]</f>
        <v>17723.16</v>
      </c>
      <c r="W287" s="50"/>
      <c r="X287" s="50"/>
    </row>
    <row r="288" spans="1:121" ht="19.95" customHeight="1">
      <c r="A288" s="68">
        <v>45626</v>
      </c>
      <c r="B288" s="3" t="s">
        <v>467</v>
      </c>
      <c r="C288" s="3" t="s">
        <v>42</v>
      </c>
      <c r="D288" s="3" t="s">
        <v>43</v>
      </c>
      <c r="E288" s="3" t="s">
        <v>44</v>
      </c>
      <c r="F288" s="4" t="s">
        <v>26</v>
      </c>
      <c r="G288" s="22">
        <v>998531</v>
      </c>
      <c r="H288" s="23">
        <v>0.18</v>
      </c>
      <c r="I288" s="9">
        <v>30552</v>
      </c>
      <c r="J288" s="9">
        <f t="shared" si="20"/>
        <v>2749.68</v>
      </c>
      <c r="K288" s="9">
        <f t="shared" si="21"/>
        <v>2749.68</v>
      </c>
      <c r="L288" s="41"/>
      <c r="M288" s="37">
        <f>Table432[[#This Row],[Taxable Amount]]+Table432[[#This Row],[SGST]]+Table432[[#This Row],[CGST]]</f>
        <v>36051.360000000001</v>
      </c>
      <c r="N288" s="71">
        <f>Table432[[#This Row],[Taxable Amount]]*1%</f>
        <v>305.52</v>
      </c>
      <c r="O288" s="157">
        <v>764</v>
      </c>
      <c r="P288" s="148">
        <v>21068</v>
      </c>
      <c r="Q288" s="59">
        <v>45624</v>
      </c>
      <c r="R288" s="193" t="s">
        <v>349</v>
      </c>
      <c r="S288" s="138">
        <f>Table432[[#This Row],[Invoice Amount]]-Table432[[#This Row],[TDS]]-Table432[[#This Row],[RTN]]-Table432[[#This Row],[RECIVED AMOUNT]]</f>
        <v>13913.840000000004</v>
      </c>
      <c r="T288" s="55"/>
      <c r="U288" s="3"/>
      <c r="V288" s="41">
        <f>Table432[[#This Row],[BALANCE]]-Table432[[#This Row],[RECIVED AMOUNT2]]</f>
        <v>13913.840000000004</v>
      </c>
      <c r="W288" s="50"/>
      <c r="X288" s="50"/>
    </row>
    <row r="289" spans="1:24" ht="19.95" customHeight="1">
      <c r="A289" s="68">
        <v>45626</v>
      </c>
      <c r="B289" s="3" t="s">
        <v>468</v>
      </c>
      <c r="C289" s="21" t="s">
        <v>42</v>
      </c>
      <c r="D289" s="3" t="s">
        <v>43</v>
      </c>
      <c r="E289" s="3" t="s">
        <v>163</v>
      </c>
      <c r="F289" s="4" t="s">
        <v>26</v>
      </c>
      <c r="G289" s="22">
        <v>998531</v>
      </c>
      <c r="H289" s="23">
        <v>0.18</v>
      </c>
      <c r="I289" s="9">
        <v>9300</v>
      </c>
      <c r="J289" s="9">
        <f t="shared" si="20"/>
        <v>837</v>
      </c>
      <c r="K289" s="9">
        <f t="shared" si="21"/>
        <v>837</v>
      </c>
      <c r="L289" s="41"/>
      <c r="M289" s="37">
        <f>Table432[[#This Row],[Taxable Amount]]+Table432[[#This Row],[SGST]]+Table432[[#This Row],[CGST]]</f>
        <v>10974</v>
      </c>
      <c r="N289" s="71">
        <f>Table432[[#This Row],[Taxable Amount]]*1%</f>
        <v>93</v>
      </c>
      <c r="O289" s="157">
        <v>231</v>
      </c>
      <c r="P289" s="148"/>
      <c r="Q289" s="59"/>
      <c r="R289" s="193" t="s">
        <v>349</v>
      </c>
      <c r="S289" s="138">
        <f>Table432[[#This Row],[Invoice Amount]]-Table432[[#This Row],[TDS]]-Table432[[#This Row],[RTN]]-Table432[[#This Row],[RECIVED AMOUNT]]</f>
        <v>10650</v>
      </c>
      <c r="T289" s="55"/>
      <c r="U289" s="3"/>
      <c r="V289" s="41">
        <f>Table432[[#This Row],[BALANCE]]-Table432[[#This Row],[RECIVED AMOUNT2]]</f>
        <v>10650</v>
      </c>
      <c r="W289" s="50"/>
      <c r="X289" s="50"/>
    </row>
    <row r="290" spans="1:24" ht="19.95" customHeight="1">
      <c r="A290" s="68">
        <v>45628</v>
      </c>
      <c r="B290" s="3" t="s">
        <v>469</v>
      </c>
      <c r="C290" s="21" t="s">
        <v>470</v>
      </c>
      <c r="D290" s="3" t="s">
        <v>471</v>
      </c>
      <c r="E290" s="3" t="s">
        <v>472</v>
      </c>
      <c r="F290" s="4" t="s">
        <v>37</v>
      </c>
      <c r="G290" s="22">
        <v>998531</v>
      </c>
      <c r="H290" s="23">
        <v>0.18</v>
      </c>
      <c r="I290" s="9">
        <v>9295</v>
      </c>
      <c r="J290" s="9">
        <f t="shared" si="20"/>
        <v>836.55</v>
      </c>
      <c r="K290" s="9">
        <f t="shared" si="21"/>
        <v>836.55</v>
      </c>
      <c r="L290" s="41"/>
      <c r="M290" s="37">
        <f>Table432[[#This Row],[Taxable Amount]]+Table432[[#This Row],[SGST]]+Table432[[#This Row],[CGST]]</f>
        <v>10968.099999999999</v>
      </c>
      <c r="N290" s="71">
        <f>Table432[[#This Row],[Taxable Amount]]*1%</f>
        <v>92.95</v>
      </c>
      <c r="O290" s="157">
        <v>232</v>
      </c>
      <c r="P290" s="148">
        <v>9109.01</v>
      </c>
      <c r="Q290" s="59"/>
      <c r="R290" s="117" t="s">
        <v>473</v>
      </c>
      <c r="S290" s="138">
        <f>Table432[[#This Row],[Invoice Amount]]-Table432[[#This Row],[TDS]]-Table432[[#This Row],[RTN]]-Table432[[#This Row],[RECIVED AMOUNT]]</f>
        <v>1534.1399999999976</v>
      </c>
      <c r="T290" s="55">
        <v>1673.1</v>
      </c>
      <c r="U290" s="74">
        <v>45838</v>
      </c>
      <c r="V290" s="41">
        <f>Table432[[#This Row],[BALANCE]]-Table432[[#This Row],[RECIVED AMOUNT2]]</f>
        <v>-138.96000000000231</v>
      </c>
      <c r="W290" s="50"/>
      <c r="X290" s="50"/>
    </row>
    <row r="291" spans="1:24" ht="19.95" customHeight="1">
      <c r="A291" s="68">
        <v>45628</v>
      </c>
      <c r="B291" s="3" t="s">
        <v>474</v>
      </c>
      <c r="C291" s="3" t="s">
        <v>475</v>
      </c>
      <c r="D291" s="3" t="s">
        <v>476</v>
      </c>
      <c r="E291" s="3" t="s">
        <v>477</v>
      </c>
      <c r="F291" s="4" t="s">
        <v>26</v>
      </c>
      <c r="G291" s="22">
        <v>998531</v>
      </c>
      <c r="H291" s="23">
        <v>0.18</v>
      </c>
      <c r="I291" s="9">
        <v>9600</v>
      </c>
      <c r="J291" s="9">
        <f t="shared" si="20"/>
        <v>864</v>
      </c>
      <c r="K291" s="9">
        <f t="shared" si="21"/>
        <v>864</v>
      </c>
      <c r="L291" s="41"/>
      <c r="M291" s="37">
        <f>Table432[[#This Row],[Taxable Amount]]+Table432[[#This Row],[SGST]]+Table432[[#This Row],[CGST]]</f>
        <v>11328</v>
      </c>
      <c r="N291" s="71"/>
      <c r="O291" s="157">
        <v>0</v>
      </c>
      <c r="P291" s="148">
        <v>11328</v>
      </c>
      <c r="Q291" s="59"/>
      <c r="R291" s="193" t="s">
        <v>385</v>
      </c>
      <c r="S291" s="138">
        <f>Table432[[#This Row],[Invoice Amount]]-Table432[[#This Row],[TDS]]-Table432[[#This Row],[RTN]]-Table432[[#This Row],[RECIVED AMOUNT]]</f>
        <v>0</v>
      </c>
      <c r="T291" s="55"/>
      <c r="U291" s="3"/>
      <c r="V291" s="41">
        <f>Table432[[#This Row],[BALANCE]]-Table432[[#This Row],[RECIVED AMOUNT2]]</f>
        <v>0</v>
      </c>
      <c r="W291" s="50"/>
      <c r="X291" s="50"/>
    </row>
    <row r="292" spans="1:24" ht="19.95" customHeight="1">
      <c r="A292" s="68">
        <v>45637</v>
      </c>
      <c r="B292" s="3" t="s">
        <v>478</v>
      </c>
      <c r="C292" s="21" t="s">
        <v>116</v>
      </c>
      <c r="D292" s="3" t="s">
        <v>117</v>
      </c>
      <c r="E292" s="3" t="s">
        <v>59</v>
      </c>
      <c r="F292" s="4" t="s">
        <v>37</v>
      </c>
      <c r="G292" s="22">
        <v>998531</v>
      </c>
      <c r="H292" s="23">
        <v>0.18</v>
      </c>
      <c r="I292" s="9">
        <v>53158.28</v>
      </c>
      <c r="J292" s="9">
        <f t="shared" si="20"/>
        <v>4784.2452000000003</v>
      </c>
      <c r="K292" s="9">
        <f t="shared" si="21"/>
        <v>4784.2452000000003</v>
      </c>
      <c r="L292" s="41"/>
      <c r="M292" s="37">
        <f>Table432[[#This Row],[Taxable Amount]]+Table432[[#This Row],[SGST]]+Table432[[#This Row],[CGST]]</f>
        <v>62726.770399999994</v>
      </c>
      <c r="N292" s="71">
        <f>Table432[[#This Row],[Taxable Amount]]*1%</f>
        <v>531.58280000000002</v>
      </c>
      <c r="O292" s="157">
        <v>0</v>
      </c>
      <c r="P292" s="148">
        <v>62195</v>
      </c>
      <c r="Q292" s="59">
        <v>45708</v>
      </c>
      <c r="R292" s="117" t="s">
        <v>431</v>
      </c>
      <c r="S292" s="138">
        <f>Table432[[#This Row],[Invoice Amount]]-Table432[[#This Row],[TDS]]-Table432[[#This Row],[RTN]]-Table432[[#This Row],[RECIVED AMOUNT]]</f>
        <v>0.18759999999747379</v>
      </c>
      <c r="T292" s="55"/>
      <c r="U292" s="3"/>
      <c r="V292" s="41">
        <f>Table432[[#This Row],[BALANCE]]-Table432[[#This Row],[RECIVED AMOUNT2]]</f>
        <v>0.18759999999747379</v>
      </c>
      <c r="W292" s="50"/>
      <c r="X292" s="50"/>
    </row>
    <row r="293" spans="1:24" ht="19.95" customHeight="1">
      <c r="A293" s="78">
        <v>45642</v>
      </c>
      <c r="B293" s="31" t="s">
        <v>479</v>
      </c>
      <c r="C293" s="31" t="s">
        <v>480</v>
      </c>
      <c r="D293" s="31" t="s">
        <v>481</v>
      </c>
      <c r="E293" s="31" t="s">
        <v>482</v>
      </c>
      <c r="F293" s="33" t="s">
        <v>26</v>
      </c>
      <c r="G293" s="34">
        <v>998531</v>
      </c>
      <c r="H293" s="23">
        <v>0.18</v>
      </c>
      <c r="I293" s="42">
        <v>16000</v>
      </c>
      <c r="J293" s="42">
        <v>0</v>
      </c>
      <c r="K293" s="42">
        <v>0</v>
      </c>
      <c r="L293" s="43"/>
      <c r="M293" s="44">
        <f>Table432[[#This Row],[Taxable Amount]]+Table432[[#This Row],[SGST]]+Table432[[#This Row],[CGST]]</f>
        <v>16000</v>
      </c>
      <c r="N293" s="142"/>
      <c r="O293" s="152">
        <v>0</v>
      </c>
      <c r="P293" s="154">
        <v>16000</v>
      </c>
      <c r="Q293" s="73"/>
      <c r="R293" s="115" t="s">
        <v>243</v>
      </c>
      <c r="S293" s="138">
        <f>Table432[[#This Row],[Invoice Amount]]-Table432[[#This Row],[TDS]]-Table432[[#This Row],[RTN]]-Table432[[#This Row],[RECIVED AMOUNT]]</f>
        <v>0</v>
      </c>
      <c r="T293" s="63"/>
      <c r="U293" s="31"/>
      <c r="V293" s="41">
        <f>Table432[[#This Row],[BALANCE]]-Table432[[#This Row],[RECIVED AMOUNT2]]</f>
        <v>0</v>
      </c>
      <c r="W293" s="50"/>
      <c r="X293" s="50"/>
    </row>
    <row r="294" spans="1:24" s="13" customFormat="1" ht="19.95" customHeight="1">
      <c r="A294" s="68">
        <v>45647</v>
      </c>
      <c r="B294" s="3" t="s">
        <v>483</v>
      </c>
      <c r="C294" s="3" t="s">
        <v>258</v>
      </c>
      <c r="D294" s="3" t="s">
        <v>259</v>
      </c>
      <c r="E294" s="3" t="s">
        <v>260</v>
      </c>
      <c r="F294" s="4" t="s">
        <v>26</v>
      </c>
      <c r="G294" s="22">
        <v>998531</v>
      </c>
      <c r="H294" s="23">
        <v>0.18</v>
      </c>
      <c r="I294" s="9">
        <v>19950</v>
      </c>
      <c r="J294" s="9">
        <f t="shared" ref="J294:J321" si="22">I294*9/100</f>
        <v>1795.5</v>
      </c>
      <c r="K294" s="9">
        <f t="shared" ref="K294:K321" si="23">I294*9/100</f>
        <v>1795.5</v>
      </c>
      <c r="L294" s="41"/>
      <c r="M294" s="37">
        <f>Table432[[#This Row],[Taxable Amount]]+Table432[[#This Row],[SGST]]+Table432[[#This Row],[CGST]]</f>
        <v>23541</v>
      </c>
      <c r="N294" s="71">
        <f>Table432[[#This Row],[Taxable Amount]]*1%</f>
        <v>199.5</v>
      </c>
      <c r="O294" s="157">
        <v>0</v>
      </c>
      <c r="P294" s="148">
        <v>23340</v>
      </c>
      <c r="Q294" s="59">
        <v>45705</v>
      </c>
      <c r="R294" s="193" t="s">
        <v>385</v>
      </c>
      <c r="S294" s="138">
        <f>Table432[[#This Row],[Invoice Amount]]-Table432[[#This Row],[TDS]]-Table432[[#This Row],[RTN]]-Table432[[#This Row],[RECIVED AMOUNT]]</f>
        <v>1.5</v>
      </c>
      <c r="T294" s="55"/>
      <c r="U294" s="3"/>
      <c r="V294" s="41">
        <f>Table432[[#This Row],[BALANCE]]-Table432[[#This Row],[RECIVED AMOUNT2]]</f>
        <v>1.5</v>
      </c>
      <c r="W294" s="208"/>
      <c r="X294" s="208"/>
    </row>
    <row r="295" spans="1:24" ht="19.95" customHeight="1">
      <c r="A295" s="68">
        <v>45647</v>
      </c>
      <c r="B295" s="3" t="s">
        <v>484</v>
      </c>
      <c r="C295" s="3" t="s">
        <v>390</v>
      </c>
      <c r="D295" s="3" t="s">
        <v>391</v>
      </c>
      <c r="E295" s="3" t="s">
        <v>260</v>
      </c>
      <c r="F295" s="4" t="s">
        <v>26</v>
      </c>
      <c r="G295" s="22">
        <v>998531</v>
      </c>
      <c r="H295" s="23">
        <v>0.18</v>
      </c>
      <c r="I295" s="9">
        <v>1536.75</v>
      </c>
      <c r="J295" s="9">
        <f t="shared" si="22"/>
        <v>138.3075</v>
      </c>
      <c r="K295" s="9">
        <f t="shared" si="23"/>
        <v>138.3075</v>
      </c>
      <c r="L295" s="41"/>
      <c r="M295" s="37">
        <f>Table432[[#This Row],[Taxable Amount]]+Table432[[#This Row],[SGST]]+Table432[[#This Row],[CGST]]</f>
        <v>1813.3649999999998</v>
      </c>
      <c r="N295" s="71">
        <f>Table432[[#This Row],[Taxable Amount]]*1%</f>
        <v>15.3675</v>
      </c>
      <c r="O295" s="157">
        <v>0</v>
      </c>
      <c r="P295" s="148"/>
      <c r="Q295" s="59">
        <v>45731</v>
      </c>
      <c r="R295" s="193" t="s">
        <v>385</v>
      </c>
      <c r="S295" s="138">
        <f>Table432[[#This Row],[Invoice Amount]]-Table432[[#This Row],[TDS]]-Table432[[#This Row],[RTN]]-Table432[[#This Row],[RECIVED AMOUNT]]</f>
        <v>1797.9974999999997</v>
      </c>
      <c r="T295" s="55"/>
      <c r="U295" s="3"/>
      <c r="V295" s="41">
        <f>Table432[[#This Row],[BALANCE]]-Table432[[#This Row],[RECIVED AMOUNT2]]</f>
        <v>1797.9974999999997</v>
      </c>
      <c r="W295" s="50"/>
      <c r="X295" s="50"/>
    </row>
    <row r="296" spans="1:24" ht="19.95" customHeight="1">
      <c r="A296" s="68">
        <v>45647</v>
      </c>
      <c r="B296" s="3" t="s">
        <v>485</v>
      </c>
      <c r="C296" s="3" t="s">
        <v>390</v>
      </c>
      <c r="D296" s="3" t="s">
        <v>391</v>
      </c>
      <c r="E296" s="3" t="s">
        <v>260</v>
      </c>
      <c r="F296" s="4" t="s">
        <v>26</v>
      </c>
      <c r="G296" s="22">
        <v>998531</v>
      </c>
      <c r="H296" s="23">
        <v>0.18</v>
      </c>
      <c r="I296" s="9">
        <v>1242.75</v>
      </c>
      <c r="J296" s="9">
        <f t="shared" si="22"/>
        <v>111.8475</v>
      </c>
      <c r="K296" s="9">
        <f t="shared" si="23"/>
        <v>111.8475</v>
      </c>
      <c r="L296" s="41"/>
      <c r="M296" s="37">
        <f>Table432[[#This Row],[Taxable Amount]]+Table432[[#This Row],[SGST]]+Table432[[#This Row],[CGST]]</f>
        <v>1466.4450000000002</v>
      </c>
      <c r="N296" s="71">
        <f>Table432[[#This Row],[Taxable Amount]]*1%</f>
        <v>12.4275</v>
      </c>
      <c r="O296" s="157">
        <v>0</v>
      </c>
      <c r="P296" s="148"/>
      <c r="Q296" s="59">
        <v>45731</v>
      </c>
      <c r="R296" s="193" t="s">
        <v>385</v>
      </c>
      <c r="S296" s="138">
        <f>Table432[[#This Row],[Invoice Amount]]-Table432[[#This Row],[TDS]]-Table432[[#This Row],[RTN]]-Table432[[#This Row],[RECIVED AMOUNT]]</f>
        <v>1454.0175000000002</v>
      </c>
      <c r="T296" s="55"/>
      <c r="U296" s="3"/>
      <c r="V296" s="41">
        <f>Table432[[#This Row],[BALANCE]]-Table432[[#This Row],[RECIVED AMOUNT2]]</f>
        <v>1454.0175000000002</v>
      </c>
      <c r="W296" s="50"/>
      <c r="X296" s="50"/>
    </row>
    <row r="297" spans="1:24" ht="19.95" customHeight="1">
      <c r="A297" s="68">
        <v>45647</v>
      </c>
      <c r="B297" s="3" t="s">
        <v>486</v>
      </c>
      <c r="C297" s="3" t="s">
        <v>390</v>
      </c>
      <c r="D297" s="3" t="s">
        <v>391</v>
      </c>
      <c r="E297" s="3" t="s">
        <v>260</v>
      </c>
      <c r="F297" s="4" t="s">
        <v>26</v>
      </c>
      <c r="G297" s="22">
        <v>998531</v>
      </c>
      <c r="H297" s="23">
        <v>0.18</v>
      </c>
      <c r="I297" s="9">
        <v>1731</v>
      </c>
      <c r="J297" s="9">
        <f t="shared" si="22"/>
        <v>155.79</v>
      </c>
      <c r="K297" s="9">
        <f t="shared" si="23"/>
        <v>155.79</v>
      </c>
      <c r="L297" s="41"/>
      <c r="M297" s="37">
        <f>Table432[[#This Row],[Taxable Amount]]+Table432[[#This Row],[SGST]]+Table432[[#This Row],[CGST]]</f>
        <v>2042.58</v>
      </c>
      <c r="N297" s="71">
        <f>Table432[[#This Row],[Taxable Amount]]*1%</f>
        <v>17.309999999999999</v>
      </c>
      <c r="O297" s="157">
        <v>0</v>
      </c>
      <c r="P297" s="148"/>
      <c r="Q297" s="59">
        <v>45731</v>
      </c>
      <c r="R297" s="193" t="s">
        <v>385</v>
      </c>
      <c r="S297" s="138">
        <f>Table432[[#This Row],[Invoice Amount]]-Table432[[#This Row],[TDS]]-Table432[[#This Row],[RTN]]-Table432[[#This Row],[RECIVED AMOUNT]]</f>
        <v>2025.27</v>
      </c>
      <c r="T297" s="55"/>
      <c r="U297" s="3"/>
      <c r="V297" s="41">
        <f>Table432[[#This Row],[BALANCE]]-Table432[[#This Row],[RECIVED AMOUNT2]]</f>
        <v>2025.27</v>
      </c>
      <c r="W297" s="50"/>
      <c r="X297" s="50"/>
    </row>
    <row r="298" spans="1:24" ht="19.95" customHeight="1">
      <c r="A298" s="68">
        <v>45647</v>
      </c>
      <c r="B298" s="3" t="s">
        <v>487</v>
      </c>
      <c r="C298" s="3" t="s">
        <v>390</v>
      </c>
      <c r="D298" s="3" t="s">
        <v>391</v>
      </c>
      <c r="E298" s="3" t="s">
        <v>260</v>
      </c>
      <c r="F298" s="4" t="s">
        <v>26</v>
      </c>
      <c r="G298" s="22">
        <v>998531</v>
      </c>
      <c r="H298" s="23">
        <v>0.18</v>
      </c>
      <c r="I298" s="9">
        <v>1269</v>
      </c>
      <c r="J298" s="9">
        <f t="shared" si="22"/>
        <v>114.21</v>
      </c>
      <c r="K298" s="9">
        <f t="shared" si="23"/>
        <v>114.21</v>
      </c>
      <c r="L298" s="41"/>
      <c r="M298" s="37">
        <f>Table432[[#This Row],[Taxable Amount]]+Table432[[#This Row],[SGST]]+Table432[[#This Row],[CGST]]</f>
        <v>1497.42</v>
      </c>
      <c r="N298" s="71">
        <f>Table432[[#This Row],[Taxable Amount]]*1%</f>
        <v>12.69</v>
      </c>
      <c r="O298" s="157">
        <v>0</v>
      </c>
      <c r="P298" s="148"/>
      <c r="Q298" s="59">
        <v>45731</v>
      </c>
      <c r="R298" s="193" t="s">
        <v>385</v>
      </c>
      <c r="S298" s="138">
        <f>Table432[[#This Row],[Invoice Amount]]-Table432[[#This Row],[TDS]]-Table432[[#This Row],[RTN]]-Table432[[#This Row],[RECIVED AMOUNT]]</f>
        <v>1484.73</v>
      </c>
      <c r="T298" s="55"/>
      <c r="U298" s="3"/>
      <c r="V298" s="41">
        <f>Table432[[#This Row],[BALANCE]]-Table432[[#This Row],[RECIVED AMOUNT2]]</f>
        <v>1484.73</v>
      </c>
      <c r="W298" s="50"/>
      <c r="X298" s="50"/>
    </row>
    <row r="299" spans="1:24" ht="19.95" customHeight="1">
      <c r="A299" s="68">
        <v>45647</v>
      </c>
      <c r="B299" s="3" t="s">
        <v>488</v>
      </c>
      <c r="C299" s="3" t="s">
        <v>390</v>
      </c>
      <c r="D299" s="3" t="s">
        <v>391</v>
      </c>
      <c r="E299" s="3" t="s">
        <v>260</v>
      </c>
      <c r="F299" s="4" t="s">
        <v>26</v>
      </c>
      <c r="G299" s="22">
        <v>998531</v>
      </c>
      <c r="H299" s="23">
        <v>0.18</v>
      </c>
      <c r="I299" s="9">
        <v>1720.5</v>
      </c>
      <c r="J299" s="9">
        <f t="shared" si="22"/>
        <v>154.845</v>
      </c>
      <c r="K299" s="9">
        <f t="shared" si="23"/>
        <v>154.845</v>
      </c>
      <c r="L299" s="41"/>
      <c r="M299" s="37">
        <f>Table432[[#This Row],[Taxable Amount]]+Table432[[#This Row],[SGST]]+Table432[[#This Row],[CGST]]</f>
        <v>2030.19</v>
      </c>
      <c r="N299" s="71">
        <f>Table432[[#This Row],[Taxable Amount]]*1%</f>
        <v>17.205000000000002</v>
      </c>
      <c r="O299" s="157">
        <v>0</v>
      </c>
      <c r="P299" s="148"/>
      <c r="Q299" s="59">
        <v>45731</v>
      </c>
      <c r="R299" s="193" t="s">
        <v>385</v>
      </c>
      <c r="S299" s="138">
        <f>Table432[[#This Row],[Invoice Amount]]-Table432[[#This Row],[TDS]]-Table432[[#This Row],[RTN]]-Table432[[#This Row],[RECIVED AMOUNT]]</f>
        <v>2012.9850000000001</v>
      </c>
      <c r="T299" s="55"/>
      <c r="U299" s="3"/>
      <c r="V299" s="41">
        <f>Table432[[#This Row],[BALANCE]]-Table432[[#This Row],[RECIVED AMOUNT2]]</f>
        <v>2012.9850000000001</v>
      </c>
      <c r="W299" s="50"/>
      <c r="X299" s="50"/>
    </row>
    <row r="300" spans="1:24" ht="19.95" customHeight="1">
      <c r="A300" s="68">
        <v>45653</v>
      </c>
      <c r="B300" s="3" t="s">
        <v>489</v>
      </c>
      <c r="C300" s="3" t="s">
        <v>490</v>
      </c>
      <c r="D300" s="3" t="s">
        <v>491</v>
      </c>
      <c r="E300" s="3" t="s">
        <v>175</v>
      </c>
      <c r="F300" s="4" t="s">
        <v>26</v>
      </c>
      <c r="G300" s="22">
        <v>998531</v>
      </c>
      <c r="H300" s="23">
        <v>0.18</v>
      </c>
      <c r="I300" s="9">
        <v>12600</v>
      </c>
      <c r="J300" s="9">
        <f t="shared" si="22"/>
        <v>1134</v>
      </c>
      <c r="K300" s="9">
        <f t="shared" si="23"/>
        <v>1134</v>
      </c>
      <c r="L300" s="41"/>
      <c r="M300" s="37">
        <f>Table432[[#This Row],[Taxable Amount]]+Table432[[#This Row],[SGST]]+Table432[[#This Row],[CGST]]</f>
        <v>14868</v>
      </c>
      <c r="N300" s="71"/>
      <c r="O300" s="157">
        <v>0</v>
      </c>
      <c r="P300" s="148">
        <v>14868</v>
      </c>
      <c r="Q300" s="59">
        <v>45701</v>
      </c>
      <c r="R300" s="117" t="s">
        <v>492</v>
      </c>
      <c r="S300" s="138">
        <f>Table432[[#This Row],[Invoice Amount]]-Table432[[#This Row],[TDS]]-Table432[[#This Row],[RTN]]-Table432[[#This Row],[RECIVED AMOUNT]]</f>
        <v>0</v>
      </c>
      <c r="T300" s="55"/>
      <c r="U300" s="3"/>
      <c r="V300" s="41">
        <f>Table432[[#This Row],[BALANCE]]-Table432[[#This Row],[RECIVED AMOUNT2]]</f>
        <v>0</v>
      </c>
      <c r="W300" s="50"/>
      <c r="X300" s="50"/>
    </row>
    <row r="301" spans="1:24" ht="19.95" customHeight="1">
      <c r="A301" s="68">
        <v>45654</v>
      </c>
      <c r="B301" s="3" t="s">
        <v>493</v>
      </c>
      <c r="C301" s="3" t="s">
        <v>234</v>
      </c>
      <c r="D301" s="3" t="s">
        <v>235</v>
      </c>
      <c r="E301" s="3" t="s">
        <v>236</v>
      </c>
      <c r="F301" s="4" t="s">
        <v>26</v>
      </c>
      <c r="G301" s="22">
        <v>998531</v>
      </c>
      <c r="H301" s="23">
        <v>0.18</v>
      </c>
      <c r="I301" s="9">
        <v>12700</v>
      </c>
      <c r="J301" s="9">
        <f t="shared" si="22"/>
        <v>1143</v>
      </c>
      <c r="K301" s="9">
        <f t="shared" si="23"/>
        <v>1143</v>
      </c>
      <c r="L301" s="41"/>
      <c r="M301" s="37">
        <f>Table432[[#This Row],[Taxable Amount]]+Table432[[#This Row],[SGST]]+Table432[[#This Row],[CGST]]</f>
        <v>14986</v>
      </c>
      <c r="N301" s="71">
        <v>0</v>
      </c>
      <c r="O301" s="157">
        <v>0</v>
      </c>
      <c r="P301" s="148">
        <v>14986</v>
      </c>
      <c r="Q301" s="59">
        <v>45696</v>
      </c>
      <c r="R301" s="193" t="s">
        <v>385</v>
      </c>
      <c r="S301" s="138">
        <f>Table432[[#This Row],[Invoice Amount]]-Table432[[#This Row],[TDS]]-Table432[[#This Row],[RTN]]-Table432[[#This Row],[RECIVED AMOUNT]]</f>
        <v>0</v>
      </c>
      <c r="T301" s="55"/>
      <c r="U301" s="3"/>
      <c r="V301" s="41">
        <f>Table432[[#This Row],[BALANCE]]-Table432[[#This Row],[RECIVED AMOUNT2]]</f>
        <v>0</v>
      </c>
      <c r="W301" s="50"/>
      <c r="X301" s="50"/>
    </row>
    <row r="302" spans="1:24" ht="19.95" customHeight="1">
      <c r="A302" s="68">
        <v>45657</v>
      </c>
      <c r="B302" s="3" t="s">
        <v>494</v>
      </c>
      <c r="C302" s="21" t="s">
        <v>116</v>
      </c>
      <c r="D302" s="3" t="s">
        <v>117</v>
      </c>
      <c r="E302" s="3" t="s">
        <v>59</v>
      </c>
      <c r="F302" s="4" t="s">
        <v>26</v>
      </c>
      <c r="G302" s="22">
        <v>998531</v>
      </c>
      <c r="H302" s="23">
        <v>0.18</v>
      </c>
      <c r="I302" s="9">
        <v>17300</v>
      </c>
      <c r="J302" s="9">
        <f t="shared" si="22"/>
        <v>1557</v>
      </c>
      <c r="K302" s="9">
        <f t="shared" si="23"/>
        <v>1557</v>
      </c>
      <c r="L302" s="41"/>
      <c r="M302" s="37">
        <f>Table432[[#This Row],[Taxable Amount]]+Table432[[#This Row],[SGST]]+Table432[[#This Row],[CGST]]</f>
        <v>20414</v>
      </c>
      <c r="N302" s="71">
        <f>Table432[[#This Row],[Taxable Amount]]*1%</f>
        <v>173</v>
      </c>
      <c r="O302" s="157">
        <v>0</v>
      </c>
      <c r="P302" s="148">
        <v>20241</v>
      </c>
      <c r="Q302" s="59">
        <v>45680</v>
      </c>
      <c r="R302" s="193" t="s">
        <v>385</v>
      </c>
      <c r="S302" s="138">
        <f>Table432[[#This Row],[Invoice Amount]]-Table432[[#This Row],[TDS]]-Table432[[#This Row],[RTN]]-Table432[[#This Row],[RECIVED AMOUNT]]</f>
        <v>0</v>
      </c>
      <c r="T302" s="55"/>
      <c r="U302" s="3"/>
      <c r="V302" s="41">
        <f>Table432[[#This Row],[BALANCE]]-Table432[[#This Row],[RECIVED AMOUNT2]]</f>
        <v>0</v>
      </c>
      <c r="W302" s="50"/>
      <c r="X302" s="50"/>
    </row>
    <row r="303" spans="1:24" ht="19.95" customHeight="1">
      <c r="A303" s="68">
        <v>45657</v>
      </c>
      <c r="B303" s="3" t="s">
        <v>495</v>
      </c>
      <c r="C303" s="3" t="s">
        <v>290</v>
      </c>
      <c r="D303" s="3" t="s">
        <v>291</v>
      </c>
      <c r="E303" s="3" t="s">
        <v>25</v>
      </c>
      <c r="F303" s="4" t="s">
        <v>26</v>
      </c>
      <c r="G303" s="22">
        <v>998531</v>
      </c>
      <c r="H303" s="23">
        <v>0.18</v>
      </c>
      <c r="I303" s="9">
        <v>3000</v>
      </c>
      <c r="J303" s="9">
        <f t="shared" si="22"/>
        <v>270</v>
      </c>
      <c r="K303" s="9">
        <f t="shared" si="23"/>
        <v>270</v>
      </c>
      <c r="L303" s="41"/>
      <c r="M303" s="37">
        <f>Table432[[#This Row],[Taxable Amount]]+Table432[[#This Row],[SGST]]+Table432[[#This Row],[CGST]]</f>
        <v>3540</v>
      </c>
      <c r="N303" s="71">
        <v>0</v>
      </c>
      <c r="O303" s="157">
        <v>0</v>
      </c>
      <c r="P303" s="148">
        <v>3540</v>
      </c>
      <c r="Q303" s="59">
        <v>45673</v>
      </c>
      <c r="R303" s="117" t="s">
        <v>431</v>
      </c>
      <c r="S303" s="138">
        <f>Table432[[#This Row],[Invoice Amount]]-Table432[[#This Row],[TDS]]-Table432[[#This Row],[RTN]]-Table432[[#This Row],[RECIVED AMOUNT]]</f>
        <v>0</v>
      </c>
      <c r="T303" s="55"/>
      <c r="U303" s="3"/>
      <c r="V303" s="41">
        <f>Table432[[#This Row],[BALANCE]]-Table432[[#This Row],[RECIVED AMOUNT2]]</f>
        <v>0</v>
      </c>
      <c r="W303" s="50"/>
      <c r="X303" s="50"/>
    </row>
    <row r="304" spans="1:24" ht="19.95" customHeight="1">
      <c r="A304" s="68">
        <v>45657</v>
      </c>
      <c r="B304" s="3" t="s">
        <v>496</v>
      </c>
      <c r="C304" s="3" t="s">
        <v>955</v>
      </c>
      <c r="D304" s="3" t="s">
        <v>205</v>
      </c>
      <c r="E304" s="3" t="s">
        <v>59</v>
      </c>
      <c r="F304" s="4" t="s">
        <v>26</v>
      </c>
      <c r="G304" s="22">
        <v>998531</v>
      </c>
      <c r="H304" s="23">
        <v>0.18</v>
      </c>
      <c r="I304" s="9">
        <v>7500</v>
      </c>
      <c r="J304" s="9">
        <f t="shared" si="22"/>
        <v>675</v>
      </c>
      <c r="K304" s="9">
        <f t="shared" si="23"/>
        <v>675</v>
      </c>
      <c r="L304" s="41"/>
      <c r="M304" s="37">
        <f>Table432[[#This Row],[Taxable Amount]]+Table432[[#This Row],[SGST]]+Table432[[#This Row],[CGST]]</f>
        <v>8850</v>
      </c>
      <c r="N304" s="71">
        <v>0</v>
      </c>
      <c r="O304" s="157">
        <v>0</v>
      </c>
      <c r="P304" s="148"/>
      <c r="Q304" s="59"/>
      <c r="R304" s="193" t="s">
        <v>385</v>
      </c>
      <c r="S304" s="138">
        <f>Table432[[#This Row],[Invoice Amount]]-Table432[[#This Row],[TDS]]-Table432[[#This Row],[RTN]]-Table432[[#This Row],[RECIVED AMOUNT]]</f>
        <v>8850</v>
      </c>
      <c r="T304" s="55"/>
      <c r="U304" s="3"/>
      <c r="V304" s="41">
        <f>Table432[[#This Row],[BALANCE]]-Table432[[#This Row],[RECIVED AMOUNT2]]</f>
        <v>8850</v>
      </c>
      <c r="W304" s="50"/>
      <c r="X304" s="50"/>
    </row>
    <row r="305" spans="1:24" ht="19.95" customHeight="1">
      <c r="A305" s="68">
        <v>45657</v>
      </c>
      <c r="B305" s="3" t="s">
        <v>497</v>
      </c>
      <c r="C305" s="3" t="s">
        <v>955</v>
      </c>
      <c r="D305" s="3" t="s">
        <v>205</v>
      </c>
      <c r="E305" s="3" t="s">
        <v>67</v>
      </c>
      <c r="F305" s="4" t="s">
        <v>26</v>
      </c>
      <c r="G305" s="22">
        <v>998531</v>
      </c>
      <c r="H305" s="23">
        <v>0.18</v>
      </c>
      <c r="I305" s="9">
        <v>10000</v>
      </c>
      <c r="J305" s="9">
        <f t="shared" si="22"/>
        <v>900</v>
      </c>
      <c r="K305" s="9">
        <f t="shared" si="23"/>
        <v>900</v>
      </c>
      <c r="L305" s="41"/>
      <c r="M305" s="37">
        <f>Table432[[#This Row],[Taxable Amount]]+Table432[[#This Row],[SGST]]+Table432[[#This Row],[CGST]]</f>
        <v>11800</v>
      </c>
      <c r="N305" s="71">
        <f>Table432[[#This Row],[Taxable Amount]]*1%</f>
        <v>100</v>
      </c>
      <c r="O305" s="157">
        <v>0</v>
      </c>
      <c r="P305" s="148"/>
      <c r="Q305" s="59"/>
      <c r="R305" s="193" t="s">
        <v>385</v>
      </c>
      <c r="S305" s="138">
        <f>Table432[[#This Row],[Invoice Amount]]-Table432[[#This Row],[TDS]]-Table432[[#This Row],[RTN]]-Table432[[#This Row],[RECIVED AMOUNT]]</f>
        <v>11700</v>
      </c>
      <c r="T305" s="55"/>
      <c r="U305" s="3"/>
      <c r="V305" s="41">
        <f>Table432[[#This Row],[BALANCE]]-Table432[[#This Row],[RECIVED AMOUNT2]]</f>
        <v>11700</v>
      </c>
      <c r="W305" s="50"/>
      <c r="X305" s="50"/>
    </row>
    <row r="306" spans="1:24" ht="19.95" customHeight="1">
      <c r="A306" s="68">
        <v>45657</v>
      </c>
      <c r="B306" s="3" t="s">
        <v>498</v>
      </c>
      <c r="C306" s="3" t="s">
        <v>372</v>
      </c>
      <c r="D306" s="3" t="s">
        <v>373</v>
      </c>
      <c r="E306" s="3" t="s">
        <v>374</v>
      </c>
      <c r="F306" s="4" t="s">
        <v>26</v>
      </c>
      <c r="G306" s="22">
        <v>998531</v>
      </c>
      <c r="H306" s="23">
        <v>0.18</v>
      </c>
      <c r="I306" s="9">
        <v>1500</v>
      </c>
      <c r="J306" s="9">
        <f t="shared" si="22"/>
        <v>135</v>
      </c>
      <c r="K306" s="9">
        <f t="shared" si="23"/>
        <v>135</v>
      </c>
      <c r="L306" s="41"/>
      <c r="M306" s="37">
        <f>Table432[[#This Row],[Taxable Amount]]+Table432[[#This Row],[SGST]]+Table432[[#This Row],[CGST]]</f>
        <v>1770</v>
      </c>
      <c r="N306" s="71">
        <v>0</v>
      </c>
      <c r="O306" s="157">
        <v>0</v>
      </c>
      <c r="P306" s="148"/>
      <c r="Q306" s="59"/>
      <c r="R306" s="193" t="s">
        <v>385</v>
      </c>
      <c r="S306" s="138">
        <f>Table432[[#This Row],[Invoice Amount]]-Table432[[#This Row],[TDS]]-Table432[[#This Row],[RTN]]-Table432[[#This Row],[RECIVED AMOUNT]]</f>
        <v>1770</v>
      </c>
      <c r="T306" s="55"/>
      <c r="U306" s="3"/>
      <c r="V306" s="41">
        <f>Table432[[#This Row],[BALANCE]]-Table432[[#This Row],[RECIVED AMOUNT2]]</f>
        <v>1770</v>
      </c>
      <c r="W306" s="50"/>
      <c r="X306" s="50"/>
    </row>
    <row r="307" spans="1:24" ht="19.95" customHeight="1">
      <c r="A307" s="68">
        <v>45657</v>
      </c>
      <c r="B307" s="3" t="s">
        <v>499</v>
      </c>
      <c r="C307" s="3" t="s">
        <v>42</v>
      </c>
      <c r="D307" s="3" t="s">
        <v>43</v>
      </c>
      <c r="E307" s="3" t="s">
        <v>101</v>
      </c>
      <c r="F307" s="4" t="s">
        <v>26</v>
      </c>
      <c r="G307" s="22">
        <v>998531</v>
      </c>
      <c r="H307" s="23">
        <v>0.18</v>
      </c>
      <c r="I307" s="9">
        <v>6000</v>
      </c>
      <c r="J307" s="9">
        <f t="shared" si="22"/>
        <v>540</v>
      </c>
      <c r="K307" s="9">
        <f t="shared" si="23"/>
        <v>540</v>
      </c>
      <c r="L307" s="41"/>
      <c r="M307" s="37">
        <f>Table432[[#This Row],[Taxable Amount]]+Table432[[#This Row],[SGST]]+Table432[[#This Row],[CGST]]</f>
        <v>7080</v>
      </c>
      <c r="N307" s="71">
        <f>Table432[[#This Row],[Taxable Amount]]*1%</f>
        <v>60</v>
      </c>
      <c r="O307" s="157">
        <v>0</v>
      </c>
      <c r="P307" s="148">
        <v>7020</v>
      </c>
      <c r="Q307" s="59">
        <v>45684</v>
      </c>
      <c r="R307" s="193" t="s">
        <v>385</v>
      </c>
      <c r="S307" s="138">
        <f>Table432[[#This Row],[Invoice Amount]]-Table432[[#This Row],[TDS]]-Table432[[#This Row],[RTN]]-Table432[[#This Row],[RECIVED AMOUNT]]</f>
        <v>0</v>
      </c>
      <c r="T307" s="55"/>
      <c r="U307" s="3"/>
      <c r="V307" s="41">
        <f>Table432[[#This Row],[BALANCE]]-Table432[[#This Row],[RECIVED AMOUNT2]]</f>
        <v>0</v>
      </c>
      <c r="W307" s="50"/>
      <c r="X307" s="50"/>
    </row>
    <row r="308" spans="1:24" ht="19.95" customHeight="1">
      <c r="A308" s="68">
        <v>45657</v>
      </c>
      <c r="B308" s="3" t="s">
        <v>500</v>
      </c>
      <c r="C308" s="3" t="s">
        <v>23</v>
      </c>
      <c r="D308" s="3" t="s">
        <v>24</v>
      </c>
      <c r="E308" s="3" t="s">
        <v>25</v>
      </c>
      <c r="F308" s="4" t="s">
        <v>26</v>
      </c>
      <c r="G308" s="22">
        <v>998531</v>
      </c>
      <c r="H308" s="23">
        <v>0.18</v>
      </c>
      <c r="I308" s="9">
        <v>2800</v>
      </c>
      <c r="J308" s="9">
        <f t="shared" si="22"/>
        <v>252</v>
      </c>
      <c r="K308" s="9">
        <f t="shared" si="23"/>
        <v>252</v>
      </c>
      <c r="L308" s="41"/>
      <c r="M308" s="37">
        <f>Table432[[#This Row],[Taxable Amount]]+Table432[[#This Row],[SGST]]+Table432[[#This Row],[CGST]]</f>
        <v>3304</v>
      </c>
      <c r="N308" s="71">
        <f>Table432[[#This Row],[Taxable Amount]]*1%</f>
        <v>28</v>
      </c>
      <c r="O308" s="157">
        <v>0</v>
      </c>
      <c r="P308" s="148">
        <v>26413</v>
      </c>
      <c r="Q308" s="59">
        <v>45785</v>
      </c>
      <c r="R308" s="117" t="s">
        <v>492</v>
      </c>
      <c r="S308" s="138">
        <f>Table432[[#This Row],[Invoice Amount]]-Table432[[#This Row],[TDS]]-Table432[[#This Row],[RTN]]-Table432[[#This Row],[RECIVED AMOUNT]]</f>
        <v>-23137</v>
      </c>
      <c r="T308" s="55"/>
      <c r="U308" s="3"/>
      <c r="V308" s="41">
        <f>Table432[[#This Row],[BALANCE]]-Table432[[#This Row],[RECIVED AMOUNT2]]</f>
        <v>-23137</v>
      </c>
      <c r="W308" s="50"/>
      <c r="X308" s="50"/>
    </row>
    <row r="309" spans="1:24" ht="19.95" customHeight="1">
      <c r="A309" s="68">
        <v>45657</v>
      </c>
      <c r="B309" s="3" t="s">
        <v>501</v>
      </c>
      <c r="C309" s="3" t="s">
        <v>390</v>
      </c>
      <c r="D309" s="3" t="s">
        <v>391</v>
      </c>
      <c r="E309" s="3" t="s">
        <v>260</v>
      </c>
      <c r="F309" s="4" t="s">
        <v>26</v>
      </c>
      <c r="G309" s="22">
        <v>998531</v>
      </c>
      <c r="H309" s="23">
        <v>0.18</v>
      </c>
      <c r="I309" s="9">
        <v>1536.75</v>
      </c>
      <c r="J309" s="9">
        <f t="shared" si="22"/>
        <v>138.3075</v>
      </c>
      <c r="K309" s="9">
        <f t="shared" si="23"/>
        <v>138.3075</v>
      </c>
      <c r="L309" s="41"/>
      <c r="M309" s="37">
        <f>Table432[[#This Row],[Taxable Amount]]+Table432[[#This Row],[SGST]]+Table432[[#This Row],[CGST]]</f>
        <v>1813.3649999999998</v>
      </c>
      <c r="N309" s="71">
        <f>Table432[[#This Row],[Taxable Amount]]*1%</f>
        <v>15.3675</v>
      </c>
      <c r="O309" s="157">
        <v>0</v>
      </c>
      <c r="P309" s="148"/>
      <c r="Q309" s="59">
        <v>45731</v>
      </c>
      <c r="R309" s="193" t="s">
        <v>385</v>
      </c>
      <c r="S309" s="138">
        <f>Table432[[#This Row],[Invoice Amount]]-Table432[[#This Row],[TDS]]-Table432[[#This Row],[RTN]]-Table432[[#This Row],[RECIVED AMOUNT]]</f>
        <v>1797.9974999999997</v>
      </c>
      <c r="T309" s="55"/>
      <c r="U309" s="3"/>
      <c r="V309" s="41">
        <f>Table432[[#This Row],[BALANCE]]-Table432[[#This Row],[RECIVED AMOUNT2]]</f>
        <v>1797.9974999999997</v>
      </c>
      <c r="W309" s="50"/>
      <c r="X309" s="50"/>
    </row>
    <row r="310" spans="1:24" ht="19.95" customHeight="1">
      <c r="A310" s="68">
        <v>45657</v>
      </c>
      <c r="B310" s="3" t="s">
        <v>502</v>
      </c>
      <c r="C310" s="21" t="s">
        <v>390</v>
      </c>
      <c r="D310" s="3" t="s">
        <v>391</v>
      </c>
      <c r="E310" s="3" t="s">
        <v>260</v>
      </c>
      <c r="F310" s="4" t="s">
        <v>26</v>
      </c>
      <c r="G310" s="22">
        <v>998531</v>
      </c>
      <c r="H310" s="23">
        <v>0.18</v>
      </c>
      <c r="I310" s="9">
        <v>1242.75</v>
      </c>
      <c r="J310" s="9">
        <f t="shared" si="22"/>
        <v>111.8475</v>
      </c>
      <c r="K310" s="9">
        <f t="shared" si="23"/>
        <v>111.8475</v>
      </c>
      <c r="L310" s="41"/>
      <c r="M310" s="37">
        <f>Table432[[#This Row],[Taxable Amount]]+Table432[[#This Row],[SGST]]+Table432[[#This Row],[CGST]]</f>
        <v>1466.4450000000002</v>
      </c>
      <c r="N310" s="71">
        <f>Table432[[#This Row],[Taxable Amount]]*1%</f>
        <v>12.4275</v>
      </c>
      <c r="O310" s="157">
        <v>0</v>
      </c>
      <c r="P310" s="148"/>
      <c r="Q310" s="59">
        <v>45731</v>
      </c>
      <c r="R310" s="193" t="s">
        <v>385</v>
      </c>
      <c r="S310" s="138">
        <f>Table432[[#This Row],[Invoice Amount]]-Table432[[#This Row],[TDS]]-Table432[[#This Row],[RTN]]-Table432[[#This Row],[RECIVED AMOUNT]]</f>
        <v>1454.0175000000002</v>
      </c>
      <c r="T310" s="55"/>
      <c r="U310" s="3"/>
      <c r="V310" s="41">
        <f>Table432[[#This Row],[BALANCE]]-Table432[[#This Row],[RECIVED AMOUNT2]]</f>
        <v>1454.0175000000002</v>
      </c>
      <c r="W310" s="50"/>
      <c r="X310" s="50"/>
    </row>
    <row r="311" spans="1:24" ht="19.95" customHeight="1">
      <c r="A311" s="68">
        <v>45657</v>
      </c>
      <c r="B311" s="3" t="s">
        <v>503</v>
      </c>
      <c r="C311" s="3" t="s">
        <v>390</v>
      </c>
      <c r="D311" s="3" t="s">
        <v>391</v>
      </c>
      <c r="E311" s="3" t="s">
        <v>260</v>
      </c>
      <c r="F311" s="4" t="s">
        <v>26</v>
      </c>
      <c r="G311" s="22">
        <v>998531</v>
      </c>
      <c r="H311" s="23">
        <v>0.18</v>
      </c>
      <c r="I311" s="9">
        <v>1731</v>
      </c>
      <c r="J311" s="9">
        <f t="shared" si="22"/>
        <v>155.79</v>
      </c>
      <c r="K311" s="9">
        <f t="shared" si="23"/>
        <v>155.79</v>
      </c>
      <c r="L311" s="41"/>
      <c r="M311" s="37">
        <f>Table432[[#This Row],[Taxable Amount]]+Table432[[#This Row],[SGST]]+Table432[[#This Row],[CGST]]</f>
        <v>2042.58</v>
      </c>
      <c r="N311" s="71">
        <f>Table432[[#This Row],[Taxable Amount]]*1%</f>
        <v>17.309999999999999</v>
      </c>
      <c r="O311" s="157">
        <v>0</v>
      </c>
      <c r="P311" s="148"/>
      <c r="Q311" s="59">
        <v>45731</v>
      </c>
      <c r="R311" s="193" t="s">
        <v>385</v>
      </c>
      <c r="S311" s="138">
        <f>Table432[[#This Row],[Invoice Amount]]-Table432[[#This Row],[TDS]]-Table432[[#This Row],[RTN]]-Table432[[#This Row],[RECIVED AMOUNT]]</f>
        <v>2025.27</v>
      </c>
      <c r="T311" s="55"/>
      <c r="U311" s="3"/>
      <c r="V311" s="41">
        <f>Table432[[#This Row],[BALANCE]]-Table432[[#This Row],[RECIVED AMOUNT2]]</f>
        <v>2025.27</v>
      </c>
      <c r="W311" s="50"/>
      <c r="X311" s="50"/>
    </row>
    <row r="312" spans="1:24" ht="19.95" customHeight="1">
      <c r="A312" s="68">
        <v>45657</v>
      </c>
      <c r="B312" s="3" t="s">
        <v>504</v>
      </c>
      <c r="C312" s="3" t="s">
        <v>390</v>
      </c>
      <c r="D312" s="3" t="s">
        <v>391</v>
      </c>
      <c r="E312" s="3" t="s">
        <v>260</v>
      </c>
      <c r="F312" s="4" t="s">
        <v>26</v>
      </c>
      <c r="G312" s="22">
        <v>998531</v>
      </c>
      <c r="H312" s="23">
        <v>0.18</v>
      </c>
      <c r="I312" s="9">
        <v>1269</v>
      </c>
      <c r="J312" s="9">
        <f t="shared" si="22"/>
        <v>114.21</v>
      </c>
      <c r="K312" s="9">
        <f t="shared" si="23"/>
        <v>114.21</v>
      </c>
      <c r="L312" s="41"/>
      <c r="M312" s="37">
        <f>Table432[[#This Row],[Taxable Amount]]+Table432[[#This Row],[SGST]]+Table432[[#This Row],[CGST]]</f>
        <v>1497.42</v>
      </c>
      <c r="N312" s="71">
        <f>Table432[[#This Row],[Taxable Amount]]*1%</f>
        <v>12.69</v>
      </c>
      <c r="O312" s="157">
        <v>0</v>
      </c>
      <c r="P312" s="148"/>
      <c r="Q312" s="59">
        <v>45731</v>
      </c>
      <c r="R312" s="193" t="s">
        <v>385</v>
      </c>
      <c r="S312" s="138">
        <f>Table432[[#This Row],[Invoice Amount]]-Table432[[#This Row],[TDS]]-Table432[[#This Row],[RTN]]-Table432[[#This Row],[RECIVED AMOUNT]]</f>
        <v>1484.73</v>
      </c>
      <c r="T312" s="55"/>
      <c r="U312" s="3"/>
      <c r="V312" s="41">
        <f>Table432[[#This Row],[BALANCE]]-Table432[[#This Row],[RECIVED AMOUNT2]]</f>
        <v>1484.73</v>
      </c>
      <c r="W312" s="50"/>
      <c r="X312" s="50"/>
    </row>
    <row r="313" spans="1:24" ht="19.95" customHeight="1">
      <c r="A313" s="68">
        <v>45657</v>
      </c>
      <c r="B313" s="3" t="s">
        <v>505</v>
      </c>
      <c r="C313" s="3" t="s">
        <v>390</v>
      </c>
      <c r="D313" s="3" t="s">
        <v>391</v>
      </c>
      <c r="E313" s="3" t="s">
        <v>260</v>
      </c>
      <c r="F313" s="4" t="s">
        <v>26</v>
      </c>
      <c r="G313" s="22">
        <v>998531</v>
      </c>
      <c r="H313" s="23">
        <v>0.18</v>
      </c>
      <c r="I313" s="9">
        <v>1720.5</v>
      </c>
      <c r="J313" s="9">
        <f t="shared" si="22"/>
        <v>154.845</v>
      </c>
      <c r="K313" s="9">
        <f t="shared" si="23"/>
        <v>154.845</v>
      </c>
      <c r="L313" s="41"/>
      <c r="M313" s="37">
        <f>Table432[[#This Row],[Taxable Amount]]+Table432[[#This Row],[SGST]]+Table432[[#This Row],[CGST]]</f>
        <v>2030.19</v>
      </c>
      <c r="N313" s="71">
        <f>Table432[[#This Row],[Taxable Amount]]*1%</f>
        <v>17.205000000000002</v>
      </c>
      <c r="O313" s="157">
        <v>0</v>
      </c>
      <c r="P313" s="148">
        <v>16186</v>
      </c>
      <c r="Q313" s="59">
        <v>45731</v>
      </c>
      <c r="R313" s="193" t="s">
        <v>385</v>
      </c>
      <c r="S313" s="138">
        <f>Table432[[#This Row],[Invoice Amount]]-Table432[[#This Row],[TDS]]-Table432[[#This Row],[RTN]]-Table432[[#This Row],[RECIVED AMOUNT]]</f>
        <v>-14173.014999999999</v>
      </c>
      <c r="T313" s="55"/>
      <c r="U313" s="3"/>
      <c r="V313" s="41">
        <f>Table432[[#This Row],[BALANCE]]-Table432[[#This Row],[RECIVED AMOUNT2]]</f>
        <v>-14173.014999999999</v>
      </c>
      <c r="W313" s="50"/>
      <c r="X313" s="50"/>
    </row>
    <row r="314" spans="1:24" ht="19.95" customHeight="1">
      <c r="A314" s="68">
        <v>45657</v>
      </c>
      <c r="B314" s="3" t="s">
        <v>506</v>
      </c>
      <c r="C314" s="3" t="s">
        <v>42</v>
      </c>
      <c r="D314" s="3" t="s">
        <v>43</v>
      </c>
      <c r="E314" s="3" t="s">
        <v>44</v>
      </c>
      <c r="F314" s="4" t="s">
        <v>26</v>
      </c>
      <c r="G314" s="22">
        <v>998531</v>
      </c>
      <c r="H314" s="23">
        <v>0.18</v>
      </c>
      <c r="I314" s="9">
        <v>24445</v>
      </c>
      <c r="J314" s="9">
        <f t="shared" si="22"/>
        <v>2200.0500000000002</v>
      </c>
      <c r="K314" s="9">
        <f t="shared" si="23"/>
        <v>2200.0500000000002</v>
      </c>
      <c r="L314" s="41"/>
      <c r="M314" s="37">
        <f>Table432[[#This Row],[Taxable Amount]]+Table432[[#This Row],[SGST]]+Table432[[#This Row],[CGST]]</f>
        <v>28845.1</v>
      </c>
      <c r="N314" s="71">
        <f>Table432[[#This Row],[Taxable Amount]]*1%</f>
        <v>244.45000000000002</v>
      </c>
      <c r="O314" s="157">
        <v>611</v>
      </c>
      <c r="P314" s="148">
        <v>34981</v>
      </c>
      <c r="Q314" s="59">
        <v>45653</v>
      </c>
      <c r="R314" s="193" t="s">
        <v>385</v>
      </c>
      <c r="S314" s="138">
        <f>Table432[[#This Row],[Invoice Amount]]-Table432[[#This Row],[TDS]]-Table432[[#This Row],[RTN]]-Table432[[#This Row],[RECIVED AMOUNT]]</f>
        <v>-6991.3500000000022</v>
      </c>
      <c r="T314" s="55"/>
      <c r="U314" s="3"/>
      <c r="V314" s="41">
        <f>Table432[[#This Row],[BALANCE]]-Table432[[#This Row],[RECIVED AMOUNT2]]</f>
        <v>-6991.3500000000022</v>
      </c>
      <c r="W314" s="50"/>
      <c r="X314" s="50"/>
    </row>
    <row r="315" spans="1:24" ht="19.95" customHeight="1">
      <c r="A315" s="68">
        <v>45657</v>
      </c>
      <c r="B315" s="3" t="s">
        <v>507</v>
      </c>
      <c r="C315" s="3" t="s">
        <v>42</v>
      </c>
      <c r="D315" s="3" t="s">
        <v>43</v>
      </c>
      <c r="E315" s="3" t="s">
        <v>163</v>
      </c>
      <c r="F315" s="4" t="s">
        <v>26</v>
      </c>
      <c r="G315" s="22">
        <v>998531</v>
      </c>
      <c r="H315" s="23">
        <v>0.18</v>
      </c>
      <c r="I315" s="9">
        <v>10200</v>
      </c>
      <c r="J315" s="9">
        <f t="shared" si="22"/>
        <v>918</v>
      </c>
      <c r="K315" s="9">
        <f t="shared" si="23"/>
        <v>918</v>
      </c>
      <c r="L315" s="41"/>
      <c r="M315" s="37">
        <f>Table432[[#This Row],[Taxable Amount]]+Table432[[#This Row],[SGST]]+Table432[[#This Row],[CGST]]</f>
        <v>12036</v>
      </c>
      <c r="N315" s="71">
        <f>Table432[[#This Row],[Taxable Amount]]*1%</f>
        <v>102</v>
      </c>
      <c r="O315" s="157">
        <v>255</v>
      </c>
      <c r="P315" s="148"/>
      <c r="Q315" s="59"/>
      <c r="R315" s="193" t="s">
        <v>385</v>
      </c>
      <c r="S315" s="138">
        <f>Table432[[#This Row],[Invoice Amount]]-Table432[[#This Row],[TDS]]-Table432[[#This Row],[RTN]]-Table432[[#This Row],[RECIVED AMOUNT]]</f>
        <v>11679</v>
      </c>
      <c r="T315" s="55"/>
      <c r="U315" s="3"/>
      <c r="V315" s="41">
        <f>Table432[[#This Row],[BALANCE]]-Table432[[#This Row],[RECIVED AMOUNT2]]</f>
        <v>11679</v>
      </c>
      <c r="W315" s="50"/>
      <c r="X315" s="50"/>
    </row>
    <row r="316" spans="1:24" ht="19.95" customHeight="1">
      <c r="A316" s="68">
        <v>45666</v>
      </c>
      <c r="B316" s="3" t="s">
        <v>508</v>
      </c>
      <c r="C316" s="3" t="s">
        <v>173</v>
      </c>
      <c r="D316" s="3" t="s">
        <v>174</v>
      </c>
      <c r="E316" s="3" t="s">
        <v>62</v>
      </c>
      <c r="F316" s="4" t="s">
        <v>37</v>
      </c>
      <c r="G316" s="22">
        <v>998531</v>
      </c>
      <c r="H316" s="23">
        <v>0.18</v>
      </c>
      <c r="I316" s="9">
        <v>3312</v>
      </c>
      <c r="J316" s="9">
        <f t="shared" si="22"/>
        <v>298.08</v>
      </c>
      <c r="K316" s="9">
        <f t="shared" si="23"/>
        <v>298.08</v>
      </c>
      <c r="L316" s="41"/>
      <c r="M316" s="37">
        <f>Table432[[#This Row],[Taxable Amount]]+Table432[[#This Row],[SGST]]+Table432[[#This Row],[CGST]]</f>
        <v>3908.16</v>
      </c>
      <c r="N316" s="71">
        <f>Table432[[#This Row],[Taxable Amount]]*1%</f>
        <v>33.119999999999997</v>
      </c>
      <c r="O316" s="157">
        <v>0</v>
      </c>
      <c r="P316" s="148"/>
      <c r="Q316" s="59"/>
      <c r="R316" s="117" t="s">
        <v>492</v>
      </c>
      <c r="S316" s="138">
        <f>Table432[[#This Row],[Invoice Amount]]-Table432[[#This Row],[TDS]]-Table432[[#This Row],[RTN]]-Table432[[#This Row],[RECIVED AMOUNT]]</f>
        <v>3875.04</v>
      </c>
      <c r="T316" s="55"/>
      <c r="U316" s="3"/>
      <c r="V316" s="41">
        <f>Table432[[#This Row],[BALANCE]]-Table432[[#This Row],[RECIVED AMOUNT2]]</f>
        <v>3875.04</v>
      </c>
      <c r="W316" s="50"/>
      <c r="X316" s="50"/>
    </row>
    <row r="317" spans="1:24" ht="19.95" customHeight="1">
      <c r="A317" s="68">
        <v>45666</v>
      </c>
      <c r="B317" s="3" t="s">
        <v>509</v>
      </c>
      <c r="C317" s="21" t="s">
        <v>173</v>
      </c>
      <c r="D317" s="3" t="s">
        <v>174</v>
      </c>
      <c r="E317" s="3" t="s">
        <v>25</v>
      </c>
      <c r="F317" s="4" t="s">
        <v>37</v>
      </c>
      <c r="G317" s="22">
        <v>998531</v>
      </c>
      <c r="H317" s="23">
        <v>0.18</v>
      </c>
      <c r="I317" s="9">
        <v>3600</v>
      </c>
      <c r="J317" s="9">
        <f t="shared" si="22"/>
        <v>324</v>
      </c>
      <c r="K317" s="9">
        <f t="shared" si="23"/>
        <v>324</v>
      </c>
      <c r="L317" s="41"/>
      <c r="M317" s="37">
        <f>Table432[[#This Row],[Taxable Amount]]+Table432[[#This Row],[SGST]]+Table432[[#This Row],[CGST]]</f>
        <v>4248</v>
      </c>
      <c r="N317" s="71">
        <f>Table432[[#This Row],[Taxable Amount]]*1%</f>
        <v>36</v>
      </c>
      <c r="O317" s="157">
        <v>0</v>
      </c>
      <c r="P317" s="148"/>
      <c r="Q317" s="59"/>
      <c r="R317" s="117" t="s">
        <v>492</v>
      </c>
      <c r="S317" s="138">
        <f>Table432[[#This Row],[Invoice Amount]]-Table432[[#This Row],[TDS]]-Table432[[#This Row],[RTN]]-Table432[[#This Row],[RECIVED AMOUNT]]</f>
        <v>4212</v>
      </c>
      <c r="T317" s="55"/>
      <c r="U317" s="3"/>
      <c r="V317" s="41">
        <f>Table432[[#This Row],[BALANCE]]-Table432[[#This Row],[RECIVED AMOUNT2]]</f>
        <v>4212</v>
      </c>
      <c r="W317" s="50"/>
      <c r="X317" s="50"/>
    </row>
    <row r="318" spans="1:24" ht="19.95" customHeight="1">
      <c r="A318" s="68">
        <v>45668</v>
      </c>
      <c r="B318" s="3" t="s">
        <v>510</v>
      </c>
      <c r="C318" s="21" t="s">
        <v>511</v>
      </c>
      <c r="D318" s="3" t="s">
        <v>512</v>
      </c>
      <c r="E318" s="3" t="s">
        <v>513</v>
      </c>
      <c r="F318" s="4" t="s">
        <v>26</v>
      </c>
      <c r="G318" s="22">
        <v>998531</v>
      </c>
      <c r="H318" s="23">
        <v>0.18</v>
      </c>
      <c r="I318" s="9">
        <v>3200</v>
      </c>
      <c r="J318" s="9">
        <f t="shared" si="22"/>
        <v>288</v>
      </c>
      <c r="K318" s="9">
        <f t="shared" si="23"/>
        <v>288</v>
      </c>
      <c r="L318" s="41"/>
      <c r="M318" s="37">
        <f>Table432[[#This Row],[Taxable Amount]]+Table432[[#This Row],[SGST]]+Table432[[#This Row],[CGST]]</f>
        <v>3776</v>
      </c>
      <c r="N318" s="71"/>
      <c r="O318" s="157">
        <v>0</v>
      </c>
      <c r="P318" s="148">
        <v>3776</v>
      </c>
      <c r="Q318" s="57"/>
      <c r="R318" s="117" t="s">
        <v>431</v>
      </c>
      <c r="S318" s="138">
        <f>Table432[[#This Row],[Invoice Amount]]-Table432[[#This Row],[TDS]]-Table432[[#This Row],[RTN]]-Table432[[#This Row],[RECIVED AMOUNT]]</f>
        <v>0</v>
      </c>
      <c r="T318" s="55"/>
      <c r="U318" s="3"/>
      <c r="V318" s="41">
        <f>Table432[[#This Row],[BALANCE]]-Table432[[#This Row],[RECIVED AMOUNT2]]</f>
        <v>0</v>
      </c>
      <c r="W318" s="50"/>
      <c r="X318" s="50"/>
    </row>
    <row r="319" spans="1:24" ht="19.95" customHeight="1">
      <c r="A319" s="86">
        <v>45674</v>
      </c>
      <c r="B319" s="7" t="s">
        <v>514</v>
      </c>
      <c r="C319" s="3" t="s">
        <v>963</v>
      </c>
      <c r="D319" s="7" t="s">
        <v>143</v>
      </c>
      <c r="E319" s="7" t="s">
        <v>515</v>
      </c>
      <c r="F319" s="5" t="s">
        <v>37</v>
      </c>
      <c r="G319" s="85">
        <v>998531</v>
      </c>
      <c r="H319" s="23">
        <v>0.18</v>
      </c>
      <c r="I319" s="69">
        <v>7140</v>
      </c>
      <c r="J319" s="69">
        <f t="shared" si="22"/>
        <v>642.6</v>
      </c>
      <c r="K319" s="69">
        <f t="shared" si="23"/>
        <v>642.6</v>
      </c>
      <c r="L319" s="70"/>
      <c r="M319" s="94">
        <f>Table432[[#This Row],[Taxable Amount]]+Table432[[#This Row],[SGST]]+Table432[[#This Row],[CGST]]</f>
        <v>8425.2000000000007</v>
      </c>
      <c r="N319" s="155">
        <f>Table432[[#This Row],[Taxable Amount]]*1%</f>
        <v>71.400000000000006</v>
      </c>
      <c r="O319" s="158">
        <v>178</v>
      </c>
      <c r="P319" s="156"/>
      <c r="Q319" s="102"/>
      <c r="R319" s="116" t="s">
        <v>413</v>
      </c>
      <c r="S319" s="138">
        <f>Table432[[#This Row],[Invoice Amount]]-Table432[[#This Row],[TDS]]-Table432[[#This Row],[RTN]]-Table432[[#This Row],[RECIVED AMOUNT]]</f>
        <v>8175.8000000000011</v>
      </c>
      <c r="T319" s="99"/>
      <c r="U319" s="7"/>
      <c r="V319" s="41">
        <f>Table432[[#This Row],[BALANCE]]-Table432[[#This Row],[RECIVED AMOUNT2]]</f>
        <v>8175.8000000000011</v>
      </c>
      <c r="W319" s="50"/>
      <c r="X319" s="50"/>
    </row>
    <row r="320" spans="1:24" s="10" customFormat="1" ht="19.95" customHeight="1">
      <c r="A320" s="68">
        <v>45678</v>
      </c>
      <c r="B320" s="3" t="s">
        <v>516</v>
      </c>
      <c r="C320" s="3" t="s">
        <v>258</v>
      </c>
      <c r="D320" s="3" t="s">
        <v>259</v>
      </c>
      <c r="E320" s="3" t="s">
        <v>260</v>
      </c>
      <c r="F320" s="4" t="s">
        <v>26</v>
      </c>
      <c r="G320" s="22">
        <v>998531</v>
      </c>
      <c r="H320" s="23">
        <v>0.18</v>
      </c>
      <c r="I320" s="9">
        <v>18050</v>
      </c>
      <c r="J320" s="9">
        <f t="shared" si="22"/>
        <v>1624.5</v>
      </c>
      <c r="K320" s="9">
        <f t="shared" si="23"/>
        <v>1624.5</v>
      </c>
      <c r="L320" s="41"/>
      <c r="M320" s="37">
        <f>Table432[[#This Row],[Taxable Amount]]+Table432[[#This Row],[SGST]]+Table432[[#This Row],[CGST]]</f>
        <v>21299</v>
      </c>
      <c r="N320" s="71">
        <f>Table432[[#This Row],[Taxable Amount]]*1%</f>
        <v>180.5</v>
      </c>
      <c r="O320" s="157">
        <v>0</v>
      </c>
      <c r="P320" s="148">
        <v>21118</v>
      </c>
      <c r="Q320" s="59">
        <v>45736</v>
      </c>
      <c r="R320" s="117" t="s">
        <v>431</v>
      </c>
      <c r="S320" s="138">
        <f>Table432[[#This Row],[Invoice Amount]]-Table432[[#This Row],[TDS]]-Table432[[#This Row],[RTN]]-Table432[[#This Row],[RECIVED AMOUNT]]</f>
        <v>0.5</v>
      </c>
      <c r="T320" s="55"/>
      <c r="U320" s="3"/>
      <c r="V320" s="41">
        <f>Table432[[#This Row],[BALANCE]]-Table432[[#This Row],[RECIVED AMOUNT2]]</f>
        <v>0.5</v>
      </c>
      <c r="W320" s="211"/>
      <c r="X320" s="211"/>
    </row>
    <row r="321" spans="1:121" ht="19.95" customHeight="1">
      <c r="A321" s="68">
        <v>45678</v>
      </c>
      <c r="B321" s="3" t="s">
        <v>517</v>
      </c>
      <c r="C321" s="3" t="s">
        <v>518</v>
      </c>
      <c r="D321" s="3" t="s">
        <v>519</v>
      </c>
      <c r="E321" s="3" t="s">
        <v>520</v>
      </c>
      <c r="F321" s="4" t="s">
        <v>37</v>
      </c>
      <c r="G321" s="22">
        <v>998531</v>
      </c>
      <c r="H321" s="23">
        <v>0.18</v>
      </c>
      <c r="I321" s="9">
        <v>46440</v>
      </c>
      <c r="J321" s="9">
        <f t="shared" si="22"/>
        <v>4179.6000000000004</v>
      </c>
      <c r="K321" s="9">
        <f t="shared" si="23"/>
        <v>4179.6000000000004</v>
      </c>
      <c r="L321" s="41"/>
      <c r="M321" s="37">
        <f>Table432[[#This Row],[Taxable Amount]]+Table432[[#This Row],[SGST]]+Table432[[#This Row],[CGST]]</f>
        <v>54799.199999999997</v>
      </c>
      <c r="N321" s="71">
        <f>Table432[[#This Row],[Taxable Amount]]*1%</f>
        <v>464.40000000000003</v>
      </c>
      <c r="O321" s="157">
        <v>1161</v>
      </c>
      <c r="P321" s="148">
        <v>50994</v>
      </c>
      <c r="Q321" s="59">
        <v>45695</v>
      </c>
      <c r="R321" s="117" t="s">
        <v>431</v>
      </c>
      <c r="S321" s="138">
        <f>Table432[[#This Row],[Invoice Amount]]-Table432[[#This Row],[TDS]]-Table432[[#This Row],[RTN]]-Table432[[#This Row],[RECIVED AMOUNT]]</f>
        <v>2179.7999999999956</v>
      </c>
      <c r="T321" s="55"/>
      <c r="U321" s="3"/>
      <c r="V321" s="41">
        <f>Table432[[#This Row],[BALANCE]]-Table432[[#This Row],[RECIVED AMOUNT2]]</f>
        <v>2179.7999999999956</v>
      </c>
      <c r="W321" s="50"/>
      <c r="X321" s="50"/>
    </row>
    <row r="322" spans="1:121" ht="19.95" customHeight="1">
      <c r="A322" s="68">
        <v>45678</v>
      </c>
      <c r="B322" s="3" t="s">
        <v>521</v>
      </c>
      <c r="C322" s="3" t="s">
        <v>208</v>
      </c>
      <c r="D322" s="3" t="s">
        <v>209</v>
      </c>
      <c r="E322" s="3" t="s">
        <v>210</v>
      </c>
      <c r="F322" s="4" t="s">
        <v>37</v>
      </c>
      <c r="G322" s="22">
        <v>998531</v>
      </c>
      <c r="H322" s="23">
        <v>0.18</v>
      </c>
      <c r="I322" s="9">
        <v>5575</v>
      </c>
      <c r="J322" s="9">
        <v>0</v>
      </c>
      <c r="K322" s="9">
        <v>0</v>
      </c>
      <c r="L322" s="41">
        <f>Table432[[#This Row],[Taxable Amount]]*18%</f>
        <v>1003.5</v>
      </c>
      <c r="M322" s="37">
        <f>Table432[[#This Row],[Taxable Amount]]+Table432[[#This Row],[IGST]]</f>
        <v>6578.5</v>
      </c>
      <c r="N322" s="71">
        <f>Table432[[#This Row],[Taxable Amount]]*1%</f>
        <v>55.75</v>
      </c>
      <c r="O322" s="157">
        <v>139</v>
      </c>
      <c r="P322" s="148">
        <v>6523</v>
      </c>
      <c r="Q322" s="59">
        <v>45946</v>
      </c>
      <c r="R322" s="117" t="s">
        <v>492</v>
      </c>
      <c r="S322" s="138">
        <f>Table432[[#This Row],[Invoice Amount]]-Table432[[#This Row],[TDS]]-Table432[[#This Row],[RTN]]-Table432[[#This Row],[RECIVED AMOUNT]]</f>
        <v>-139.25</v>
      </c>
      <c r="T322" s="55"/>
      <c r="U322" s="3"/>
      <c r="V322" s="41">
        <f>Table432[[#This Row],[BALANCE]]-Table432[[#This Row],[RECIVED AMOUNT2]]</f>
        <v>-139.25</v>
      </c>
      <c r="W322" s="50"/>
      <c r="X322" s="50"/>
    </row>
    <row r="323" spans="1:121" ht="19.95" customHeight="1">
      <c r="A323" s="78">
        <v>45684</v>
      </c>
      <c r="B323" s="31" t="s">
        <v>522</v>
      </c>
      <c r="C323" s="31" t="s">
        <v>523</v>
      </c>
      <c r="D323" s="31"/>
      <c r="E323" s="31" t="s">
        <v>524</v>
      </c>
      <c r="F323" s="33" t="s">
        <v>26</v>
      </c>
      <c r="G323" s="34">
        <v>998531</v>
      </c>
      <c r="H323" s="23">
        <v>0.18</v>
      </c>
      <c r="I323" s="42">
        <v>6300</v>
      </c>
      <c r="J323" s="42">
        <f t="shared" ref="J323:J337" si="24">I323*9/100</f>
        <v>567</v>
      </c>
      <c r="K323" s="42">
        <f t="shared" ref="K323:K386" si="25">I323*9/100</f>
        <v>567</v>
      </c>
      <c r="L323" s="43"/>
      <c r="M323" s="44">
        <f>Table432[[#This Row],[Taxable Amount]]+Table432[[#This Row],[SGST]]+Table432[[#This Row],[CGST]]</f>
        <v>7434</v>
      </c>
      <c r="N323" s="142"/>
      <c r="O323" s="152">
        <v>0</v>
      </c>
      <c r="P323" s="154"/>
      <c r="Q323" s="73"/>
      <c r="R323" s="115" t="s">
        <v>243</v>
      </c>
      <c r="S323" s="138">
        <f>Table432[[#This Row],[Invoice Amount]]-Table432[[#This Row],[TDS]]-Table432[[#This Row],[RTN]]-Table432[[#This Row],[RECIVED AMOUNT]]</f>
        <v>7434</v>
      </c>
      <c r="T323" s="63"/>
      <c r="U323" s="31"/>
      <c r="V323" s="41">
        <f>Table432[[#This Row],[BALANCE]]-Table432[[#This Row],[RECIVED AMOUNT2]]</f>
        <v>7434</v>
      </c>
      <c r="W323" s="50"/>
      <c r="X323" s="50"/>
    </row>
    <row r="324" spans="1:121" s="13" customFormat="1" ht="19.95" customHeight="1">
      <c r="A324" s="78">
        <v>45684</v>
      </c>
      <c r="B324" s="31" t="s">
        <v>525</v>
      </c>
      <c r="C324" s="31" t="s">
        <v>523</v>
      </c>
      <c r="D324" s="31"/>
      <c r="E324" s="31" t="s">
        <v>236</v>
      </c>
      <c r="F324" s="33" t="s">
        <v>26</v>
      </c>
      <c r="G324" s="34">
        <v>998531</v>
      </c>
      <c r="H324" s="23">
        <v>0.18</v>
      </c>
      <c r="I324" s="42">
        <v>1500</v>
      </c>
      <c r="J324" s="42">
        <f t="shared" si="24"/>
        <v>135</v>
      </c>
      <c r="K324" s="42">
        <f t="shared" si="25"/>
        <v>135</v>
      </c>
      <c r="L324" s="43"/>
      <c r="M324" s="44">
        <f>Table432[[#This Row],[Taxable Amount]]+Table432[[#This Row],[SGST]]+Table432[[#This Row],[CGST]]</f>
        <v>1770</v>
      </c>
      <c r="N324" s="142"/>
      <c r="O324" s="152">
        <v>0</v>
      </c>
      <c r="P324" s="154"/>
      <c r="Q324" s="73"/>
      <c r="R324" s="115" t="s">
        <v>243</v>
      </c>
      <c r="S324" s="138">
        <f>Table432[[#This Row],[Invoice Amount]]-Table432[[#This Row],[TDS]]-Table432[[#This Row],[RTN]]-Table432[[#This Row],[RECIVED AMOUNT]]</f>
        <v>1770</v>
      </c>
      <c r="T324" s="63"/>
      <c r="U324" s="31"/>
      <c r="V324" s="41">
        <f>Table432[[#This Row],[BALANCE]]-Table432[[#This Row],[RECIVED AMOUNT2]]</f>
        <v>1770</v>
      </c>
      <c r="W324" s="208"/>
      <c r="X324" s="208"/>
    </row>
    <row r="325" spans="1:121" s="448" customFormat="1" ht="19.95" customHeight="1">
      <c r="A325" s="432">
        <v>45687</v>
      </c>
      <c r="B325" s="433" t="s">
        <v>526</v>
      </c>
      <c r="C325" s="433" t="s">
        <v>157</v>
      </c>
      <c r="D325" s="433" t="s">
        <v>158</v>
      </c>
      <c r="E325" s="433" t="s">
        <v>67</v>
      </c>
      <c r="F325" s="434" t="s">
        <v>26</v>
      </c>
      <c r="G325" s="435">
        <v>998531</v>
      </c>
      <c r="H325" s="436">
        <v>0.18</v>
      </c>
      <c r="I325" s="437">
        <v>9720</v>
      </c>
      <c r="J325" s="437">
        <f t="shared" si="24"/>
        <v>874.8</v>
      </c>
      <c r="K325" s="437">
        <f t="shared" si="25"/>
        <v>874.8</v>
      </c>
      <c r="L325" s="438"/>
      <c r="M325" s="439">
        <f>Table432[[#This Row],[Taxable Amount]]+Table432[[#This Row],[SGST]]+Table432[[#This Row],[CGST]]</f>
        <v>11469.599999999999</v>
      </c>
      <c r="N325" s="440">
        <f>Table432[[#This Row],[Taxable Amount]]*1%</f>
        <v>97.2</v>
      </c>
      <c r="O325" s="441">
        <v>0</v>
      </c>
      <c r="P325" s="442">
        <v>84494</v>
      </c>
      <c r="Q325" s="443">
        <v>45751</v>
      </c>
      <c r="R325" s="449" t="s">
        <v>492</v>
      </c>
      <c r="S325" s="445">
        <f>Table432[[#This Row],[Invoice Amount]]-Table432[[#This Row],[TDS]]-Table432[[#This Row],[RTN]]-Table432[[#This Row],[RECIVED AMOUNT]]</f>
        <v>-73121.600000000006</v>
      </c>
      <c r="T325" s="446">
        <v>1750</v>
      </c>
      <c r="U325" s="450">
        <v>45766</v>
      </c>
      <c r="V325" s="438">
        <f>Table432[[#This Row],[BALANCE]]-Table432[[#This Row],[RECIVED AMOUNT2]]</f>
        <v>-74871.600000000006</v>
      </c>
      <c r="W325" s="447"/>
      <c r="X325" s="447"/>
    </row>
    <row r="326" spans="1:121" s="11" customFormat="1" ht="19.95" customHeight="1">
      <c r="A326" s="2">
        <v>45687</v>
      </c>
      <c r="B326" s="3" t="s">
        <v>527</v>
      </c>
      <c r="C326" s="3" t="s">
        <v>23</v>
      </c>
      <c r="D326" s="3" t="s">
        <v>24</v>
      </c>
      <c r="E326" s="3" t="s">
        <v>25</v>
      </c>
      <c r="F326" s="4" t="s">
        <v>26</v>
      </c>
      <c r="G326" s="22">
        <v>998531</v>
      </c>
      <c r="H326" s="23">
        <v>0.18</v>
      </c>
      <c r="I326" s="9">
        <v>5775</v>
      </c>
      <c r="J326" s="9">
        <f t="shared" si="24"/>
        <v>519.75</v>
      </c>
      <c r="K326" s="9">
        <f t="shared" si="25"/>
        <v>519.75</v>
      </c>
      <c r="L326" s="9"/>
      <c r="M326" s="37">
        <f>Table432[[#This Row],[Taxable Amount]]+Table432[[#This Row],[SGST]]+Table432[[#This Row],[CGST]]</f>
        <v>6814.5</v>
      </c>
      <c r="N326" s="71">
        <f>Table432[[#This Row],[Taxable Amount]]*1%</f>
        <v>57.75</v>
      </c>
      <c r="O326" s="150">
        <v>0</v>
      </c>
      <c r="P326" s="148"/>
      <c r="Q326" s="59">
        <v>45785</v>
      </c>
      <c r="R326" s="117" t="s">
        <v>492</v>
      </c>
      <c r="S326" s="138">
        <f>Table432[[#This Row],[Invoice Amount]]-Table432[[#This Row],[TDS]]-Table432[[#This Row],[RTN]]-Table432[[#This Row],[RECIVED AMOUNT]]</f>
        <v>6756.75</v>
      </c>
      <c r="T326" s="55"/>
      <c r="U326" s="3"/>
      <c r="V326" s="41">
        <f>Table432[[#This Row],[BALANCE]]-Table432[[#This Row],[RECIVED AMOUNT2]]</f>
        <v>6756.75</v>
      </c>
      <c r="W326" s="211"/>
      <c r="X326" s="2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</row>
    <row r="327" spans="1:121" ht="19.95" customHeight="1">
      <c r="A327" s="79">
        <v>45688</v>
      </c>
      <c r="B327" s="21" t="s">
        <v>528</v>
      </c>
      <c r="C327" s="21" t="s">
        <v>116</v>
      </c>
      <c r="D327" s="21" t="s">
        <v>117</v>
      </c>
      <c r="E327" s="21" t="s">
        <v>59</v>
      </c>
      <c r="F327" s="22" t="s">
        <v>26</v>
      </c>
      <c r="G327" s="22">
        <v>998531</v>
      </c>
      <c r="H327" s="23">
        <v>0.18</v>
      </c>
      <c r="I327" s="36">
        <v>17300</v>
      </c>
      <c r="J327" s="36">
        <f t="shared" si="24"/>
        <v>1557</v>
      </c>
      <c r="K327" s="36">
        <f t="shared" si="25"/>
        <v>1557</v>
      </c>
      <c r="L327" s="37"/>
      <c r="M327" s="37">
        <f>Table432[[#This Row],[Taxable Amount]]+Table432[[#This Row],[SGST]]+Table432[[#This Row],[CGST]]</f>
        <v>20414</v>
      </c>
      <c r="N327" s="71">
        <f>Table432[[#This Row],[Taxable Amount]]*1%</f>
        <v>173</v>
      </c>
      <c r="O327" s="173">
        <v>0</v>
      </c>
      <c r="P327" s="148">
        <v>20241</v>
      </c>
      <c r="Q327" s="59">
        <v>45708</v>
      </c>
      <c r="R327" s="117" t="s">
        <v>431</v>
      </c>
      <c r="S327" s="138">
        <f>Table432[[#This Row],[Invoice Amount]]-Table432[[#This Row],[TDS]]-Table432[[#This Row],[RTN]]-Table432[[#This Row],[RECIVED AMOUNT]]</f>
        <v>0</v>
      </c>
      <c r="T327" s="49"/>
      <c r="U327" s="3"/>
      <c r="V327" s="41">
        <f>Table432[[#This Row],[BALANCE]]-Table432[[#This Row],[RECIVED AMOUNT2]]</f>
        <v>0</v>
      </c>
      <c r="W327" s="50"/>
      <c r="X327" s="50"/>
    </row>
    <row r="328" spans="1:121" ht="19.95" customHeight="1">
      <c r="A328" s="68">
        <v>45688</v>
      </c>
      <c r="B328" s="3" t="s">
        <v>529</v>
      </c>
      <c r="C328" s="3" t="s">
        <v>390</v>
      </c>
      <c r="D328" s="3" t="s">
        <v>391</v>
      </c>
      <c r="E328" s="3" t="s">
        <v>260</v>
      </c>
      <c r="F328" s="4" t="s">
        <v>26</v>
      </c>
      <c r="G328" s="22">
        <v>998531</v>
      </c>
      <c r="H328" s="23">
        <v>0.18</v>
      </c>
      <c r="I328" s="9">
        <v>1536.75</v>
      </c>
      <c r="J328" s="9">
        <f t="shared" si="24"/>
        <v>138.3075</v>
      </c>
      <c r="K328" s="9">
        <f t="shared" si="25"/>
        <v>138.3075</v>
      </c>
      <c r="L328" s="41"/>
      <c r="M328" s="37">
        <f>Table432[[#This Row],[Taxable Amount]]+Table432[[#This Row],[SGST]]+Table432[[#This Row],[CGST]]</f>
        <v>1813.3649999999998</v>
      </c>
      <c r="N328" s="71">
        <f>Table432[[#This Row],[Taxable Amount]]*1%</f>
        <v>15.3675</v>
      </c>
      <c r="O328" s="157">
        <v>0</v>
      </c>
      <c r="P328" s="148"/>
      <c r="Q328" s="59">
        <v>45751</v>
      </c>
      <c r="R328" s="117" t="s">
        <v>431</v>
      </c>
      <c r="S328" s="138">
        <f>Table432[[#This Row],[Invoice Amount]]-Table432[[#This Row],[TDS]]-Table432[[#This Row],[RTN]]-Table432[[#This Row],[RECIVED AMOUNT]]</f>
        <v>1797.9974999999997</v>
      </c>
      <c r="T328" s="55"/>
      <c r="U328" s="3"/>
      <c r="V328" s="41">
        <f>Table432[[#This Row],[BALANCE]]-Table432[[#This Row],[RECIVED AMOUNT2]]</f>
        <v>1797.9974999999997</v>
      </c>
      <c r="W328" s="50"/>
      <c r="X328" s="50"/>
    </row>
    <row r="329" spans="1:121" ht="19.95" customHeight="1">
      <c r="A329" s="68">
        <v>45688</v>
      </c>
      <c r="B329" s="3" t="s">
        <v>530</v>
      </c>
      <c r="C329" s="3" t="s">
        <v>390</v>
      </c>
      <c r="D329" s="3" t="s">
        <v>391</v>
      </c>
      <c r="E329" s="3" t="s">
        <v>260</v>
      </c>
      <c r="F329" s="4" t="s">
        <v>26</v>
      </c>
      <c r="G329" s="22">
        <v>998531</v>
      </c>
      <c r="H329" s="23">
        <v>0.18</v>
      </c>
      <c r="I329" s="9">
        <v>1242.75</v>
      </c>
      <c r="J329" s="9">
        <f t="shared" si="24"/>
        <v>111.8475</v>
      </c>
      <c r="K329" s="9">
        <f t="shared" si="25"/>
        <v>111.8475</v>
      </c>
      <c r="L329" s="41"/>
      <c r="M329" s="37">
        <f>Table432[[#This Row],[Taxable Amount]]+Table432[[#This Row],[SGST]]+Table432[[#This Row],[CGST]]</f>
        <v>1466.4450000000002</v>
      </c>
      <c r="N329" s="71">
        <f>Table432[[#This Row],[Taxable Amount]]*1%</f>
        <v>12.4275</v>
      </c>
      <c r="O329" s="157">
        <v>0</v>
      </c>
      <c r="P329" s="148"/>
      <c r="Q329" s="59">
        <v>45751</v>
      </c>
      <c r="R329" s="117" t="s">
        <v>431</v>
      </c>
      <c r="S329" s="138">
        <f>Table432[[#This Row],[Invoice Amount]]-Table432[[#This Row],[TDS]]-Table432[[#This Row],[RTN]]-Table432[[#This Row],[RECIVED AMOUNT]]</f>
        <v>1454.0175000000002</v>
      </c>
      <c r="T329" s="55"/>
      <c r="U329" s="3"/>
      <c r="V329" s="41">
        <f>Table432[[#This Row],[BALANCE]]-Table432[[#This Row],[RECIVED AMOUNT2]]</f>
        <v>1454.0175000000002</v>
      </c>
      <c r="W329" s="50"/>
      <c r="X329" s="50"/>
    </row>
    <row r="330" spans="1:121" ht="19.95" customHeight="1">
      <c r="A330" s="68">
        <v>45688</v>
      </c>
      <c r="B330" s="3" t="s">
        <v>531</v>
      </c>
      <c r="C330" s="3" t="s">
        <v>390</v>
      </c>
      <c r="D330" s="3" t="s">
        <v>391</v>
      </c>
      <c r="E330" s="3" t="s">
        <v>260</v>
      </c>
      <c r="F330" s="4" t="s">
        <v>26</v>
      </c>
      <c r="G330" s="22">
        <v>998531</v>
      </c>
      <c r="H330" s="23">
        <v>0.18</v>
      </c>
      <c r="I330" s="9">
        <v>1731</v>
      </c>
      <c r="J330" s="9">
        <f t="shared" si="24"/>
        <v>155.79</v>
      </c>
      <c r="K330" s="9">
        <f t="shared" si="25"/>
        <v>155.79</v>
      </c>
      <c r="L330" s="41"/>
      <c r="M330" s="37">
        <f>Table432[[#This Row],[Taxable Amount]]+Table432[[#This Row],[SGST]]+Table432[[#This Row],[CGST]]</f>
        <v>2042.58</v>
      </c>
      <c r="N330" s="71">
        <f>Table432[[#This Row],[Taxable Amount]]*1%</f>
        <v>17.309999999999999</v>
      </c>
      <c r="O330" s="157">
        <v>0</v>
      </c>
      <c r="P330" s="148"/>
      <c r="Q330" s="59">
        <v>45751</v>
      </c>
      <c r="R330" s="117" t="s">
        <v>431</v>
      </c>
      <c r="S330" s="138">
        <f>Table432[[#This Row],[Invoice Amount]]-Table432[[#This Row],[TDS]]-Table432[[#This Row],[RTN]]-Table432[[#This Row],[RECIVED AMOUNT]]</f>
        <v>2025.27</v>
      </c>
      <c r="T330" s="55"/>
      <c r="U330" s="3"/>
      <c r="V330" s="41">
        <f>Table432[[#This Row],[BALANCE]]-Table432[[#This Row],[RECIVED AMOUNT2]]</f>
        <v>2025.27</v>
      </c>
      <c r="W330" s="50"/>
      <c r="X330" s="50"/>
    </row>
    <row r="331" spans="1:121" ht="19.95" customHeight="1">
      <c r="A331" s="68">
        <v>45688</v>
      </c>
      <c r="B331" s="3" t="s">
        <v>532</v>
      </c>
      <c r="C331" s="3" t="s">
        <v>390</v>
      </c>
      <c r="D331" s="3" t="s">
        <v>391</v>
      </c>
      <c r="E331" s="3" t="s">
        <v>260</v>
      </c>
      <c r="F331" s="4" t="s">
        <v>26</v>
      </c>
      <c r="G331" s="22">
        <v>998531</v>
      </c>
      <c r="H331" s="23">
        <v>0.18</v>
      </c>
      <c r="I331" s="9">
        <v>1269</v>
      </c>
      <c r="J331" s="9">
        <f t="shared" si="24"/>
        <v>114.21</v>
      </c>
      <c r="K331" s="9">
        <f t="shared" si="25"/>
        <v>114.21</v>
      </c>
      <c r="L331" s="41"/>
      <c r="M331" s="37">
        <f>Table432[[#This Row],[Taxable Amount]]+Table432[[#This Row],[SGST]]+Table432[[#This Row],[CGST]]</f>
        <v>1497.42</v>
      </c>
      <c r="N331" s="71">
        <f>Table432[[#This Row],[Taxable Amount]]*1%</f>
        <v>12.69</v>
      </c>
      <c r="O331" s="157">
        <v>0</v>
      </c>
      <c r="P331" s="148"/>
      <c r="Q331" s="59">
        <v>45751</v>
      </c>
      <c r="R331" s="117" t="s">
        <v>431</v>
      </c>
      <c r="S331" s="138">
        <f>Table432[[#This Row],[Invoice Amount]]-Table432[[#This Row],[TDS]]-Table432[[#This Row],[RTN]]-Table432[[#This Row],[RECIVED AMOUNT]]</f>
        <v>1484.73</v>
      </c>
      <c r="T331" s="55"/>
      <c r="U331" s="3"/>
      <c r="V331" s="41">
        <f>Table432[[#This Row],[BALANCE]]-Table432[[#This Row],[RECIVED AMOUNT2]]</f>
        <v>1484.73</v>
      </c>
      <c r="W331" s="50"/>
      <c r="X331" s="50"/>
    </row>
    <row r="332" spans="1:121" ht="19.95" customHeight="1">
      <c r="A332" s="68">
        <v>45688</v>
      </c>
      <c r="B332" s="3" t="s">
        <v>533</v>
      </c>
      <c r="C332" s="3" t="s">
        <v>390</v>
      </c>
      <c r="D332" s="3" t="s">
        <v>391</v>
      </c>
      <c r="E332" s="3" t="s">
        <v>260</v>
      </c>
      <c r="F332" s="4" t="s">
        <v>26</v>
      </c>
      <c r="G332" s="22">
        <v>998531</v>
      </c>
      <c r="H332" s="23">
        <v>0.18</v>
      </c>
      <c r="I332" s="9">
        <v>1720.5</v>
      </c>
      <c r="J332" s="9">
        <f t="shared" si="24"/>
        <v>154.845</v>
      </c>
      <c r="K332" s="9">
        <f t="shared" si="25"/>
        <v>154.845</v>
      </c>
      <c r="L332" s="41"/>
      <c r="M332" s="37">
        <f>Table432[[#This Row],[Taxable Amount]]+Table432[[#This Row],[SGST]]+Table432[[#This Row],[CGST]]</f>
        <v>2030.19</v>
      </c>
      <c r="N332" s="71">
        <f>Table432[[#This Row],[Taxable Amount]]*1%</f>
        <v>17.205000000000002</v>
      </c>
      <c r="O332" s="157">
        <v>0</v>
      </c>
      <c r="P332" s="148">
        <v>8776</v>
      </c>
      <c r="Q332" s="59">
        <v>45751</v>
      </c>
      <c r="R332" s="117" t="s">
        <v>431</v>
      </c>
      <c r="S332" s="138">
        <f>Table432[[#This Row],[Invoice Amount]]-Table432[[#This Row],[TDS]]-Table432[[#This Row],[RTN]]-Table432[[#This Row],[RECIVED AMOUNT]]</f>
        <v>-6763.0149999999994</v>
      </c>
      <c r="T332" s="55"/>
      <c r="U332" s="3"/>
      <c r="V332" s="41">
        <f>Table432[[#This Row],[BALANCE]]-Table432[[#This Row],[RECIVED AMOUNT2]]</f>
        <v>-6763.0149999999994</v>
      </c>
      <c r="W332" s="50"/>
      <c r="X332" s="50"/>
    </row>
    <row r="333" spans="1:121" ht="19.95" customHeight="1">
      <c r="A333" s="68">
        <v>45688</v>
      </c>
      <c r="B333" s="3" t="s">
        <v>534</v>
      </c>
      <c r="C333" s="3" t="s">
        <v>290</v>
      </c>
      <c r="D333" s="3" t="s">
        <v>291</v>
      </c>
      <c r="E333" s="3" t="s">
        <v>25</v>
      </c>
      <c r="F333" s="4" t="s">
        <v>26</v>
      </c>
      <c r="G333" s="22">
        <v>998531</v>
      </c>
      <c r="H333" s="23">
        <v>0.18</v>
      </c>
      <c r="I333" s="9">
        <v>3000</v>
      </c>
      <c r="J333" s="9">
        <f t="shared" si="24"/>
        <v>270</v>
      </c>
      <c r="K333" s="9">
        <f t="shared" si="25"/>
        <v>270</v>
      </c>
      <c r="L333" s="41"/>
      <c r="M333" s="37">
        <f>Table432[[#This Row],[Taxable Amount]]+Table432[[#This Row],[SGST]]+Table432[[#This Row],[CGST]]</f>
        <v>3540</v>
      </c>
      <c r="N333" s="71">
        <v>0</v>
      </c>
      <c r="O333" s="157">
        <v>0</v>
      </c>
      <c r="P333" s="148">
        <v>3540</v>
      </c>
      <c r="Q333" s="59">
        <v>45699</v>
      </c>
      <c r="R333" s="117" t="s">
        <v>431</v>
      </c>
      <c r="S333" s="138">
        <f>Table432[[#This Row],[Invoice Amount]]-Table432[[#This Row],[TDS]]-Table432[[#This Row],[RTN]]-Table432[[#This Row],[RECIVED AMOUNT]]</f>
        <v>0</v>
      </c>
      <c r="T333" s="55"/>
      <c r="U333" s="3"/>
      <c r="V333" s="41">
        <f>Table432[[#This Row],[BALANCE]]-Table432[[#This Row],[RECIVED AMOUNT2]]</f>
        <v>0</v>
      </c>
      <c r="W333" s="50"/>
      <c r="X333" s="50"/>
    </row>
    <row r="334" spans="1:121" ht="19.95" customHeight="1">
      <c r="A334" s="86">
        <v>45688</v>
      </c>
      <c r="B334" s="7" t="s">
        <v>535</v>
      </c>
      <c r="C334" s="3" t="s">
        <v>955</v>
      </c>
      <c r="D334" s="7" t="s">
        <v>205</v>
      </c>
      <c r="E334" s="7" t="s">
        <v>59</v>
      </c>
      <c r="F334" s="5" t="s">
        <v>26</v>
      </c>
      <c r="G334" s="85">
        <v>998531</v>
      </c>
      <c r="H334" s="23">
        <v>0.18</v>
      </c>
      <c r="I334" s="69">
        <v>7500</v>
      </c>
      <c r="J334" s="69">
        <f t="shared" si="24"/>
        <v>675</v>
      </c>
      <c r="K334" s="69">
        <f t="shared" si="25"/>
        <v>675</v>
      </c>
      <c r="L334" s="70"/>
      <c r="M334" s="94">
        <f>Table432[[#This Row],[Taxable Amount]]+Table432[[#This Row],[SGST]]+Table432[[#This Row],[CGST]]</f>
        <v>8850</v>
      </c>
      <c r="N334" s="155">
        <v>0</v>
      </c>
      <c r="O334" s="158">
        <v>0</v>
      </c>
      <c r="P334" s="156">
        <v>1350</v>
      </c>
      <c r="Q334" s="97">
        <v>45766</v>
      </c>
      <c r="R334" s="118" t="s">
        <v>431</v>
      </c>
      <c r="S334" s="138">
        <f>Table432[[#This Row],[Invoice Amount]]-Table432[[#This Row],[TDS]]-Table432[[#This Row],[RTN]]-Table432[[#This Row],[RECIVED AMOUNT]]</f>
        <v>7500</v>
      </c>
      <c r="T334" s="99"/>
      <c r="U334" s="7"/>
      <c r="V334" s="41">
        <f>Table432[[#This Row],[BALANCE]]-Table432[[#This Row],[RECIVED AMOUNT2]]</f>
        <v>7500</v>
      </c>
      <c r="W334" s="50"/>
      <c r="X334" s="50"/>
    </row>
    <row r="335" spans="1:121" s="10" customFormat="1" ht="19.95" customHeight="1">
      <c r="A335" s="68">
        <v>45688</v>
      </c>
      <c r="B335" s="3" t="s">
        <v>536</v>
      </c>
      <c r="C335" s="3" t="s">
        <v>955</v>
      </c>
      <c r="D335" s="3" t="s">
        <v>205</v>
      </c>
      <c r="E335" s="3" t="s">
        <v>67</v>
      </c>
      <c r="F335" s="4" t="s">
        <v>26</v>
      </c>
      <c r="G335" s="22">
        <v>998531</v>
      </c>
      <c r="H335" s="23">
        <v>0.18</v>
      </c>
      <c r="I335" s="9">
        <v>10000</v>
      </c>
      <c r="J335" s="9">
        <f t="shared" si="24"/>
        <v>900</v>
      </c>
      <c r="K335" s="9">
        <f t="shared" si="25"/>
        <v>900</v>
      </c>
      <c r="L335" s="41"/>
      <c r="M335" s="37">
        <f>Table432[[#This Row],[Taxable Amount]]+Table432[[#This Row],[SGST]]+Table432[[#This Row],[CGST]]</f>
        <v>11800</v>
      </c>
      <c r="N335" s="71">
        <f>Table432[[#This Row],[Taxable Amount]]*1%</f>
        <v>100</v>
      </c>
      <c r="O335" s="157">
        <v>0</v>
      </c>
      <c r="P335" s="148">
        <v>14127</v>
      </c>
      <c r="Q335" s="59">
        <v>45751</v>
      </c>
      <c r="R335" s="117" t="s">
        <v>492</v>
      </c>
      <c r="S335" s="138">
        <f>Table432[[#This Row],[Invoice Amount]]-Table432[[#This Row],[TDS]]-Table432[[#This Row],[RTN]]-Table432[[#This Row],[RECIVED AMOUNT]]</f>
        <v>-2427</v>
      </c>
      <c r="T335" s="55"/>
      <c r="U335" s="3"/>
      <c r="V335" s="41">
        <f>Table432[[#This Row],[BALANCE]]-Table432[[#This Row],[RECIVED AMOUNT2]]</f>
        <v>-2427</v>
      </c>
      <c r="W335" s="211"/>
      <c r="X335" s="211"/>
    </row>
    <row r="336" spans="1:121" ht="19.95" customHeight="1">
      <c r="A336" s="68">
        <v>45688</v>
      </c>
      <c r="B336" s="3" t="s">
        <v>537</v>
      </c>
      <c r="C336" s="3" t="s">
        <v>372</v>
      </c>
      <c r="D336" s="3" t="s">
        <v>373</v>
      </c>
      <c r="E336" s="3" t="s">
        <v>374</v>
      </c>
      <c r="F336" s="4" t="s">
        <v>26</v>
      </c>
      <c r="G336" s="22">
        <v>998531</v>
      </c>
      <c r="H336" s="23">
        <v>0.18</v>
      </c>
      <c r="I336" s="9">
        <v>1500</v>
      </c>
      <c r="J336" s="9">
        <f t="shared" si="24"/>
        <v>135</v>
      </c>
      <c r="K336" s="9">
        <f t="shared" si="25"/>
        <v>135</v>
      </c>
      <c r="L336" s="41"/>
      <c r="M336" s="37">
        <f>Table432[[#This Row],[Taxable Amount]]+Table432[[#This Row],[SGST]]+Table432[[#This Row],[CGST]]</f>
        <v>1770</v>
      </c>
      <c r="N336" s="71">
        <v>0</v>
      </c>
      <c r="O336" s="157">
        <v>0</v>
      </c>
      <c r="P336" s="148"/>
      <c r="Q336" s="57"/>
      <c r="R336" s="117" t="s">
        <v>492</v>
      </c>
      <c r="S336" s="138">
        <f>Table432[[#This Row],[Invoice Amount]]-Table432[[#This Row],[TDS]]-Table432[[#This Row],[RTN]]-Table432[[#This Row],[RECIVED AMOUNT]]</f>
        <v>1770</v>
      </c>
      <c r="T336" s="55"/>
      <c r="U336" s="3"/>
      <c r="V336" s="41">
        <f>Table432[[#This Row],[BALANCE]]-Table432[[#This Row],[RECIVED AMOUNT2]]</f>
        <v>1770</v>
      </c>
      <c r="W336" s="50"/>
      <c r="X336" s="50"/>
    </row>
    <row r="337" spans="1:24" ht="19.95" customHeight="1">
      <c r="A337" s="68">
        <v>45688</v>
      </c>
      <c r="B337" s="3" t="s">
        <v>538</v>
      </c>
      <c r="C337" s="3" t="s">
        <v>42</v>
      </c>
      <c r="D337" s="3" t="s">
        <v>43</v>
      </c>
      <c r="E337" s="3" t="s">
        <v>101</v>
      </c>
      <c r="F337" s="4" t="s">
        <v>26</v>
      </c>
      <c r="G337" s="22">
        <v>998531</v>
      </c>
      <c r="H337" s="23">
        <v>0.18</v>
      </c>
      <c r="I337" s="9">
        <v>6000</v>
      </c>
      <c r="J337" s="9">
        <f t="shared" si="24"/>
        <v>540</v>
      </c>
      <c r="K337" s="9">
        <f t="shared" si="25"/>
        <v>540</v>
      </c>
      <c r="L337" s="41"/>
      <c r="M337" s="37">
        <f>Table432[[#This Row],[Taxable Amount]]+Table432[[#This Row],[SGST]]+Table432[[#This Row],[CGST]]</f>
        <v>7080</v>
      </c>
      <c r="N337" s="71">
        <f>Table432[[#This Row],[Taxable Amount]]*1%</f>
        <v>60</v>
      </c>
      <c r="O337" s="157">
        <v>0</v>
      </c>
      <c r="P337" s="148">
        <v>7020</v>
      </c>
      <c r="Q337" s="59">
        <v>45717</v>
      </c>
      <c r="R337" s="117" t="s">
        <v>431</v>
      </c>
      <c r="S337" s="138">
        <f>Table432[[#This Row],[Invoice Amount]]-Table432[[#This Row],[TDS]]-Table432[[#This Row],[RTN]]-Table432[[#This Row],[RECIVED AMOUNT]]</f>
        <v>0</v>
      </c>
      <c r="T337" s="55"/>
      <c r="U337" s="3"/>
      <c r="V337" s="41">
        <f>Table432[[#This Row],[BALANCE]]-Table432[[#This Row],[RECIVED AMOUNT2]]</f>
        <v>0</v>
      </c>
      <c r="W337" s="50"/>
      <c r="X337" s="50"/>
    </row>
    <row r="338" spans="1:24" ht="19.95" customHeight="1">
      <c r="A338" s="68">
        <v>45688</v>
      </c>
      <c r="B338" s="3" t="s">
        <v>539</v>
      </c>
      <c r="C338" s="21" t="s">
        <v>42</v>
      </c>
      <c r="D338" s="3" t="s">
        <v>43</v>
      </c>
      <c r="E338" s="3" t="s">
        <v>44</v>
      </c>
      <c r="F338" s="4" t="s">
        <v>26</v>
      </c>
      <c r="G338" s="22">
        <v>998531</v>
      </c>
      <c r="H338" s="23">
        <v>0.18</v>
      </c>
      <c r="I338" s="9">
        <v>13900</v>
      </c>
      <c r="J338" s="9">
        <v>1251</v>
      </c>
      <c r="K338" s="9">
        <f t="shared" si="25"/>
        <v>1251</v>
      </c>
      <c r="L338" s="41"/>
      <c r="M338" s="37">
        <f>Table432[[#This Row],[Taxable Amount]]+Table432[[#This Row],[SGST]]+Table432[[#This Row],[CGST]]</f>
        <v>16402</v>
      </c>
      <c r="N338" s="71">
        <f>Table432[[#This Row],[Taxable Amount]]*1%</f>
        <v>139</v>
      </c>
      <c r="O338" s="157">
        <v>348</v>
      </c>
      <c r="P338" s="148">
        <v>27990</v>
      </c>
      <c r="Q338" s="59">
        <v>45681</v>
      </c>
      <c r="R338" s="117" t="s">
        <v>431</v>
      </c>
      <c r="S338" s="138">
        <f>Table432[[#This Row],[Invoice Amount]]-Table432[[#This Row],[TDS]]-Table432[[#This Row],[RTN]]-Table432[[#This Row],[RECIVED AMOUNT]]</f>
        <v>-12075</v>
      </c>
      <c r="T338" s="55"/>
      <c r="U338" s="3"/>
      <c r="V338" s="41">
        <f>Table432[[#This Row],[BALANCE]]-Table432[[#This Row],[RECIVED AMOUNT2]]</f>
        <v>-12075</v>
      </c>
      <c r="W338" s="50"/>
      <c r="X338" s="50"/>
    </row>
    <row r="339" spans="1:24" ht="19.95" customHeight="1">
      <c r="A339" s="68">
        <v>45688</v>
      </c>
      <c r="B339" s="3" t="s">
        <v>282</v>
      </c>
      <c r="C339" s="21" t="s">
        <v>42</v>
      </c>
      <c r="D339" s="3" t="s">
        <v>43</v>
      </c>
      <c r="E339" s="3" t="s">
        <v>163</v>
      </c>
      <c r="F339" s="4" t="s">
        <v>26</v>
      </c>
      <c r="G339" s="22">
        <v>998531</v>
      </c>
      <c r="H339" s="23">
        <v>0.18</v>
      </c>
      <c r="I339" s="9">
        <v>10200</v>
      </c>
      <c r="J339" s="9">
        <f t="shared" ref="J339:J402" si="26">I339*9/100</f>
        <v>918</v>
      </c>
      <c r="K339" s="9">
        <f t="shared" si="25"/>
        <v>918</v>
      </c>
      <c r="L339" s="41"/>
      <c r="M339" s="37">
        <f>Table432[[#This Row],[Taxable Amount]]+Table432[[#This Row],[SGST]]+Table432[[#This Row],[CGST]]</f>
        <v>12036</v>
      </c>
      <c r="N339" s="71">
        <f>Table432[[#This Row],[Taxable Amount]]*1%</f>
        <v>102</v>
      </c>
      <c r="O339" s="157">
        <v>255</v>
      </c>
      <c r="P339" s="148"/>
      <c r="Q339" s="59"/>
      <c r="R339" s="117" t="s">
        <v>431</v>
      </c>
      <c r="S339" s="138">
        <f>Table432[[#This Row],[Invoice Amount]]-Table432[[#This Row],[TDS]]-Table432[[#This Row],[RTN]]-Table432[[#This Row],[RECIVED AMOUNT]]</f>
        <v>11679</v>
      </c>
      <c r="T339" s="55"/>
      <c r="U339" s="3"/>
      <c r="V339" s="41">
        <f>Table432[[#This Row],[BALANCE]]-Table432[[#This Row],[RECIVED AMOUNT2]]</f>
        <v>11679</v>
      </c>
      <c r="W339" s="50"/>
      <c r="X339" s="50"/>
    </row>
    <row r="340" spans="1:24" ht="19.95" customHeight="1">
      <c r="A340" s="68">
        <v>45698</v>
      </c>
      <c r="B340" s="3" t="s">
        <v>540</v>
      </c>
      <c r="C340" s="3" t="s">
        <v>955</v>
      </c>
      <c r="D340" s="3" t="s">
        <v>205</v>
      </c>
      <c r="E340" s="3" t="s">
        <v>67</v>
      </c>
      <c r="F340" s="4" t="s">
        <v>37</v>
      </c>
      <c r="G340" s="22">
        <v>998531</v>
      </c>
      <c r="H340" s="23">
        <v>0.18</v>
      </c>
      <c r="I340" s="9">
        <v>15232</v>
      </c>
      <c r="J340" s="9">
        <f t="shared" si="26"/>
        <v>1370.88</v>
      </c>
      <c r="K340" s="9">
        <f t="shared" si="25"/>
        <v>1370.88</v>
      </c>
      <c r="L340" s="41"/>
      <c r="M340" s="37">
        <f>Table432[[#This Row],[Taxable Amount]]+Table432[[#This Row],[SGST]]+Table432[[#This Row],[CGST]]</f>
        <v>17973.760000000002</v>
      </c>
      <c r="N340" s="71">
        <f>Table432[[#This Row],[Taxable Amount]]*1%</f>
        <v>152.32</v>
      </c>
      <c r="O340" s="157">
        <v>380</v>
      </c>
      <c r="P340" s="148">
        <v>17325</v>
      </c>
      <c r="Q340" s="59">
        <v>45731</v>
      </c>
      <c r="R340" s="113" t="s">
        <v>541</v>
      </c>
      <c r="S340" s="138">
        <f>Table432[[#This Row],[Invoice Amount]]-Table432[[#This Row],[TDS]]-Table432[[#This Row],[RTN]]-Table432[[#This Row],[RECIVED AMOUNT]]</f>
        <v>116.44000000000233</v>
      </c>
      <c r="T340" s="55"/>
      <c r="U340" s="3"/>
      <c r="V340" s="41">
        <f>Table432[[#This Row],[BALANCE]]-Table432[[#This Row],[RECIVED AMOUNT2]]</f>
        <v>116.44000000000233</v>
      </c>
      <c r="W340" s="50"/>
      <c r="X340" s="50"/>
    </row>
    <row r="341" spans="1:24" ht="19.95" customHeight="1">
      <c r="A341" s="68">
        <v>45710</v>
      </c>
      <c r="B341" s="3" t="s">
        <v>542</v>
      </c>
      <c r="C341" s="3" t="s">
        <v>258</v>
      </c>
      <c r="D341" s="3" t="s">
        <v>259</v>
      </c>
      <c r="E341" s="3" t="s">
        <v>260</v>
      </c>
      <c r="F341" s="4" t="s">
        <v>26</v>
      </c>
      <c r="G341" s="22">
        <v>998531</v>
      </c>
      <c r="H341" s="23">
        <v>0.18</v>
      </c>
      <c r="I341" s="9">
        <v>17800</v>
      </c>
      <c r="J341" s="9">
        <f t="shared" si="26"/>
        <v>1602</v>
      </c>
      <c r="K341" s="9">
        <f t="shared" si="25"/>
        <v>1602</v>
      </c>
      <c r="L341" s="41"/>
      <c r="M341" s="37">
        <f>Table432[[#This Row],[Taxable Amount]]+Table432[[#This Row],[SGST]]+Table432[[#This Row],[CGST]]</f>
        <v>21004</v>
      </c>
      <c r="N341" s="71">
        <f>Table432[[#This Row],[Taxable Amount]]*1%</f>
        <v>178</v>
      </c>
      <c r="O341" s="157">
        <v>0</v>
      </c>
      <c r="P341" s="148">
        <v>17548</v>
      </c>
      <c r="Q341" s="59">
        <v>45790</v>
      </c>
      <c r="R341" s="117" t="s">
        <v>492</v>
      </c>
      <c r="S341" s="138">
        <f>Table432[[#This Row],[Invoice Amount]]-Table432[[#This Row],[TDS]]-Table432[[#This Row],[RTN]]-Table432[[#This Row],[RECIVED AMOUNT]]</f>
        <v>3278</v>
      </c>
      <c r="T341" s="55"/>
      <c r="U341" s="3"/>
      <c r="V341" s="41">
        <f>Table432[[#This Row],[BALANCE]]-Table432[[#This Row],[RECIVED AMOUNT2]]</f>
        <v>3278</v>
      </c>
      <c r="W341" s="50"/>
      <c r="X341" s="50"/>
    </row>
    <row r="342" spans="1:24" ht="19.95" customHeight="1">
      <c r="A342" s="86">
        <v>45714</v>
      </c>
      <c r="B342" s="7" t="s">
        <v>543</v>
      </c>
      <c r="C342" s="3" t="s">
        <v>955</v>
      </c>
      <c r="D342" s="7" t="s">
        <v>205</v>
      </c>
      <c r="E342" s="7" t="s">
        <v>59</v>
      </c>
      <c r="F342" s="5" t="s">
        <v>26</v>
      </c>
      <c r="G342" s="85">
        <v>998531</v>
      </c>
      <c r="H342" s="23">
        <v>0.18</v>
      </c>
      <c r="I342" s="69">
        <v>1760</v>
      </c>
      <c r="J342" s="69">
        <f t="shared" si="26"/>
        <v>158.4</v>
      </c>
      <c r="K342" s="69">
        <f t="shared" si="25"/>
        <v>158.4</v>
      </c>
      <c r="L342" s="70"/>
      <c r="M342" s="94">
        <f>Table432[[#This Row],[Taxable Amount]]+Table432[[#This Row],[SGST]]+Table432[[#This Row],[CGST]]</f>
        <v>2076.8000000000002</v>
      </c>
      <c r="N342" s="155">
        <v>0</v>
      </c>
      <c r="O342" s="158">
        <v>0</v>
      </c>
      <c r="P342" s="156">
        <v>1901</v>
      </c>
      <c r="Q342" s="97">
        <v>45766</v>
      </c>
      <c r="R342" s="118" t="s">
        <v>492</v>
      </c>
      <c r="S342" s="138">
        <f>Table432[[#This Row],[Invoice Amount]]-Table432[[#This Row],[TDS]]-Table432[[#This Row],[RTN]]-Table432[[#This Row],[RECIVED AMOUNT]]</f>
        <v>175.80000000000018</v>
      </c>
      <c r="T342" s="99"/>
      <c r="U342" s="7"/>
      <c r="V342" s="41">
        <f>Table432[[#This Row],[BALANCE]]-Table432[[#This Row],[RECIVED AMOUNT2]]</f>
        <v>175.80000000000018</v>
      </c>
      <c r="W342" s="50"/>
      <c r="X342" s="50"/>
    </row>
    <row r="343" spans="1:24" s="10" customFormat="1" ht="19.95" customHeight="1">
      <c r="A343" s="68">
        <v>45716</v>
      </c>
      <c r="B343" s="3" t="s">
        <v>544</v>
      </c>
      <c r="C343" s="21" t="s">
        <v>116</v>
      </c>
      <c r="D343" s="3" t="s">
        <v>117</v>
      </c>
      <c r="E343" s="3" t="s">
        <v>59</v>
      </c>
      <c r="F343" s="4" t="s">
        <v>26</v>
      </c>
      <c r="G343" s="22">
        <v>998531</v>
      </c>
      <c r="H343" s="23">
        <v>0.18</v>
      </c>
      <c r="I343" s="9">
        <v>17300</v>
      </c>
      <c r="J343" s="9">
        <f t="shared" si="26"/>
        <v>1557</v>
      </c>
      <c r="K343" s="9">
        <f t="shared" si="25"/>
        <v>1557</v>
      </c>
      <c r="L343" s="41"/>
      <c r="M343" s="37">
        <f>Table432[[#This Row],[Taxable Amount]]+Table432[[#This Row],[SGST]]+Table432[[#This Row],[CGST]]</f>
        <v>20414</v>
      </c>
      <c r="N343" s="71">
        <f>Table432[[#This Row],[Taxable Amount]]*1%</f>
        <v>173</v>
      </c>
      <c r="O343" s="157">
        <v>0</v>
      </c>
      <c r="P343" s="148">
        <v>20241</v>
      </c>
      <c r="Q343" s="59">
        <v>45740</v>
      </c>
      <c r="R343" s="117" t="s">
        <v>492</v>
      </c>
      <c r="S343" s="138">
        <f>Table432[[#This Row],[Invoice Amount]]-Table432[[#This Row],[TDS]]-Table432[[#This Row],[RTN]]-Table432[[#This Row],[RECIVED AMOUNT]]</f>
        <v>0</v>
      </c>
      <c r="T343" s="55"/>
      <c r="U343" s="3"/>
      <c r="V343" s="41">
        <f>Table432[[#This Row],[BALANCE]]-Table432[[#This Row],[RECIVED AMOUNT2]]</f>
        <v>0</v>
      </c>
      <c r="W343" s="211"/>
      <c r="X343" s="211"/>
    </row>
    <row r="344" spans="1:24" ht="19.95" customHeight="1">
      <c r="A344" s="68">
        <v>45716</v>
      </c>
      <c r="B344" s="3" t="s">
        <v>545</v>
      </c>
      <c r="C344" s="3" t="s">
        <v>390</v>
      </c>
      <c r="D344" s="3" t="s">
        <v>391</v>
      </c>
      <c r="E344" s="3" t="s">
        <v>260</v>
      </c>
      <c r="F344" s="4" t="s">
        <v>26</v>
      </c>
      <c r="G344" s="22">
        <v>998531</v>
      </c>
      <c r="H344" s="23">
        <v>0.18</v>
      </c>
      <c r="I344" s="9">
        <v>1307.25</v>
      </c>
      <c r="J344" s="9">
        <f t="shared" si="26"/>
        <v>117.6525</v>
      </c>
      <c r="K344" s="9">
        <f t="shared" si="25"/>
        <v>117.6525</v>
      </c>
      <c r="L344" s="41"/>
      <c r="M344" s="37">
        <f>Table432[[#This Row],[Taxable Amount]]+Table432[[#This Row],[SGST]]+Table432[[#This Row],[CGST]]</f>
        <v>1542.5549999999998</v>
      </c>
      <c r="N344" s="71">
        <f>Table432[[#This Row],[Taxable Amount]]*1%</f>
        <v>13.0725</v>
      </c>
      <c r="O344" s="157">
        <v>0</v>
      </c>
      <c r="P344" s="148"/>
      <c r="Q344" s="59">
        <v>45843</v>
      </c>
      <c r="R344" s="117" t="s">
        <v>492</v>
      </c>
      <c r="S344" s="138">
        <f>Table432[[#This Row],[Invoice Amount]]-Table432[[#This Row],[TDS]]-Table432[[#This Row],[RTN]]-Table432[[#This Row],[RECIVED AMOUNT]]</f>
        <v>1529.4824999999998</v>
      </c>
      <c r="T344" s="55"/>
      <c r="U344" s="3"/>
      <c r="V344" s="41">
        <f>Table432[[#This Row],[BALANCE]]-Table432[[#This Row],[RECIVED AMOUNT2]]</f>
        <v>1529.4824999999998</v>
      </c>
      <c r="W344" s="50"/>
      <c r="X344" s="50"/>
    </row>
    <row r="345" spans="1:24" ht="19.95" customHeight="1">
      <c r="A345" s="68">
        <v>45716</v>
      </c>
      <c r="B345" s="3" t="s">
        <v>546</v>
      </c>
      <c r="C345" s="3" t="s">
        <v>390</v>
      </c>
      <c r="D345" s="3" t="s">
        <v>391</v>
      </c>
      <c r="E345" s="3" t="s">
        <v>260</v>
      </c>
      <c r="F345" s="4" t="s">
        <v>26</v>
      </c>
      <c r="G345" s="22">
        <v>998531</v>
      </c>
      <c r="H345" s="23">
        <v>0.18</v>
      </c>
      <c r="I345" s="9">
        <v>1057.5</v>
      </c>
      <c r="J345" s="9">
        <f t="shared" si="26"/>
        <v>95.174999999999997</v>
      </c>
      <c r="K345" s="9">
        <f t="shared" si="25"/>
        <v>95.174999999999997</v>
      </c>
      <c r="L345" s="41"/>
      <c r="M345" s="37">
        <f>Table432[[#This Row],[Taxable Amount]]+Table432[[#This Row],[SGST]]+Table432[[#This Row],[CGST]]</f>
        <v>1247.8499999999999</v>
      </c>
      <c r="N345" s="71">
        <f>Table432[[#This Row],[Taxable Amount]]*1%</f>
        <v>10.575000000000001</v>
      </c>
      <c r="O345" s="157">
        <v>0</v>
      </c>
      <c r="P345" s="148"/>
      <c r="Q345" s="59">
        <v>45843</v>
      </c>
      <c r="R345" s="117" t="s">
        <v>492</v>
      </c>
      <c r="S345" s="138">
        <f>Table432[[#This Row],[Invoice Amount]]-Table432[[#This Row],[TDS]]-Table432[[#This Row],[RTN]]-Table432[[#This Row],[RECIVED AMOUNT]]</f>
        <v>1237.2749999999999</v>
      </c>
      <c r="T345" s="55"/>
      <c r="U345" s="3"/>
      <c r="V345" s="41">
        <f>Table432[[#This Row],[BALANCE]]-Table432[[#This Row],[RECIVED AMOUNT2]]</f>
        <v>1237.2749999999999</v>
      </c>
      <c r="W345" s="50"/>
      <c r="X345" s="50"/>
    </row>
    <row r="346" spans="1:24" ht="19.95" customHeight="1">
      <c r="A346" s="68">
        <v>45716</v>
      </c>
      <c r="B346" s="3" t="s">
        <v>547</v>
      </c>
      <c r="C346" s="3" t="s">
        <v>390</v>
      </c>
      <c r="D346" s="3" t="s">
        <v>391</v>
      </c>
      <c r="E346" s="3" t="s">
        <v>260</v>
      </c>
      <c r="F346" s="4" t="s">
        <v>26</v>
      </c>
      <c r="G346" s="22">
        <v>998531</v>
      </c>
      <c r="H346" s="23">
        <v>0.18</v>
      </c>
      <c r="I346" s="9">
        <v>1473.75</v>
      </c>
      <c r="J346" s="9">
        <f t="shared" si="26"/>
        <v>132.63749999999999</v>
      </c>
      <c r="K346" s="9">
        <f t="shared" si="25"/>
        <v>132.63749999999999</v>
      </c>
      <c r="L346" s="41"/>
      <c r="M346" s="37">
        <f>Table432[[#This Row],[Taxable Amount]]+Table432[[#This Row],[SGST]]+Table432[[#This Row],[CGST]]</f>
        <v>1739.0250000000001</v>
      </c>
      <c r="N346" s="71">
        <f>Table432[[#This Row],[Taxable Amount]]*1%</f>
        <v>14.737500000000001</v>
      </c>
      <c r="O346" s="157">
        <v>0</v>
      </c>
      <c r="P346" s="148"/>
      <c r="Q346" s="59">
        <v>45843</v>
      </c>
      <c r="R346" s="117" t="s">
        <v>492</v>
      </c>
      <c r="S346" s="138">
        <f>Table432[[#This Row],[Invoice Amount]]-Table432[[#This Row],[TDS]]-Table432[[#This Row],[RTN]]-Table432[[#This Row],[RECIVED AMOUNT]]</f>
        <v>1724.2875000000001</v>
      </c>
      <c r="T346" s="55"/>
      <c r="U346" s="3"/>
      <c r="V346" s="41">
        <f>Table432[[#This Row],[BALANCE]]-Table432[[#This Row],[RECIVED AMOUNT2]]</f>
        <v>1724.2875000000001</v>
      </c>
      <c r="W346" s="50"/>
      <c r="X346" s="50"/>
    </row>
    <row r="347" spans="1:24" ht="19.95" customHeight="1">
      <c r="A347" s="68">
        <v>45716</v>
      </c>
      <c r="B347" s="3" t="s">
        <v>548</v>
      </c>
      <c r="C347" s="3" t="s">
        <v>390</v>
      </c>
      <c r="D347" s="3" t="s">
        <v>391</v>
      </c>
      <c r="E347" s="3" t="s">
        <v>260</v>
      </c>
      <c r="F347" s="4" t="s">
        <v>26</v>
      </c>
      <c r="G347" s="22">
        <v>998531</v>
      </c>
      <c r="H347" s="23">
        <v>0.18</v>
      </c>
      <c r="I347" s="9">
        <v>1080</v>
      </c>
      <c r="J347" s="9">
        <f t="shared" si="26"/>
        <v>97.2</v>
      </c>
      <c r="K347" s="9">
        <f t="shared" si="25"/>
        <v>97.2</v>
      </c>
      <c r="L347" s="41"/>
      <c r="M347" s="37">
        <f>Table432[[#This Row],[Taxable Amount]]+Table432[[#This Row],[SGST]]+Table432[[#This Row],[CGST]]</f>
        <v>1274.4000000000001</v>
      </c>
      <c r="N347" s="71">
        <f>Table432[[#This Row],[Taxable Amount]]*1%</f>
        <v>10.8</v>
      </c>
      <c r="O347" s="157">
        <v>0</v>
      </c>
      <c r="P347" s="148"/>
      <c r="Q347" s="59">
        <v>45843</v>
      </c>
      <c r="R347" s="117" t="s">
        <v>492</v>
      </c>
      <c r="S347" s="138">
        <f>Table432[[#This Row],[Invoice Amount]]-Table432[[#This Row],[TDS]]-Table432[[#This Row],[RTN]]-Table432[[#This Row],[RECIVED AMOUNT]]</f>
        <v>1263.6000000000001</v>
      </c>
      <c r="T347" s="55"/>
      <c r="U347" s="3"/>
      <c r="V347" s="41">
        <f>Table432[[#This Row],[BALANCE]]-Table432[[#This Row],[RECIVED AMOUNT2]]</f>
        <v>1263.6000000000001</v>
      </c>
      <c r="W347" s="50"/>
      <c r="X347" s="50"/>
    </row>
    <row r="348" spans="1:24" ht="19.95" customHeight="1">
      <c r="A348" s="68">
        <v>45716</v>
      </c>
      <c r="B348" s="3" t="s">
        <v>549</v>
      </c>
      <c r="C348" s="3" t="s">
        <v>390</v>
      </c>
      <c r="D348" s="3" t="s">
        <v>391</v>
      </c>
      <c r="E348" s="3" t="s">
        <v>260</v>
      </c>
      <c r="F348" s="4" t="s">
        <v>26</v>
      </c>
      <c r="G348" s="22">
        <v>998531</v>
      </c>
      <c r="H348" s="23">
        <v>0.18</v>
      </c>
      <c r="I348" s="9">
        <v>1464.75</v>
      </c>
      <c r="J348" s="9">
        <f t="shared" si="26"/>
        <v>131.82749999999999</v>
      </c>
      <c r="K348" s="9">
        <f t="shared" si="25"/>
        <v>131.82749999999999</v>
      </c>
      <c r="L348" s="41"/>
      <c r="M348" s="37">
        <f>Table432[[#This Row],[Taxable Amount]]+Table432[[#This Row],[SGST]]+Table432[[#This Row],[CGST]]</f>
        <v>1728.4049999999997</v>
      </c>
      <c r="N348" s="71">
        <f>Table432[[#This Row],[Taxable Amount]]*1%</f>
        <v>14.647500000000001</v>
      </c>
      <c r="O348" s="157">
        <v>0</v>
      </c>
      <c r="P348" s="148"/>
      <c r="Q348" s="59">
        <v>45843</v>
      </c>
      <c r="R348" s="117" t="s">
        <v>492</v>
      </c>
      <c r="S348" s="138">
        <f>Table432[[#This Row],[Invoice Amount]]-Table432[[#This Row],[TDS]]-Table432[[#This Row],[RTN]]-Table432[[#This Row],[RECIVED AMOUNT]]</f>
        <v>1713.7574999999997</v>
      </c>
      <c r="T348" s="55"/>
      <c r="U348" s="3"/>
      <c r="V348" s="41">
        <f>Table432[[#This Row],[BALANCE]]-Table432[[#This Row],[RECIVED AMOUNT2]]</f>
        <v>1713.7574999999997</v>
      </c>
      <c r="W348" s="50"/>
      <c r="X348" s="50"/>
    </row>
    <row r="349" spans="1:24" ht="19.95" customHeight="1">
      <c r="A349" s="68">
        <v>45716</v>
      </c>
      <c r="B349" s="3" t="s">
        <v>550</v>
      </c>
      <c r="C349" s="3" t="s">
        <v>390</v>
      </c>
      <c r="D349" s="3" t="s">
        <v>391</v>
      </c>
      <c r="E349" s="3" t="s">
        <v>260</v>
      </c>
      <c r="F349" s="4" t="s">
        <v>26</v>
      </c>
      <c r="G349" s="22">
        <v>998531</v>
      </c>
      <c r="H349" s="23">
        <v>0.18</v>
      </c>
      <c r="I349" s="9">
        <v>1116.75</v>
      </c>
      <c r="J349" s="9">
        <f t="shared" si="26"/>
        <v>100.50749999999999</v>
      </c>
      <c r="K349" s="9">
        <f t="shared" si="25"/>
        <v>100.50749999999999</v>
      </c>
      <c r="L349" s="41"/>
      <c r="M349" s="37">
        <f>Table432[[#This Row],[Taxable Amount]]+Table432[[#This Row],[SGST]]+Table432[[#This Row],[CGST]]</f>
        <v>1317.7649999999999</v>
      </c>
      <c r="N349" s="71">
        <f>Table432[[#This Row],[Taxable Amount]]*1%</f>
        <v>11.1675</v>
      </c>
      <c r="O349" s="157">
        <v>0</v>
      </c>
      <c r="P349" s="148">
        <v>8777</v>
      </c>
      <c r="Q349" s="59">
        <v>45843</v>
      </c>
      <c r="R349" s="117" t="s">
        <v>492</v>
      </c>
      <c r="S349" s="138">
        <f>Table432[[#This Row],[Invoice Amount]]-Table432[[#This Row],[TDS]]-Table432[[#This Row],[RTN]]-Table432[[#This Row],[RECIVED AMOUNT]]</f>
        <v>-7470.4025000000001</v>
      </c>
      <c r="T349" s="55"/>
      <c r="U349" s="3"/>
      <c r="V349" s="41">
        <f>Table432[[#This Row],[BALANCE]]-Table432[[#This Row],[RECIVED AMOUNT2]]</f>
        <v>-7470.4025000000001</v>
      </c>
      <c r="W349" s="50"/>
      <c r="X349" s="50"/>
    </row>
    <row r="350" spans="1:24" ht="19.95" customHeight="1">
      <c r="A350" s="86">
        <v>45716</v>
      </c>
      <c r="B350" s="7" t="s">
        <v>551</v>
      </c>
      <c r="C350" s="3" t="s">
        <v>955</v>
      </c>
      <c r="D350" s="7" t="s">
        <v>205</v>
      </c>
      <c r="E350" s="7" t="s">
        <v>67</v>
      </c>
      <c r="F350" s="5" t="s">
        <v>26</v>
      </c>
      <c r="G350" s="85">
        <v>998531</v>
      </c>
      <c r="H350" s="23">
        <v>0.18</v>
      </c>
      <c r="I350" s="69">
        <v>10000</v>
      </c>
      <c r="J350" s="69">
        <f t="shared" si="26"/>
        <v>900</v>
      </c>
      <c r="K350" s="69">
        <f t="shared" si="25"/>
        <v>900</v>
      </c>
      <c r="L350" s="70"/>
      <c r="M350" s="94">
        <f>Table432[[#This Row],[Taxable Amount]]+Table432[[#This Row],[SGST]]+Table432[[#This Row],[CGST]]</f>
        <v>11800</v>
      </c>
      <c r="N350" s="155">
        <f>Table432[[#This Row],[Taxable Amount]]*1%</f>
        <v>100</v>
      </c>
      <c r="O350" s="158">
        <v>0</v>
      </c>
      <c r="P350" s="156">
        <v>11700</v>
      </c>
      <c r="Q350" s="97">
        <v>45766</v>
      </c>
      <c r="R350" s="118" t="s">
        <v>492</v>
      </c>
      <c r="S350" s="138">
        <f>Table432[[#This Row],[Invoice Amount]]-Table432[[#This Row],[TDS]]-Table432[[#This Row],[RTN]]-Table432[[#This Row],[RECIVED AMOUNT]]</f>
        <v>0</v>
      </c>
      <c r="T350" s="99"/>
      <c r="U350" s="7"/>
      <c r="V350" s="41">
        <f>Table432[[#This Row],[BALANCE]]-Table432[[#This Row],[RECIVED AMOUNT2]]</f>
        <v>0</v>
      </c>
      <c r="W350" s="50"/>
      <c r="X350" s="50"/>
    </row>
    <row r="351" spans="1:24" s="10" customFormat="1" ht="19.95" customHeight="1">
      <c r="A351" s="68">
        <v>45716</v>
      </c>
      <c r="B351" s="3" t="s">
        <v>552</v>
      </c>
      <c r="C351" s="3" t="s">
        <v>290</v>
      </c>
      <c r="D351" s="3" t="s">
        <v>291</v>
      </c>
      <c r="E351" s="3" t="s">
        <v>25</v>
      </c>
      <c r="F351" s="4" t="s">
        <v>26</v>
      </c>
      <c r="G351" s="22">
        <v>998531</v>
      </c>
      <c r="H351" s="23">
        <v>0.18</v>
      </c>
      <c r="I351" s="9">
        <v>3000</v>
      </c>
      <c r="J351" s="9">
        <f t="shared" si="26"/>
        <v>270</v>
      </c>
      <c r="K351" s="9">
        <f t="shared" si="25"/>
        <v>270</v>
      </c>
      <c r="L351" s="41"/>
      <c r="M351" s="37">
        <f>Table432[[#This Row],[Taxable Amount]]+Table432[[#This Row],[SGST]]+Table432[[#This Row],[CGST]]</f>
        <v>3540</v>
      </c>
      <c r="N351" s="71">
        <v>0</v>
      </c>
      <c r="O351" s="157">
        <v>0</v>
      </c>
      <c r="P351" s="148">
        <v>3540</v>
      </c>
      <c r="Q351" s="59">
        <v>45727</v>
      </c>
      <c r="R351" s="117" t="s">
        <v>492</v>
      </c>
      <c r="S351" s="138">
        <f>Table432[[#This Row],[Invoice Amount]]-Table432[[#This Row],[TDS]]-Table432[[#This Row],[RTN]]-Table432[[#This Row],[RECIVED AMOUNT]]</f>
        <v>0</v>
      </c>
      <c r="T351" s="55"/>
      <c r="U351" s="3"/>
      <c r="V351" s="41">
        <f>Table432[[#This Row],[BALANCE]]-Table432[[#This Row],[RECIVED AMOUNT2]]</f>
        <v>0</v>
      </c>
      <c r="W351" s="211"/>
      <c r="X351" s="211"/>
    </row>
    <row r="352" spans="1:24" ht="19.95" customHeight="1">
      <c r="A352" s="68">
        <v>45716</v>
      </c>
      <c r="B352" s="3" t="s">
        <v>553</v>
      </c>
      <c r="C352" s="3" t="s">
        <v>372</v>
      </c>
      <c r="D352" s="3" t="s">
        <v>373</v>
      </c>
      <c r="E352" s="3" t="s">
        <v>25</v>
      </c>
      <c r="F352" s="4" t="s">
        <v>26</v>
      </c>
      <c r="G352" s="22">
        <v>998531</v>
      </c>
      <c r="H352" s="23">
        <v>0.18</v>
      </c>
      <c r="I352" s="9">
        <v>1875</v>
      </c>
      <c r="J352" s="9">
        <f t="shared" si="26"/>
        <v>168.75</v>
      </c>
      <c r="K352" s="9">
        <f t="shared" si="25"/>
        <v>168.75</v>
      </c>
      <c r="L352" s="41"/>
      <c r="M352" s="37">
        <f>Table432[[#This Row],[Taxable Amount]]+Table432[[#This Row],[SGST]]+Table432[[#This Row],[CGST]]</f>
        <v>2212.5</v>
      </c>
      <c r="N352" s="71">
        <v>0</v>
      </c>
      <c r="O352" s="157">
        <v>0</v>
      </c>
      <c r="P352" s="148">
        <v>2212.5</v>
      </c>
      <c r="Q352" s="59">
        <v>45724</v>
      </c>
      <c r="R352" s="117" t="s">
        <v>492</v>
      </c>
      <c r="S352" s="138">
        <f>Table432[[#This Row],[Invoice Amount]]-Table432[[#This Row],[TDS]]-Table432[[#This Row],[RTN]]-Table432[[#This Row],[RECIVED AMOUNT]]</f>
        <v>0</v>
      </c>
      <c r="T352" s="55"/>
      <c r="U352" s="3"/>
      <c r="V352" s="41">
        <f>Table432[[#This Row],[BALANCE]]-Table432[[#This Row],[RECIVED AMOUNT2]]</f>
        <v>0</v>
      </c>
      <c r="W352" s="50"/>
      <c r="X352" s="50"/>
    </row>
    <row r="353" spans="1:121" ht="19.95" customHeight="1">
      <c r="A353" s="68">
        <v>45716</v>
      </c>
      <c r="B353" s="3" t="s">
        <v>554</v>
      </c>
      <c r="C353" s="3" t="s">
        <v>42</v>
      </c>
      <c r="D353" s="3" t="s">
        <v>43</v>
      </c>
      <c r="E353" s="3" t="s">
        <v>101</v>
      </c>
      <c r="F353" s="4" t="s">
        <v>26</v>
      </c>
      <c r="G353" s="22">
        <v>998531</v>
      </c>
      <c r="H353" s="23">
        <v>0.18</v>
      </c>
      <c r="I353" s="9">
        <v>6000</v>
      </c>
      <c r="J353" s="9">
        <f t="shared" si="26"/>
        <v>540</v>
      </c>
      <c r="K353" s="9">
        <f t="shared" si="25"/>
        <v>540</v>
      </c>
      <c r="L353" s="41"/>
      <c r="M353" s="37">
        <f>Table432[[#This Row],[Taxable Amount]]+Table432[[#This Row],[SGST]]+Table432[[#This Row],[CGST]]</f>
        <v>7080</v>
      </c>
      <c r="N353" s="71">
        <f>Table432[[#This Row],[Taxable Amount]]*1%</f>
        <v>60</v>
      </c>
      <c r="O353" s="157">
        <v>0</v>
      </c>
      <c r="P353" s="148">
        <v>7020</v>
      </c>
      <c r="Q353" s="59">
        <v>45740</v>
      </c>
      <c r="R353" s="117" t="s">
        <v>492</v>
      </c>
      <c r="S353" s="138">
        <f>Table432[[#This Row],[Invoice Amount]]-Table432[[#This Row],[TDS]]-Table432[[#This Row],[RTN]]-Table432[[#This Row],[RECIVED AMOUNT]]</f>
        <v>0</v>
      </c>
      <c r="T353" s="55"/>
      <c r="U353" s="3"/>
      <c r="V353" s="41">
        <f>Table432[[#This Row],[BALANCE]]-Table432[[#This Row],[RECIVED AMOUNT2]]</f>
        <v>0</v>
      </c>
      <c r="W353" s="50"/>
      <c r="X353" s="50"/>
    </row>
    <row r="354" spans="1:121" ht="19.95" customHeight="1">
      <c r="A354" s="78">
        <v>45716</v>
      </c>
      <c r="B354" s="31" t="s">
        <v>555</v>
      </c>
      <c r="C354" s="32" t="s">
        <v>556</v>
      </c>
      <c r="D354" s="31"/>
      <c r="E354" s="31" t="s">
        <v>557</v>
      </c>
      <c r="F354" s="33" t="s">
        <v>37</v>
      </c>
      <c r="G354" s="34">
        <v>998531</v>
      </c>
      <c r="H354" s="23">
        <v>0.18</v>
      </c>
      <c r="I354" s="42">
        <v>5824</v>
      </c>
      <c r="J354" s="42">
        <f t="shared" si="26"/>
        <v>524.16</v>
      </c>
      <c r="K354" s="42">
        <f t="shared" si="25"/>
        <v>524.16</v>
      </c>
      <c r="L354" s="43"/>
      <c r="M354" s="44">
        <f>Table432[[#This Row],[Taxable Amount]]+Table432[[#This Row],[SGST]]+Table432[[#This Row],[CGST]]</f>
        <v>6872.32</v>
      </c>
      <c r="N354" s="142">
        <f>Table432[[#This Row],[Taxable Amount]]*1%</f>
        <v>58.24</v>
      </c>
      <c r="O354" s="152">
        <v>0</v>
      </c>
      <c r="P354" s="154"/>
      <c r="Q354" s="101"/>
      <c r="R354" s="115" t="s">
        <v>558</v>
      </c>
      <c r="S354" s="138">
        <f>Table432[[#This Row],[Invoice Amount]]-Table432[[#This Row],[TDS]]-Table432[[#This Row],[RTN]]-Table432[[#This Row],[RECIVED AMOUNT]]</f>
        <v>6814.08</v>
      </c>
      <c r="T354" s="63"/>
      <c r="U354" s="31"/>
      <c r="V354" s="41">
        <f>Table432[[#This Row],[BALANCE]]-Table432[[#This Row],[RECIVED AMOUNT2]]</f>
        <v>6814.08</v>
      </c>
      <c r="W354" s="50"/>
      <c r="X354" s="50"/>
    </row>
    <row r="355" spans="1:121" s="448" customFormat="1" ht="19.95" customHeight="1">
      <c r="A355" s="432">
        <v>45716</v>
      </c>
      <c r="B355" s="433" t="s">
        <v>559</v>
      </c>
      <c r="C355" s="433" t="s">
        <v>157</v>
      </c>
      <c r="D355" s="433" t="s">
        <v>158</v>
      </c>
      <c r="E355" s="433" t="s">
        <v>67</v>
      </c>
      <c r="F355" s="434" t="s">
        <v>560</v>
      </c>
      <c r="G355" s="435">
        <v>998531</v>
      </c>
      <c r="H355" s="436">
        <v>0.18</v>
      </c>
      <c r="I355" s="437">
        <v>10440</v>
      </c>
      <c r="J355" s="437">
        <f t="shared" si="26"/>
        <v>939.6</v>
      </c>
      <c r="K355" s="437">
        <f t="shared" si="25"/>
        <v>939.6</v>
      </c>
      <c r="L355" s="438"/>
      <c r="M355" s="439">
        <f>Table432[[#This Row],[Taxable Amount]]+Table432[[#This Row],[SGST]]+Table432[[#This Row],[CGST]]</f>
        <v>12319.2</v>
      </c>
      <c r="N355" s="440">
        <f>Table432[[#This Row],[Taxable Amount]]*1%</f>
        <v>104.4</v>
      </c>
      <c r="O355" s="441">
        <v>0</v>
      </c>
      <c r="P355" s="442">
        <v>10336</v>
      </c>
      <c r="Q355" s="443">
        <v>45773</v>
      </c>
      <c r="R355" s="449" t="s">
        <v>473</v>
      </c>
      <c r="S355" s="445">
        <f>Table432[[#This Row],[Invoice Amount]]-Table432[[#This Row],[TDS]]-Table432[[#This Row],[RTN]]-Table432[[#This Row],[RECIVED AMOUNT]]</f>
        <v>1878.8000000000011</v>
      </c>
      <c r="T355" s="446">
        <v>1880</v>
      </c>
      <c r="U355" s="450">
        <v>45808</v>
      </c>
      <c r="V355" s="438">
        <f>Table432[[#This Row],[BALANCE]]-Table432[[#This Row],[RECIVED AMOUNT2]]</f>
        <v>-1.1999999999989086</v>
      </c>
      <c r="W355" s="447"/>
      <c r="X355" s="447"/>
    </row>
    <row r="356" spans="1:121" s="14" customFormat="1" ht="19.95" customHeight="1">
      <c r="A356" s="2">
        <v>45716</v>
      </c>
      <c r="B356" s="3" t="s">
        <v>561</v>
      </c>
      <c r="C356" s="3" t="s">
        <v>23</v>
      </c>
      <c r="D356" s="3" t="s">
        <v>24</v>
      </c>
      <c r="E356" s="3" t="s">
        <v>25</v>
      </c>
      <c r="F356" s="4" t="s">
        <v>560</v>
      </c>
      <c r="G356" s="22">
        <v>998531</v>
      </c>
      <c r="H356" s="23">
        <v>0.18</v>
      </c>
      <c r="I356" s="9">
        <v>5600</v>
      </c>
      <c r="J356" s="9">
        <f t="shared" si="26"/>
        <v>504</v>
      </c>
      <c r="K356" s="9">
        <f t="shared" si="25"/>
        <v>504</v>
      </c>
      <c r="L356" s="9"/>
      <c r="M356" s="37">
        <f>Table432[[#This Row],[Taxable Amount]]+Table432[[#This Row],[SGST]]+Table432[[#This Row],[CGST]]</f>
        <v>6608</v>
      </c>
      <c r="N356" s="71">
        <f>Table432[[#This Row],[Taxable Amount]]*1%</f>
        <v>56</v>
      </c>
      <c r="O356" s="150">
        <v>0</v>
      </c>
      <c r="P356" s="148">
        <v>13309</v>
      </c>
      <c r="Q356" s="59">
        <v>45785</v>
      </c>
      <c r="R356" s="117" t="s">
        <v>492</v>
      </c>
      <c r="S356" s="138">
        <f>Table432[[#This Row],[Invoice Amount]]-Table432[[#This Row],[TDS]]-Table432[[#This Row],[RTN]]-Table432[[#This Row],[RECIVED AMOUNT]]</f>
        <v>-6757</v>
      </c>
      <c r="T356" s="55"/>
      <c r="U356" s="3"/>
      <c r="V356" s="41">
        <f>Table432[[#This Row],[BALANCE]]-Table432[[#This Row],[RECIVED AMOUNT2]]</f>
        <v>-6757</v>
      </c>
      <c r="W356" s="209"/>
      <c r="X356" s="209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</row>
    <row r="357" spans="1:121" ht="19.95" customHeight="1">
      <c r="A357" s="79">
        <v>45716</v>
      </c>
      <c r="B357" s="21" t="s">
        <v>562</v>
      </c>
      <c r="C357" s="21" t="s">
        <v>42</v>
      </c>
      <c r="D357" s="21" t="s">
        <v>43</v>
      </c>
      <c r="E357" s="21" t="s">
        <v>44</v>
      </c>
      <c r="F357" s="22" t="s">
        <v>26</v>
      </c>
      <c r="G357" s="22">
        <v>998531</v>
      </c>
      <c r="H357" s="23">
        <v>0.18</v>
      </c>
      <c r="I357" s="36">
        <v>39480</v>
      </c>
      <c r="J357" s="36">
        <f t="shared" si="26"/>
        <v>3553.2</v>
      </c>
      <c r="K357" s="36">
        <f t="shared" si="25"/>
        <v>3553.2</v>
      </c>
      <c r="L357" s="37"/>
      <c r="M357" s="37">
        <f>Table432[[#This Row],[Taxable Amount]]+Table432[[#This Row],[SGST]]+Table432[[#This Row],[CGST]]</f>
        <v>46586.399999999994</v>
      </c>
      <c r="N357" s="71">
        <f>Table432[[#This Row],[Taxable Amount]]*1%</f>
        <v>394.8</v>
      </c>
      <c r="O357" s="173">
        <v>987</v>
      </c>
      <c r="P357" s="148">
        <v>45204</v>
      </c>
      <c r="Q357" s="59">
        <v>45729</v>
      </c>
      <c r="R357" s="117" t="s">
        <v>492</v>
      </c>
      <c r="S357" s="138">
        <f>Table432[[#This Row],[Invoice Amount]]-Table432[[#This Row],[TDS]]-Table432[[#This Row],[RTN]]-Table432[[#This Row],[RECIVED AMOUNT]]</f>
        <v>0.59999999999126885</v>
      </c>
      <c r="T357" s="49"/>
      <c r="U357" s="3"/>
      <c r="V357" s="41">
        <f>Table432[[#This Row],[BALANCE]]-Table432[[#This Row],[RECIVED AMOUNT2]]</f>
        <v>0.59999999999126885</v>
      </c>
      <c r="W357" s="50"/>
      <c r="X357" s="50"/>
    </row>
    <row r="358" spans="1:121" ht="19.95" customHeight="1">
      <c r="A358" s="68">
        <v>45716</v>
      </c>
      <c r="B358" s="3" t="s">
        <v>306</v>
      </c>
      <c r="C358" s="21" t="s">
        <v>42</v>
      </c>
      <c r="D358" s="3" t="s">
        <v>43</v>
      </c>
      <c r="E358" s="3" t="s">
        <v>163</v>
      </c>
      <c r="F358" s="4" t="s">
        <v>26</v>
      </c>
      <c r="G358" s="22">
        <v>998531</v>
      </c>
      <c r="H358" s="23">
        <v>0.18</v>
      </c>
      <c r="I358" s="9">
        <v>10200</v>
      </c>
      <c r="J358" s="9">
        <f t="shared" si="26"/>
        <v>918</v>
      </c>
      <c r="K358" s="9">
        <f t="shared" si="25"/>
        <v>918</v>
      </c>
      <c r="L358" s="41"/>
      <c r="M358" s="37">
        <f>Table432[[#This Row],[Taxable Amount]]+Table432[[#This Row],[SGST]]+Table432[[#This Row],[CGST]]</f>
        <v>12036</v>
      </c>
      <c r="N358" s="71">
        <f>Table432[[#This Row],[Taxable Amount]]*1%</f>
        <v>102</v>
      </c>
      <c r="O358" s="157">
        <v>255</v>
      </c>
      <c r="P358" s="148"/>
      <c r="Q358" s="59"/>
      <c r="R358" s="117" t="s">
        <v>492</v>
      </c>
      <c r="S358" s="138">
        <f>Table432[[#This Row],[Invoice Amount]]-Table432[[#This Row],[TDS]]-Table432[[#This Row],[RTN]]-Table432[[#This Row],[RECIVED AMOUNT]]</f>
        <v>11679</v>
      </c>
      <c r="T358" s="55"/>
      <c r="U358" s="3"/>
      <c r="V358" s="41">
        <f>Table432[[#This Row],[BALANCE]]-Table432[[#This Row],[RECIVED AMOUNT2]]</f>
        <v>11679</v>
      </c>
      <c r="W358" s="50"/>
      <c r="X358" s="50"/>
    </row>
    <row r="359" spans="1:121" ht="19.95" customHeight="1">
      <c r="A359" s="103">
        <v>45727</v>
      </c>
      <c r="B359" s="104" t="s">
        <v>563</v>
      </c>
      <c r="C359" s="105" t="s">
        <v>372</v>
      </c>
      <c r="D359" s="104"/>
      <c r="E359" s="104"/>
      <c r="F359" s="106"/>
      <c r="G359" s="34">
        <v>998531</v>
      </c>
      <c r="H359" s="23">
        <v>0.18</v>
      </c>
      <c r="I359" s="107"/>
      <c r="J359" s="107">
        <f t="shared" si="26"/>
        <v>0</v>
      </c>
      <c r="K359" s="107">
        <f t="shared" si="25"/>
        <v>0</v>
      </c>
      <c r="L359" s="108"/>
      <c r="M359" s="44">
        <f>Table432[[#This Row],[Taxable Amount]]+Table432[[#This Row],[SGST]]+Table432[[#This Row],[CGST]]</f>
        <v>0</v>
      </c>
      <c r="N359" s="142">
        <f>Table432[[#This Row],[Taxable Amount]]*1%</f>
        <v>0</v>
      </c>
      <c r="O359" s="183"/>
      <c r="P359" s="204"/>
      <c r="Q359" s="111"/>
      <c r="R359" s="200" t="s">
        <v>243</v>
      </c>
      <c r="S359" s="138">
        <f>Table432[[#This Row],[Invoice Amount]]-Table432[[#This Row],[TDS]]-Table432[[#This Row],[RTN]]-Table432[[#This Row],[RECIVED AMOUNT]]</f>
        <v>0</v>
      </c>
      <c r="T359" s="112"/>
      <c r="U359" s="104"/>
      <c r="V359" s="41">
        <f>Table432[[#This Row],[BALANCE]]-Table432[[#This Row],[RECIVED AMOUNT2]]</f>
        <v>0</v>
      </c>
      <c r="W359" s="50"/>
      <c r="X359" s="50"/>
    </row>
    <row r="360" spans="1:121" s="17" customFormat="1" ht="19.95" customHeight="1">
      <c r="A360" s="68">
        <v>45728</v>
      </c>
      <c r="B360" s="3" t="s">
        <v>564</v>
      </c>
      <c r="C360" s="3" t="s">
        <v>475</v>
      </c>
      <c r="D360" s="3" t="s">
        <v>476</v>
      </c>
      <c r="E360" s="3" t="s">
        <v>477</v>
      </c>
      <c r="F360" s="4" t="s">
        <v>26</v>
      </c>
      <c r="G360" s="22">
        <v>998531</v>
      </c>
      <c r="H360" s="23">
        <v>0.18</v>
      </c>
      <c r="I360" s="9">
        <v>16000</v>
      </c>
      <c r="J360" s="9">
        <f t="shared" si="26"/>
        <v>1440</v>
      </c>
      <c r="K360" s="9">
        <f t="shared" si="25"/>
        <v>1440</v>
      </c>
      <c r="L360" s="41"/>
      <c r="M360" s="37">
        <f>Table432[[#This Row],[Taxable Amount]]+Table432[[#This Row],[SGST]]+Table432[[#This Row],[CGST]]</f>
        <v>18880</v>
      </c>
      <c r="N360" s="71"/>
      <c r="O360" s="157">
        <v>0</v>
      </c>
      <c r="P360" s="148">
        <v>18880</v>
      </c>
      <c r="Q360" s="59">
        <v>45735</v>
      </c>
      <c r="R360" s="117" t="s">
        <v>473</v>
      </c>
      <c r="S360" s="138">
        <f>Table432[[#This Row],[Invoice Amount]]-Table432[[#This Row],[TDS]]-Table432[[#This Row],[RTN]]-Table432[[#This Row],[RECIVED AMOUNT]]</f>
        <v>0</v>
      </c>
      <c r="T360" s="55"/>
      <c r="U360" s="3"/>
      <c r="V360" s="41">
        <f>Table432[[#This Row],[BALANCE]]-Table432[[#This Row],[RECIVED AMOUNT2]]</f>
        <v>0</v>
      </c>
      <c r="W360" s="212"/>
      <c r="X360" s="212"/>
    </row>
    <row r="361" spans="1:121" s="481" customFormat="1" ht="19.95" customHeight="1">
      <c r="A361" s="493">
        <v>45736</v>
      </c>
      <c r="B361" s="482" t="s">
        <v>565</v>
      </c>
      <c r="C361" s="482" t="s">
        <v>319</v>
      </c>
      <c r="D361" s="482" t="s">
        <v>320</v>
      </c>
      <c r="E361" s="482" t="s">
        <v>59</v>
      </c>
      <c r="F361" s="486" t="s">
        <v>26</v>
      </c>
      <c r="G361" s="494">
        <v>998531</v>
      </c>
      <c r="H361" s="470">
        <v>0.18</v>
      </c>
      <c r="I361" s="487">
        <v>19500</v>
      </c>
      <c r="J361" s="487">
        <f t="shared" si="26"/>
        <v>1755</v>
      </c>
      <c r="K361" s="487">
        <f t="shared" si="25"/>
        <v>1755</v>
      </c>
      <c r="L361" s="480"/>
      <c r="M361" s="495">
        <f>Table432[[#This Row],[Taxable Amount]]+Table432[[#This Row],[SGST]]+Table432[[#This Row],[CGST]]</f>
        <v>23010</v>
      </c>
      <c r="N361" s="496">
        <f>Table432[[#This Row],[Taxable Amount]]*1%</f>
        <v>195</v>
      </c>
      <c r="O361" s="489">
        <v>0</v>
      </c>
      <c r="P361" s="497">
        <v>22814</v>
      </c>
      <c r="Q361" s="491">
        <v>45777</v>
      </c>
      <c r="R361" s="492" t="s">
        <v>473</v>
      </c>
      <c r="S361" s="479">
        <f>Table432[[#This Row],[Invoice Amount]]-Table432[[#This Row],[TDS]]-Table432[[#This Row],[RTN]]-Table432[[#This Row],[RECIVED AMOUNT]]</f>
        <v>1</v>
      </c>
      <c r="T361" s="498"/>
      <c r="U361" s="482"/>
      <c r="V361" s="480">
        <f>Table432[[#This Row],[BALANCE]]-Table432[[#This Row],[RECIVED AMOUNT2]]</f>
        <v>1</v>
      </c>
      <c r="W361" s="499"/>
      <c r="X361" s="499"/>
    </row>
    <row r="362" spans="1:121" ht="19.95" customHeight="1">
      <c r="A362" s="68">
        <v>45736</v>
      </c>
      <c r="B362" s="3" t="s">
        <v>566</v>
      </c>
      <c r="C362" s="21" t="s">
        <v>567</v>
      </c>
      <c r="D362" s="21" t="s">
        <v>568</v>
      </c>
      <c r="E362" s="3" t="s">
        <v>232</v>
      </c>
      <c r="F362" s="4" t="s">
        <v>37</v>
      </c>
      <c r="G362" s="22">
        <v>998531</v>
      </c>
      <c r="H362" s="23">
        <v>0.18</v>
      </c>
      <c r="I362" s="9">
        <v>4140</v>
      </c>
      <c r="J362" s="9">
        <f t="shared" si="26"/>
        <v>372.6</v>
      </c>
      <c r="K362" s="9">
        <f t="shared" si="25"/>
        <v>372.6</v>
      </c>
      <c r="L362" s="41"/>
      <c r="M362" s="37">
        <f>Table432[[#This Row],[Taxable Amount]]+Table432[[#This Row],[SGST]]+Table432[[#This Row],[CGST]]</f>
        <v>4885.2000000000007</v>
      </c>
      <c r="N362" s="71">
        <v>0</v>
      </c>
      <c r="O362" s="157">
        <v>0</v>
      </c>
      <c r="P362" s="148">
        <v>4885</v>
      </c>
      <c r="Q362" s="59">
        <v>45785</v>
      </c>
      <c r="R362" s="117" t="s">
        <v>473</v>
      </c>
      <c r="S362" s="138">
        <f>Table432[[#This Row],[Invoice Amount]]-Table432[[#This Row],[TDS]]-Table432[[#This Row],[RTN]]-Table432[[#This Row],[RECIVED AMOUNT]]</f>
        <v>0.2000000000007276</v>
      </c>
      <c r="T362" s="55"/>
      <c r="U362" s="3"/>
      <c r="V362" s="41">
        <f>Table432[[#This Row],[BALANCE]]-Table432[[#This Row],[RECIVED AMOUNT2]]</f>
        <v>0.2000000000007276</v>
      </c>
      <c r="W362" s="50"/>
      <c r="X362" s="50"/>
    </row>
    <row r="363" spans="1:121" ht="19.95" customHeight="1">
      <c r="A363" s="86">
        <v>45736</v>
      </c>
      <c r="B363" s="7" t="s">
        <v>569</v>
      </c>
      <c r="C363" s="3" t="s">
        <v>963</v>
      </c>
      <c r="D363" s="7" t="s">
        <v>143</v>
      </c>
      <c r="E363" s="7" t="s">
        <v>515</v>
      </c>
      <c r="F363" s="5" t="s">
        <v>560</v>
      </c>
      <c r="G363" s="85">
        <v>998531</v>
      </c>
      <c r="H363" s="23">
        <v>0.18</v>
      </c>
      <c r="I363" s="69">
        <v>3450</v>
      </c>
      <c r="J363" s="69">
        <f t="shared" si="26"/>
        <v>310.5</v>
      </c>
      <c r="K363" s="69">
        <f t="shared" si="25"/>
        <v>310.5</v>
      </c>
      <c r="L363" s="70"/>
      <c r="M363" s="94">
        <f>Table432[[#This Row],[Taxable Amount]]+Table432[[#This Row],[SGST]]+Table432[[#This Row],[CGST]]</f>
        <v>4071</v>
      </c>
      <c r="N363" s="155">
        <f>Table432[[#This Row],[Taxable Amount]]*1%</f>
        <v>34.5</v>
      </c>
      <c r="O363" s="158">
        <v>0</v>
      </c>
      <c r="P363" s="156"/>
      <c r="Q363" s="102"/>
      <c r="R363" s="116" t="s">
        <v>413</v>
      </c>
      <c r="S363" s="138">
        <f>Table432[[#This Row],[Invoice Amount]]-Table432[[#This Row],[TDS]]-Table432[[#This Row],[RTN]]-Table432[[#This Row],[RECIVED AMOUNT]]</f>
        <v>4036.5</v>
      </c>
      <c r="T363" s="99"/>
      <c r="U363" s="7"/>
      <c r="V363" s="41">
        <f>Table432[[#This Row],[BALANCE]]-Table432[[#This Row],[RECIVED AMOUNT2]]</f>
        <v>4036.5</v>
      </c>
      <c r="W363" s="50"/>
      <c r="X363" s="50"/>
    </row>
    <row r="364" spans="1:121" s="10" customFormat="1" ht="19.95" customHeight="1">
      <c r="A364" s="68">
        <v>45737</v>
      </c>
      <c r="B364" s="3" t="s">
        <v>570</v>
      </c>
      <c r="C364" s="3" t="s">
        <v>258</v>
      </c>
      <c r="D364" s="3" t="s">
        <v>259</v>
      </c>
      <c r="E364" s="3" t="s">
        <v>260</v>
      </c>
      <c r="F364" s="4" t="s">
        <v>26</v>
      </c>
      <c r="G364" s="22">
        <v>998531</v>
      </c>
      <c r="H364" s="23">
        <v>0.18</v>
      </c>
      <c r="I364" s="9">
        <v>16275</v>
      </c>
      <c r="J364" s="9">
        <f t="shared" si="26"/>
        <v>1464.75</v>
      </c>
      <c r="K364" s="9">
        <f t="shared" si="25"/>
        <v>1464.75</v>
      </c>
      <c r="L364" s="41"/>
      <c r="M364" s="37">
        <f>Table432[[#This Row],[Taxable Amount]]+Table432[[#This Row],[SGST]]+Table432[[#This Row],[CGST]]</f>
        <v>19204.5</v>
      </c>
      <c r="N364" s="71">
        <f>Table432[[#This Row],[Taxable Amount]]*1%</f>
        <v>162.75</v>
      </c>
      <c r="O364" s="157">
        <v>0</v>
      </c>
      <c r="P364" s="148">
        <v>19041</v>
      </c>
      <c r="Q364" s="59">
        <v>45868</v>
      </c>
      <c r="R364" s="117" t="s">
        <v>473</v>
      </c>
      <c r="S364" s="138">
        <f>Table432[[#This Row],[Invoice Amount]]-Table432[[#This Row],[TDS]]-Table432[[#This Row],[RTN]]-Table432[[#This Row],[RECIVED AMOUNT]]</f>
        <v>0.75</v>
      </c>
      <c r="T364" s="55"/>
      <c r="U364" s="3"/>
      <c r="V364" s="41">
        <f>Table432[[#This Row],[BALANCE]]-Table432[[#This Row],[RECIVED AMOUNT2]]</f>
        <v>0.75</v>
      </c>
      <c r="W364" s="211"/>
      <c r="X364" s="211"/>
    </row>
    <row r="365" spans="1:121" s="325" customFormat="1" ht="19.95" customHeight="1">
      <c r="A365" s="345">
        <v>45740</v>
      </c>
      <c r="B365" s="327" t="s">
        <v>571</v>
      </c>
      <c r="C365" s="327" t="s">
        <v>96</v>
      </c>
      <c r="D365" s="327" t="s">
        <v>97</v>
      </c>
      <c r="E365" s="327" t="s">
        <v>85</v>
      </c>
      <c r="F365" s="332" t="s">
        <v>26</v>
      </c>
      <c r="G365" s="346">
        <v>998531</v>
      </c>
      <c r="H365" s="317">
        <v>0.18</v>
      </c>
      <c r="I365" s="340">
        <v>14400</v>
      </c>
      <c r="J365" s="340">
        <f t="shared" si="26"/>
        <v>1296</v>
      </c>
      <c r="K365" s="340">
        <f t="shared" si="25"/>
        <v>1296</v>
      </c>
      <c r="L365" s="324"/>
      <c r="M365" s="347">
        <f>Table432[[#This Row],[Taxable Amount]]+Table432[[#This Row],[SGST]]+Table432[[#This Row],[CGST]]</f>
        <v>16992</v>
      </c>
      <c r="N365" s="348">
        <f>Table432[[#This Row],[Taxable Amount]]*1%</f>
        <v>144</v>
      </c>
      <c r="O365" s="349">
        <v>0</v>
      </c>
      <c r="P365" s="357"/>
      <c r="Q365" s="358" t="s">
        <v>18</v>
      </c>
      <c r="R365" s="350" t="s">
        <v>413</v>
      </c>
      <c r="S365" s="323">
        <f>Table432[[#This Row],[Invoice Amount]]-Table432[[#This Row],[TDS]]-Table432[[#This Row],[RTN]]-Table432[[#This Row],[RECIVED AMOUNT]]</f>
        <v>16848</v>
      </c>
      <c r="T365" s="351"/>
      <c r="U365" s="327"/>
      <c r="V365" s="324">
        <f>Table432[[#This Row],[BALANCE]]-Table432[[#This Row],[RECIVED AMOUNT2]]</f>
        <v>16848</v>
      </c>
      <c r="W365" s="352"/>
      <c r="X365" s="352"/>
    </row>
    <row r="366" spans="1:121" s="325" customFormat="1" ht="19.95" customHeight="1">
      <c r="A366" s="345">
        <v>45740</v>
      </c>
      <c r="B366" s="327" t="s">
        <v>572</v>
      </c>
      <c r="C366" s="327" t="s">
        <v>96</v>
      </c>
      <c r="D366" s="327" t="s">
        <v>97</v>
      </c>
      <c r="E366" s="327" t="s">
        <v>89</v>
      </c>
      <c r="F366" s="332" t="s">
        <v>26</v>
      </c>
      <c r="G366" s="346">
        <v>998531</v>
      </c>
      <c r="H366" s="317">
        <v>0.18</v>
      </c>
      <c r="I366" s="340">
        <v>35000</v>
      </c>
      <c r="J366" s="340">
        <f t="shared" si="26"/>
        <v>3150</v>
      </c>
      <c r="K366" s="340">
        <f t="shared" si="25"/>
        <v>3150</v>
      </c>
      <c r="L366" s="324"/>
      <c r="M366" s="347">
        <f>Table432[[#This Row],[Taxable Amount]]+Table432[[#This Row],[SGST]]+Table432[[#This Row],[CGST]]</f>
        <v>41300</v>
      </c>
      <c r="N366" s="348">
        <f>Table432[[#This Row],[Taxable Amount]]*1%</f>
        <v>350</v>
      </c>
      <c r="O366" s="349">
        <v>0</v>
      </c>
      <c r="P366" s="357"/>
      <c r="Q366" s="358" t="s">
        <v>18</v>
      </c>
      <c r="R366" s="350" t="s">
        <v>413</v>
      </c>
      <c r="S366" s="323">
        <f>Table432[[#This Row],[Invoice Amount]]-Table432[[#This Row],[TDS]]-Table432[[#This Row],[RTN]]-Table432[[#This Row],[RECIVED AMOUNT]]</f>
        <v>40950</v>
      </c>
      <c r="T366" s="351"/>
      <c r="U366" s="327"/>
      <c r="V366" s="324">
        <f>Table432[[#This Row],[BALANCE]]-Table432[[#This Row],[RECIVED AMOUNT2]]</f>
        <v>40950</v>
      </c>
      <c r="W366" s="352"/>
      <c r="X366" s="352"/>
    </row>
    <row r="367" spans="1:121" s="325" customFormat="1" ht="19.95" customHeight="1">
      <c r="A367" s="345">
        <v>45740</v>
      </c>
      <c r="B367" s="327" t="s">
        <v>573</v>
      </c>
      <c r="C367" s="327" t="s">
        <v>96</v>
      </c>
      <c r="D367" s="327" t="s">
        <v>97</v>
      </c>
      <c r="E367" s="327" t="s">
        <v>89</v>
      </c>
      <c r="F367" s="332" t="s">
        <v>26</v>
      </c>
      <c r="G367" s="346">
        <v>998531</v>
      </c>
      <c r="H367" s="317">
        <v>0.18</v>
      </c>
      <c r="I367" s="340">
        <v>20000</v>
      </c>
      <c r="J367" s="340">
        <f t="shared" si="26"/>
        <v>1800</v>
      </c>
      <c r="K367" s="340">
        <f t="shared" si="25"/>
        <v>1800</v>
      </c>
      <c r="L367" s="324"/>
      <c r="M367" s="347">
        <f>Table432[[#This Row],[Taxable Amount]]+Table432[[#This Row],[SGST]]+Table432[[#This Row],[CGST]]</f>
        <v>23600</v>
      </c>
      <c r="N367" s="348">
        <f>Table432[[#This Row],[Taxable Amount]]*1%</f>
        <v>200</v>
      </c>
      <c r="O367" s="349"/>
      <c r="P367" s="357"/>
      <c r="Q367" s="358" t="s">
        <v>18</v>
      </c>
      <c r="R367" s="350" t="s">
        <v>413</v>
      </c>
      <c r="S367" s="323">
        <f>Table432[[#This Row],[Invoice Amount]]-Table432[[#This Row],[TDS]]-Table432[[#This Row],[RTN]]-Table432[[#This Row],[RECIVED AMOUNT]]</f>
        <v>23400</v>
      </c>
      <c r="T367" s="351"/>
      <c r="U367" s="327"/>
      <c r="V367" s="324">
        <f>Table432[[#This Row],[BALANCE]]-Table432[[#This Row],[RECIVED AMOUNT2]]</f>
        <v>23400</v>
      </c>
      <c r="W367" s="352"/>
      <c r="X367" s="352"/>
    </row>
    <row r="368" spans="1:121" s="10" customFormat="1" ht="19.95" customHeight="1">
      <c r="A368" s="86">
        <v>45745</v>
      </c>
      <c r="B368" s="7" t="s">
        <v>574</v>
      </c>
      <c r="C368" s="7" t="s">
        <v>575</v>
      </c>
      <c r="D368" s="7" t="s">
        <v>576</v>
      </c>
      <c r="E368" s="7" t="s">
        <v>577</v>
      </c>
      <c r="F368" s="5" t="s">
        <v>26</v>
      </c>
      <c r="G368" s="85">
        <v>998531</v>
      </c>
      <c r="H368" s="23">
        <v>0.18</v>
      </c>
      <c r="I368" s="69">
        <v>42000</v>
      </c>
      <c r="J368" s="69">
        <f t="shared" si="26"/>
        <v>3780</v>
      </c>
      <c r="K368" s="69">
        <f t="shared" si="25"/>
        <v>3780</v>
      </c>
      <c r="L368" s="70"/>
      <c r="M368" s="94">
        <f>Table432[[#This Row],[Taxable Amount]]+Table432[[#This Row],[SGST]]+Table432[[#This Row],[CGST]]</f>
        <v>49560</v>
      </c>
      <c r="N368" s="155">
        <f>Table432[[#This Row],[Taxable Amount]]*1%</f>
        <v>420</v>
      </c>
      <c r="O368" s="158"/>
      <c r="P368" s="156">
        <v>41580</v>
      </c>
      <c r="Q368" s="97">
        <v>45754</v>
      </c>
      <c r="R368" s="116" t="s">
        <v>413</v>
      </c>
      <c r="S368" s="138">
        <f>Table432[[#This Row],[Invoice Amount]]-Table432[[#This Row],[TDS]]-Table432[[#This Row],[RTN]]-Table432[[#This Row],[RECIVED AMOUNT]]</f>
        <v>7560</v>
      </c>
      <c r="T368" s="99"/>
      <c r="U368" s="7"/>
      <c r="V368" s="41">
        <f>Table432[[#This Row],[BALANCE]]-Table432[[#This Row],[RECIVED AMOUNT2]]</f>
        <v>7560</v>
      </c>
      <c r="W368" s="211"/>
      <c r="X368" s="211"/>
    </row>
    <row r="369" spans="1:24" s="10" customFormat="1" ht="19.95" customHeight="1">
      <c r="A369" s="68">
        <v>45746</v>
      </c>
      <c r="B369" s="3" t="s">
        <v>578</v>
      </c>
      <c r="C369" s="21" t="s">
        <v>116</v>
      </c>
      <c r="D369" s="3" t="s">
        <v>117</v>
      </c>
      <c r="E369" s="3" t="s">
        <v>59</v>
      </c>
      <c r="F369" s="3" t="s">
        <v>26</v>
      </c>
      <c r="G369" s="22">
        <v>998531</v>
      </c>
      <c r="H369" s="23">
        <v>0.18</v>
      </c>
      <c r="I369" s="9">
        <v>17300</v>
      </c>
      <c r="J369" s="9">
        <f t="shared" si="26"/>
        <v>1557</v>
      </c>
      <c r="K369" s="9">
        <f t="shared" si="25"/>
        <v>1557</v>
      </c>
      <c r="L369" s="41"/>
      <c r="M369" s="37">
        <f>Table432[[#This Row],[Taxable Amount]]+Table432[[#This Row],[SGST]]+Table432[[#This Row],[CGST]]</f>
        <v>20414</v>
      </c>
      <c r="N369" s="71">
        <f>Table432[[#This Row],[Taxable Amount]]*1%</f>
        <v>173</v>
      </c>
      <c r="O369" s="157">
        <v>0</v>
      </c>
      <c r="P369" s="148">
        <v>20241</v>
      </c>
      <c r="Q369" s="59">
        <v>45772</v>
      </c>
      <c r="R369" s="117" t="s">
        <v>473</v>
      </c>
      <c r="S369" s="138">
        <f>Table432[[#This Row],[Invoice Amount]]-Table432[[#This Row],[TDS]]-Table432[[#This Row],[RTN]]-Table432[[#This Row],[RECIVED AMOUNT]]</f>
        <v>0</v>
      </c>
      <c r="T369" s="55"/>
      <c r="U369" s="3"/>
      <c r="V369" s="41">
        <f>Table432[[#This Row],[BALANCE]]-Table432[[#This Row],[RECIVED AMOUNT2]]</f>
        <v>0</v>
      </c>
      <c r="W369" s="211"/>
      <c r="X369" s="211"/>
    </row>
    <row r="370" spans="1:24" s="13" customFormat="1" ht="19.95" customHeight="1">
      <c r="A370" s="78">
        <v>45747</v>
      </c>
      <c r="B370" s="31" t="s">
        <v>579</v>
      </c>
      <c r="C370" s="31" t="s">
        <v>173</v>
      </c>
      <c r="D370" s="31"/>
      <c r="E370" s="31" t="s">
        <v>62</v>
      </c>
      <c r="F370" s="33" t="s">
        <v>26</v>
      </c>
      <c r="G370" s="34">
        <v>998531</v>
      </c>
      <c r="H370" s="23">
        <v>0.18</v>
      </c>
      <c r="I370" s="42"/>
      <c r="J370" s="42">
        <f t="shared" si="26"/>
        <v>0</v>
      </c>
      <c r="K370" s="42">
        <f t="shared" si="25"/>
        <v>0</v>
      </c>
      <c r="L370" s="43"/>
      <c r="M370" s="44">
        <f>Table432[[#This Row],[Taxable Amount]]+Table432[[#This Row],[SGST]]+Table432[[#This Row],[CGST]]</f>
        <v>0</v>
      </c>
      <c r="N370" s="142">
        <f>Table432[[#This Row],[Taxable Amount]]*1%</f>
        <v>0</v>
      </c>
      <c r="O370" s="152"/>
      <c r="P370" s="154"/>
      <c r="Q370" s="101"/>
      <c r="R370" s="115" t="s">
        <v>580</v>
      </c>
      <c r="S370" s="138">
        <f>Table432[[#This Row],[Invoice Amount]]-Table432[[#This Row],[TDS]]-Table432[[#This Row],[RTN]]-Table432[[#This Row],[RECIVED AMOUNT]]</f>
        <v>0</v>
      </c>
      <c r="T370" s="63"/>
      <c r="U370" s="31"/>
      <c r="V370" s="41">
        <f>Table432[[#This Row],[BALANCE]]-Table432[[#This Row],[RECIVED AMOUNT2]]</f>
        <v>0</v>
      </c>
      <c r="W370" s="208"/>
      <c r="X370" s="208"/>
    </row>
    <row r="371" spans="1:24" s="325" customFormat="1" ht="19.95" customHeight="1">
      <c r="A371" s="345">
        <v>45747</v>
      </c>
      <c r="B371" s="327" t="s">
        <v>581</v>
      </c>
      <c r="C371" s="353" t="s">
        <v>337</v>
      </c>
      <c r="D371" s="353" t="s">
        <v>338</v>
      </c>
      <c r="E371" s="327" t="s">
        <v>59</v>
      </c>
      <c r="F371" s="332" t="s">
        <v>26</v>
      </c>
      <c r="G371" s="346">
        <v>998531</v>
      </c>
      <c r="H371" s="317">
        <v>0.18</v>
      </c>
      <c r="I371" s="340">
        <v>3500</v>
      </c>
      <c r="J371" s="340">
        <f t="shared" si="26"/>
        <v>315</v>
      </c>
      <c r="K371" s="340">
        <f t="shared" si="25"/>
        <v>315</v>
      </c>
      <c r="L371" s="324"/>
      <c r="M371" s="347">
        <f>Table432[[#This Row],[Taxable Amount]]+Table432[[#This Row],[SGST]]+Table432[[#This Row],[CGST]]</f>
        <v>4130</v>
      </c>
      <c r="N371" s="348">
        <v>0</v>
      </c>
      <c r="O371" s="349"/>
      <c r="P371" s="354"/>
      <c r="Q371" s="343"/>
      <c r="R371" s="344" t="s">
        <v>473</v>
      </c>
      <c r="S371" s="323">
        <f>Table432[[#This Row],[Invoice Amount]]-Table432[[#This Row],[TDS]]-Table432[[#This Row],[RTN]]-Table432[[#This Row],[RECIVED AMOUNT]]</f>
        <v>4130</v>
      </c>
      <c r="T371" s="351"/>
      <c r="U371" s="327"/>
      <c r="V371" s="324">
        <f>Table432[[#This Row],[BALANCE]]-Table432[[#This Row],[RECIVED AMOUNT2]]</f>
        <v>4130</v>
      </c>
      <c r="W371" s="352"/>
      <c r="X371" s="352"/>
    </row>
    <row r="372" spans="1:24" ht="19.95" customHeight="1">
      <c r="A372" s="68">
        <v>45747</v>
      </c>
      <c r="B372" s="3" t="s">
        <v>582</v>
      </c>
      <c r="C372" s="3" t="s">
        <v>390</v>
      </c>
      <c r="D372" s="3" t="s">
        <v>391</v>
      </c>
      <c r="E372" s="3" t="s">
        <v>260</v>
      </c>
      <c r="F372" s="4" t="s">
        <v>26</v>
      </c>
      <c r="G372" s="22">
        <v>998531</v>
      </c>
      <c r="H372" s="23">
        <v>0.18</v>
      </c>
      <c r="I372" s="9">
        <v>1464.75</v>
      </c>
      <c r="J372" s="9">
        <f t="shared" si="26"/>
        <v>131.82749999999999</v>
      </c>
      <c r="K372" s="9">
        <f t="shared" si="25"/>
        <v>131.82749999999999</v>
      </c>
      <c r="L372" s="41"/>
      <c r="M372" s="37">
        <f>Table432[[#This Row],[Taxable Amount]]+Table432[[#This Row],[SGST]]+Table432[[#This Row],[CGST]]</f>
        <v>1728.4049999999997</v>
      </c>
      <c r="N372" s="71">
        <f>Table432[[#This Row],[Taxable Amount]]*1%</f>
        <v>14.647500000000001</v>
      </c>
      <c r="O372" s="157">
        <v>0</v>
      </c>
      <c r="P372" s="148"/>
      <c r="Q372" s="59">
        <v>45863</v>
      </c>
      <c r="R372" s="117" t="s">
        <v>473</v>
      </c>
      <c r="S372" s="138">
        <f>Table432[[#This Row],[Invoice Amount]]-Table432[[#This Row],[TDS]]-Table432[[#This Row],[RTN]]-Table432[[#This Row],[RECIVED AMOUNT]]</f>
        <v>1713.7574999999997</v>
      </c>
      <c r="T372" s="55"/>
      <c r="U372" s="3"/>
      <c r="V372" s="41">
        <f>Table432[[#This Row],[BALANCE]]-Table432[[#This Row],[RECIVED AMOUNT2]]</f>
        <v>1713.7574999999997</v>
      </c>
      <c r="W372" s="50"/>
      <c r="X372" s="50"/>
    </row>
    <row r="373" spans="1:24" ht="19.95" customHeight="1">
      <c r="A373" s="68">
        <v>45747</v>
      </c>
      <c r="B373" s="3" t="s">
        <v>583</v>
      </c>
      <c r="C373" s="3" t="s">
        <v>390</v>
      </c>
      <c r="D373" s="3" t="s">
        <v>391</v>
      </c>
      <c r="E373" s="3" t="s">
        <v>260</v>
      </c>
      <c r="F373" s="4" t="s">
        <v>26</v>
      </c>
      <c r="G373" s="22">
        <v>998531</v>
      </c>
      <c r="H373" s="23">
        <v>0.18</v>
      </c>
      <c r="I373" s="9">
        <v>1473.75</v>
      </c>
      <c r="J373" s="9">
        <f t="shared" si="26"/>
        <v>132.63749999999999</v>
      </c>
      <c r="K373" s="9">
        <f t="shared" si="25"/>
        <v>132.63749999999999</v>
      </c>
      <c r="L373" s="41"/>
      <c r="M373" s="37">
        <f>Table432[[#This Row],[Taxable Amount]]+Table432[[#This Row],[SGST]]+Table432[[#This Row],[CGST]]</f>
        <v>1739.0250000000001</v>
      </c>
      <c r="N373" s="71">
        <f>Table432[[#This Row],[Taxable Amount]]*1%</f>
        <v>14.737500000000001</v>
      </c>
      <c r="O373" s="157">
        <v>0</v>
      </c>
      <c r="P373" s="148"/>
      <c r="Q373" s="59">
        <v>45863</v>
      </c>
      <c r="R373" s="117" t="s">
        <v>473</v>
      </c>
      <c r="S373" s="138">
        <f>Table432[[#This Row],[Invoice Amount]]-Table432[[#This Row],[TDS]]-Table432[[#This Row],[RTN]]-Table432[[#This Row],[RECIVED AMOUNT]]</f>
        <v>1724.2875000000001</v>
      </c>
      <c r="T373" s="55"/>
      <c r="U373" s="3"/>
      <c r="V373" s="41">
        <f>Table432[[#This Row],[BALANCE]]-Table432[[#This Row],[RECIVED AMOUNT2]]</f>
        <v>1724.2875000000001</v>
      </c>
      <c r="W373" s="50"/>
      <c r="X373" s="50"/>
    </row>
    <row r="374" spans="1:24" ht="19.95" customHeight="1">
      <c r="A374" s="68">
        <v>45747</v>
      </c>
      <c r="B374" s="3" t="s">
        <v>584</v>
      </c>
      <c r="C374" s="3" t="s">
        <v>390</v>
      </c>
      <c r="D374" s="3" t="s">
        <v>391</v>
      </c>
      <c r="E374" s="3" t="s">
        <v>260</v>
      </c>
      <c r="F374" s="4" t="s">
        <v>26</v>
      </c>
      <c r="G374" s="22">
        <v>998531</v>
      </c>
      <c r="H374" s="23">
        <v>0.18</v>
      </c>
      <c r="I374" s="9">
        <v>1116.75</v>
      </c>
      <c r="J374" s="9">
        <f t="shared" si="26"/>
        <v>100.50749999999999</v>
      </c>
      <c r="K374" s="9">
        <f t="shared" si="25"/>
        <v>100.50749999999999</v>
      </c>
      <c r="L374" s="41"/>
      <c r="M374" s="37">
        <f>Table432[[#This Row],[Taxable Amount]]+Table432[[#This Row],[SGST]]+Table432[[#This Row],[CGST]]</f>
        <v>1317.7649999999999</v>
      </c>
      <c r="N374" s="71">
        <f>Table432[[#This Row],[Taxable Amount]]*1%</f>
        <v>11.1675</v>
      </c>
      <c r="O374" s="157">
        <v>0</v>
      </c>
      <c r="P374" s="148"/>
      <c r="Q374" s="59">
        <v>45863</v>
      </c>
      <c r="R374" s="117" t="s">
        <v>473</v>
      </c>
      <c r="S374" s="138">
        <f>Table432[[#This Row],[Invoice Amount]]-Table432[[#This Row],[TDS]]-Table432[[#This Row],[RTN]]-Table432[[#This Row],[RECIVED AMOUNT]]</f>
        <v>1306.5974999999999</v>
      </c>
      <c r="T374" s="55"/>
      <c r="U374" s="3"/>
      <c r="V374" s="41">
        <f>Table432[[#This Row],[BALANCE]]-Table432[[#This Row],[RECIVED AMOUNT2]]</f>
        <v>1306.5974999999999</v>
      </c>
      <c r="W374" s="50"/>
      <c r="X374" s="50"/>
    </row>
    <row r="375" spans="1:24" ht="19.95" customHeight="1">
      <c r="A375" s="68">
        <v>45747</v>
      </c>
      <c r="B375" s="3" t="s">
        <v>585</v>
      </c>
      <c r="C375" s="3" t="s">
        <v>390</v>
      </c>
      <c r="D375" s="3" t="s">
        <v>391</v>
      </c>
      <c r="E375" s="3" t="s">
        <v>260</v>
      </c>
      <c r="F375" s="4" t="s">
        <v>26</v>
      </c>
      <c r="G375" s="22">
        <v>998531</v>
      </c>
      <c r="H375" s="23">
        <v>0.18</v>
      </c>
      <c r="I375" s="9">
        <v>1080</v>
      </c>
      <c r="J375" s="9">
        <f t="shared" si="26"/>
        <v>97.2</v>
      </c>
      <c r="K375" s="9">
        <f t="shared" si="25"/>
        <v>97.2</v>
      </c>
      <c r="L375" s="41"/>
      <c r="M375" s="37">
        <f>Table432[[#This Row],[Taxable Amount]]+Table432[[#This Row],[SGST]]+Table432[[#This Row],[CGST]]</f>
        <v>1274.4000000000001</v>
      </c>
      <c r="N375" s="71">
        <f>Table432[[#This Row],[Taxable Amount]]*1%</f>
        <v>10.8</v>
      </c>
      <c r="O375" s="157">
        <v>0</v>
      </c>
      <c r="P375" s="148"/>
      <c r="Q375" s="59">
        <v>45863</v>
      </c>
      <c r="R375" s="117" t="s">
        <v>473</v>
      </c>
      <c r="S375" s="138">
        <f>Table432[[#This Row],[Invoice Amount]]-Table432[[#This Row],[TDS]]-Table432[[#This Row],[RTN]]-Table432[[#This Row],[RECIVED AMOUNT]]</f>
        <v>1263.6000000000001</v>
      </c>
      <c r="T375" s="55"/>
      <c r="U375" s="3"/>
      <c r="V375" s="41">
        <f>Table432[[#This Row],[BALANCE]]-Table432[[#This Row],[RECIVED AMOUNT2]]</f>
        <v>1263.6000000000001</v>
      </c>
      <c r="W375" s="50"/>
      <c r="X375" s="50"/>
    </row>
    <row r="376" spans="1:24" ht="19.95" customHeight="1">
      <c r="A376" s="68">
        <v>45747</v>
      </c>
      <c r="B376" s="3" t="s">
        <v>586</v>
      </c>
      <c r="C376" s="3" t="s">
        <v>390</v>
      </c>
      <c r="D376" s="3" t="s">
        <v>391</v>
      </c>
      <c r="E376" s="3" t="s">
        <v>260</v>
      </c>
      <c r="F376" s="4" t="s">
        <v>26</v>
      </c>
      <c r="G376" s="22">
        <v>998531</v>
      </c>
      <c r="H376" s="23">
        <v>0.18</v>
      </c>
      <c r="I376" s="9">
        <v>1307.25</v>
      </c>
      <c r="J376" s="9">
        <f t="shared" si="26"/>
        <v>117.6525</v>
      </c>
      <c r="K376" s="9">
        <f t="shared" si="25"/>
        <v>117.6525</v>
      </c>
      <c r="L376" s="41"/>
      <c r="M376" s="37">
        <f>Table432[[#This Row],[Taxable Amount]]+Table432[[#This Row],[SGST]]+Table432[[#This Row],[CGST]]</f>
        <v>1542.5549999999998</v>
      </c>
      <c r="N376" s="71">
        <f>Table432[[#This Row],[Taxable Amount]]*1%</f>
        <v>13.0725</v>
      </c>
      <c r="O376" s="157">
        <v>0</v>
      </c>
      <c r="P376" s="148"/>
      <c r="Q376" s="59">
        <v>45863</v>
      </c>
      <c r="R376" s="117" t="s">
        <v>473</v>
      </c>
      <c r="S376" s="138">
        <f>Table432[[#This Row],[Invoice Amount]]-Table432[[#This Row],[TDS]]-Table432[[#This Row],[RTN]]-Table432[[#This Row],[RECIVED AMOUNT]]</f>
        <v>1529.4824999999998</v>
      </c>
      <c r="T376" s="55"/>
      <c r="U376" s="3"/>
      <c r="V376" s="41">
        <f>Table432[[#This Row],[BALANCE]]-Table432[[#This Row],[RECIVED AMOUNT2]]</f>
        <v>1529.4824999999998</v>
      </c>
      <c r="W376" s="50"/>
      <c r="X376" s="50"/>
    </row>
    <row r="377" spans="1:24" ht="19.95" customHeight="1">
      <c r="A377" s="68">
        <v>45747</v>
      </c>
      <c r="B377" s="3" t="s">
        <v>587</v>
      </c>
      <c r="C377" s="3" t="s">
        <v>390</v>
      </c>
      <c r="D377" s="3" t="s">
        <v>391</v>
      </c>
      <c r="E377" s="3" t="s">
        <v>260</v>
      </c>
      <c r="F377" s="4" t="s">
        <v>26</v>
      </c>
      <c r="G377" s="22">
        <v>998531</v>
      </c>
      <c r="H377" s="23">
        <v>0.18</v>
      </c>
      <c r="I377" s="9">
        <v>1057.5</v>
      </c>
      <c r="J377" s="9">
        <f t="shared" si="26"/>
        <v>95.174999999999997</v>
      </c>
      <c r="K377" s="9">
        <f t="shared" si="25"/>
        <v>95.174999999999997</v>
      </c>
      <c r="L377" s="41"/>
      <c r="M377" s="37">
        <f>Table432[[#This Row],[Taxable Amount]]+Table432[[#This Row],[SGST]]+Table432[[#This Row],[CGST]]</f>
        <v>1247.8499999999999</v>
      </c>
      <c r="N377" s="71">
        <f>Table432[[#This Row],[Taxable Amount]]*1%</f>
        <v>10.575000000000001</v>
      </c>
      <c r="O377" s="157">
        <v>0</v>
      </c>
      <c r="P377" s="148">
        <v>8776</v>
      </c>
      <c r="Q377" s="59">
        <v>45863</v>
      </c>
      <c r="R377" s="117" t="s">
        <v>473</v>
      </c>
      <c r="S377" s="138">
        <f>Table432[[#This Row],[Invoice Amount]]-Table432[[#This Row],[TDS]]-Table432[[#This Row],[RTN]]-Table432[[#This Row],[RECIVED AMOUNT]]</f>
        <v>-7538.7250000000004</v>
      </c>
      <c r="T377" s="55"/>
      <c r="U377" s="3"/>
      <c r="V377" s="41">
        <f>Table432[[#This Row],[BALANCE]]-Table432[[#This Row],[RECIVED AMOUNT2]]</f>
        <v>-7538.7250000000004</v>
      </c>
      <c r="W377" s="50"/>
      <c r="X377" s="50"/>
    </row>
    <row r="378" spans="1:24" ht="19.95" customHeight="1">
      <c r="A378" s="86">
        <v>45747</v>
      </c>
      <c r="B378" s="7" t="s">
        <v>588</v>
      </c>
      <c r="C378" s="3" t="s">
        <v>955</v>
      </c>
      <c r="D378" s="7" t="s">
        <v>205</v>
      </c>
      <c r="E378" s="7" t="s">
        <v>67</v>
      </c>
      <c r="F378" s="5" t="s">
        <v>26</v>
      </c>
      <c r="G378" s="85">
        <v>998531</v>
      </c>
      <c r="H378" s="23">
        <v>0.18</v>
      </c>
      <c r="I378" s="69">
        <v>10000</v>
      </c>
      <c r="J378" s="69">
        <f t="shared" si="26"/>
        <v>900</v>
      </c>
      <c r="K378" s="69">
        <f t="shared" si="25"/>
        <v>900</v>
      </c>
      <c r="L378" s="70"/>
      <c r="M378" s="94">
        <f>Table432[[#This Row],[Taxable Amount]]+Table432[[#This Row],[SGST]]+Table432[[#This Row],[CGST]]</f>
        <v>11800</v>
      </c>
      <c r="N378" s="155">
        <f>Table432[[#This Row],[Taxable Amount]]*1%</f>
        <v>100</v>
      </c>
      <c r="O378" s="158">
        <v>0</v>
      </c>
      <c r="P378" s="156">
        <v>9900</v>
      </c>
      <c r="Q378" s="97">
        <v>45786</v>
      </c>
      <c r="R378" s="118" t="s">
        <v>473</v>
      </c>
      <c r="S378" s="138">
        <f>Table432[[#This Row],[Invoice Amount]]-Table432[[#This Row],[TDS]]-Table432[[#This Row],[RTN]]-Table432[[#This Row],[RECIVED AMOUNT]]</f>
        <v>1800</v>
      </c>
      <c r="T378" s="99">
        <v>1800</v>
      </c>
      <c r="U378" s="109">
        <v>45852</v>
      </c>
      <c r="V378" s="41">
        <f>Table432[[#This Row],[BALANCE]]-Table432[[#This Row],[RECIVED AMOUNT2]]</f>
        <v>0</v>
      </c>
      <c r="W378" s="50"/>
      <c r="X378" s="50"/>
    </row>
    <row r="379" spans="1:24" s="10" customFormat="1" ht="19.95" customHeight="1">
      <c r="A379" s="68">
        <v>45747</v>
      </c>
      <c r="B379" s="3" t="s">
        <v>589</v>
      </c>
      <c r="C379" s="3" t="s">
        <v>290</v>
      </c>
      <c r="D379" s="3" t="s">
        <v>291</v>
      </c>
      <c r="E379" s="3" t="s">
        <v>25</v>
      </c>
      <c r="F379" s="4" t="s">
        <v>26</v>
      </c>
      <c r="G379" s="22">
        <v>998531</v>
      </c>
      <c r="H379" s="23">
        <v>0.18</v>
      </c>
      <c r="I379" s="9">
        <v>3000</v>
      </c>
      <c r="J379" s="9">
        <f t="shared" si="26"/>
        <v>270</v>
      </c>
      <c r="K379" s="9">
        <f t="shared" si="25"/>
        <v>270</v>
      </c>
      <c r="L379" s="41"/>
      <c r="M379" s="37">
        <f>Table432[[#This Row],[Taxable Amount]]+Table432[[#This Row],[SGST]]+Table432[[#This Row],[CGST]]</f>
        <v>3540</v>
      </c>
      <c r="N379" s="71">
        <v>0</v>
      </c>
      <c r="O379" s="157">
        <v>0</v>
      </c>
      <c r="P379" s="148">
        <v>3540</v>
      </c>
      <c r="Q379" s="59">
        <v>45762</v>
      </c>
      <c r="R379" s="117" t="s">
        <v>473</v>
      </c>
      <c r="S379" s="138">
        <f>Table432[[#This Row],[Invoice Amount]]-Table432[[#This Row],[TDS]]-Table432[[#This Row],[RTN]]-Table432[[#This Row],[RECIVED AMOUNT]]</f>
        <v>0</v>
      </c>
      <c r="T379" s="55"/>
      <c r="U379" s="3"/>
      <c r="V379" s="41">
        <f>Table432[[#This Row],[BALANCE]]-Table432[[#This Row],[RECIVED AMOUNT2]]</f>
        <v>0</v>
      </c>
      <c r="W379" s="211"/>
      <c r="X379" s="211"/>
    </row>
    <row r="380" spans="1:24" ht="19.95" customHeight="1">
      <c r="A380" s="68">
        <v>45747</v>
      </c>
      <c r="B380" s="3" t="s">
        <v>590</v>
      </c>
      <c r="C380" s="3" t="s">
        <v>372</v>
      </c>
      <c r="D380" s="3" t="s">
        <v>373</v>
      </c>
      <c r="E380" s="3" t="s">
        <v>25</v>
      </c>
      <c r="F380" s="4" t="s">
        <v>26</v>
      </c>
      <c r="G380" s="22">
        <v>998531</v>
      </c>
      <c r="H380" s="23">
        <v>0.18</v>
      </c>
      <c r="I380" s="9">
        <v>2500</v>
      </c>
      <c r="J380" s="9">
        <f t="shared" si="26"/>
        <v>225</v>
      </c>
      <c r="K380" s="9">
        <f t="shared" si="25"/>
        <v>225</v>
      </c>
      <c r="L380" s="41"/>
      <c r="M380" s="37">
        <f>Table432[[#This Row],[Taxable Amount]]+Table432[[#This Row],[SGST]]+Table432[[#This Row],[CGST]]</f>
        <v>2950</v>
      </c>
      <c r="N380" s="71">
        <v>0</v>
      </c>
      <c r="O380" s="157">
        <v>0</v>
      </c>
      <c r="P380" s="148"/>
      <c r="Q380" s="57"/>
      <c r="R380" s="117" t="s">
        <v>473</v>
      </c>
      <c r="S380" s="138">
        <f>Table432[[#This Row],[Invoice Amount]]-Table432[[#This Row],[TDS]]-Table432[[#This Row],[RTN]]-Table432[[#This Row],[RECIVED AMOUNT]]</f>
        <v>2950</v>
      </c>
      <c r="T380" s="55"/>
      <c r="U380" s="3"/>
      <c r="V380" s="41">
        <f>Table432[[#This Row],[BALANCE]]-Table432[[#This Row],[RECIVED AMOUNT2]]</f>
        <v>2950</v>
      </c>
      <c r="W380" s="50"/>
      <c r="X380" s="50"/>
    </row>
    <row r="381" spans="1:24" ht="19.95" customHeight="1">
      <c r="A381" s="78">
        <v>45747</v>
      </c>
      <c r="B381" s="31" t="s">
        <v>591</v>
      </c>
      <c r="C381" s="31" t="s">
        <v>42</v>
      </c>
      <c r="D381" s="31" t="s">
        <v>43</v>
      </c>
      <c r="E381" s="31" t="s">
        <v>101</v>
      </c>
      <c r="F381" s="33" t="s">
        <v>26</v>
      </c>
      <c r="G381" s="34">
        <v>998531</v>
      </c>
      <c r="H381" s="23">
        <v>0.18</v>
      </c>
      <c r="I381" s="42">
        <v>3600</v>
      </c>
      <c r="J381" s="42">
        <f t="shared" si="26"/>
        <v>324</v>
      </c>
      <c r="K381" s="42">
        <f t="shared" si="25"/>
        <v>324</v>
      </c>
      <c r="L381" s="43"/>
      <c r="M381" s="44">
        <f>Table432[[#This Row],[Taxable Amount]]+Table432[[#This Row],[SGST]]+Table432[[#This Row],[CGST]]</f>
        <v>4248</v>
      </c>
      <c r="N381" s="142">
        <f>Table432[[#This Row],[Taxable Amount]]*1%</f>
        <v>36</v>
      </c>
      <c r="O381" s="152">
        <v>0</v>
      </c>
      <c r="P381" s="154"/>
      <c r="Q381" s="101"/>
      <c r="R381" s="115" t="s">
        <v>243</v>
      </c>
      <c r="S381" s="138">
        <f>Table432[[#This Row],[Invoice Amount]]-Table432[[#This Row],[TDS]]-Table432[[#This Row],[RTN]]-Table432[[#This Row],[RECIVED AMOUNT]]</f>
        <v>4212</v>
      </c>
      <c r="T381" s="63"/>
      <c r="U381" s="31"/>
      <c r="V381" s="41">
        <f>Table432[[#This Row],[BALANCE]]-Table432[[#This Row],[RECIVED AMOUNT2]]</f>
        <v>4212</v>
      </c>
      <c r="W381" s="50"/>
      <c r="X381" s="50"/>
    </row>
    <row r="382" spans="1:24" s="431" customFormat="1" ht="19.95" customHeight="1">
      <c r="A382" s="418">
        <v>45747</v>
      </c>
      <c r="B382" s="419" t="s">
        <v>592</v>
      </c>
      <c r="C382" s="460" t="s">
        <v>157</v>
      </c>
      <c r="D382" s="419" t="s">
        <v>158</v>
      </c>
      <c r="E382" s="419" t="s">
        <v>67</v>
      </c>
      <c r="F382" s="420" t="s">
        <v>26</v>
      </c>
      <c r="G382" s="421">
        <v>998531</v>
      </c>
      <c r="H382" s="422">
        <v>0.18</v>
      </c>
      <c r="I382" s="423">
        <v>12600</v>
      </c>
      <c r="J382" s="423">
        <f t="shared" si="26"/>
        <v>1134</v>
      </c>
      <c r="K382" s="423">
        <f t="shared" si="25"/>
        <v>1134</v>
      </c>
      <c r="L382" s="424"/>
      <c r="M382" s="425">
        <f>Table432[[#This Row],[Taxable Amount]]+Table432[[#This Row],[SGST]]+Table432[[#This Row],[CGST]]</f>
        <v>14868</v>
      </c>
      <c r="N382" s="426">
        <f>Table432[[#This Row],[Taxable Amount]]*1%</f>
        <v>126</v>
      </c>
      <c r="O382" s="427"/>
      <c r="P382" s="428"/>
      <c r="Q382" s="461"/>
      <c r="R382" s="462" t="s">
        <v>473</v>
      </c>
      <c r="S382" s="429">
        <f>Table432[[#This Row],[Invoice Amount]]-Table432[[#This Row],[TDS]]-Table432[[#This Row],[RTN]]-Table432[[#This Row],[RECIVED AMOUNT]]</f>
        <v>14742</v>
      </c>
      <c r="T382" s="379" t="s">
        <v>1333</v>
      </c>
      <c r="U382" s="463">
        <v>46113</v>
      </c>
      <c r="V382" s="424" t="e">
        <f>Table432[[#This Row],[BALANCE]]-Table432[[#This Row],[RECIVED AMOUNT2]]</f>
        <v>#VALUE!</v>
      </c>
      <c r="W382" s="430"/>
      <c r="X382" s="430"/>
    </row>
    <row r="383" spans="1:24" ht="19.95" customHeight="1">
      <c r="A383" s="78">
        <v>45747</v>
      </c>
      <c r="B383" s="31" t="s">
        <v>593</v>
      </c>
      <c r="C383" s="31" t="s">
        <v>319</v>
      </c>
      <c r="D383" s="31" t="s">
        <v>320</v>
      </c>
      <c r="E383" s="31" t="s">
        <v>85</v>
      </c>
      <c r="F383" s="33" t="s">
        <v>26</v>
      </c>
      <c r="G383" s="34">
        <v>998531</v>
      </c>
      <c r="H383" s="23">
        <v>0.18</v>
      </c>
      <c r="I383" s="42"/>
      <c r="J383" s="42">
        <f t="shared" si="26"/>
        <v>0</v>
      </c>
      <c r="K383" s="42">
        <f t="shared" si="25"/>
        <v>0</v>
      </c>
      <c r="L383" s="43"/>
      <c r="M383" s="44">
        <f>Table432[[#This Row],[Taxable Amount]]+Table432[[#This Row],[SGST]]+Table432[[#This Row],[CGST]]</f>
        <v>0</v>
      </c>
      <c r="N383" s="142">
        <f>Table432[[#This Row],[Taxable Amount]]*1%</f>
        <v>0</v>
      </c>
      <c r="O383" s="152"/>
      <c r="P383" s="154"/>
      <c r="Q383" s="101"/>
      <c r="R383" s="115" t="s">
        <v>243</v>
      </c>
      <c r="S383" s="138">
        <f>Table432[[#This Row],[Invoice Amount]]-Table432[[#This Row],[TDS]]-Table432[[#This Row],[RTN]]-Table432[[#This Row],[RECIVED AMOUNT]]</f>
        <v>0</v>
      </c>
      <c r="T383" s="63"/>
      <c r="U383" s="31"/>
      <c r="V383" s="41">
        <f>Table432[[#This Row],[BALANCE]]-Table432[[#This Row],[RECIVED AMOUNT2]]</f>
        <v>0</v>
      </c>
      <c r="W383" s="50"/>
      <c r="X383" s="50"/>
    </row>
    <row r="384" spans="1:24" s="10" customFormat="1" ht="19.95" customHeight="1">
      <c r="A384" s="68">
        <v>45747</v>
      </c>
      <c r="B384" s="3" t="s">
        <v>594</v>
      </c>
      <c r="C384" s="3" t="s">
        <v>595</v>
      </c>
      <c r="D384" s="3" t="s">
        <v>596</v>
      </c>
      <c r="E384" s="3" t="s">
        <v>175</v>
      </c>
      <c r="F384" s="4" t="s">
        <v>37</v>
      </c>
      <c r="G384" s="22">
        <v>998531</v>
      </c>
      <c r="H384" s="23">
        <v>0.18</v>
      </c>
      <c r="I384" s="9">
        <v>3811.5</v>
      </c>
      <c r="J384" s="9">
        <f t="shared" si="26"/>
        <v>343.03500000000003</v>
      </c>
      <c r="K384" s="9">
        <f t="shared" si="25"/>
        <v>343.03500000000003</v>
      </c>
      <c r="L384" s="41"/>
      <c r="M384" s="37">
        <f>Table432[[#This Row],[Taxable Amount]]+Table432[[#This Row],[SGST]]+Table432[[#This Row],[CGST]]</f>
        <v>4497.57</v>
      </c>
      <c r="N384" s="71">
        <f>Table432[[#This Row],[Taxable Amount]]*1%</f>
        <v>38.115000000000002</v>
      </c>
      <c r="O384" s="157"/>
      <c r="P384" s="148">
        <v>4497</v>
      </c>
      <c r="Q384" s="59">
        <v>45794</v>
      </c>
      <c r="R384" s="117" t="s">
        <v>473</v>
      </c>
      <c r="S384" s="138">
        <f>Table432[[#This Row],[Invoice Amount]]-Table432[[#This Row],[TDS]]-Table432[[#This Row],[RTN]]-Table432[[#This Row],[RECIVED AMOUNT]]</f>
        <v>-37.545000000000073</v>
      </c>
      <c r="T384" s="55"/>
      <c r="U384" s="3"/>
      <c r="V384" s="41">
        <f>Table432[[#This Row],[BALANCE]]-Table432[[#This Row],[RECIVED AMOUNT2]]</f>
        <v>-37.545000000000073</v>
      </c>
      <c r="W384" s="211"/>
      <c r="X384" s="211"/>
    </row>
    <row r="385" spans="1:24" s="10" customFormat="1" ht="19.95" customHeight="1">
      <c r="A385" s="86">
        <v>45747</v>
      </c>
      <c r="B385" s="7" t="s">
        <v>325</v>
      </c>
      <c r="C385" s="84" t="s">
        <v>42</v>
      </c>
      <c r="D385" s="84" t="s">
        <v>43</v>
      </c>
      <c r="E385" s="7" t="s">
        <v>163</v>
      </c>
      <c r="F385" s="5" t="s">
        <v>26</v>
      </c>
      <c r="G385" s="85">
        <v>998531</v>
      </c>
      <c r="H385" s="221">
        <v>0.18</v>
      </c>
      <c r="I385" s="69">
        <v>12700</v>
      </c>
      <c r="J385" s="69">
        <f t="shared" si="26"/>
        <v>1143</v>
      </c>
      <c r="K385" s="69">
        <f t="shared" si="25"/>
        <v>1143</v>
      </c>
      <c r="L385" s="70"/>
      <c r="M385" s="94">
        <f>Table432[[#This Row],[Taxable Amount]]+Table432[[#This Row],[SGST]]+Table432[[#This Row],[CGST]]</f>
        <v>14986</v>
      </c>
      <c r="N385" s="155">
        <f>Table432[[#This Row],[Taxable Amount]]*1%</f>
        <v>127</v>
      </c>
      <c r="O385" s="158">
        <v>317</v>
      </c>
      <c r="P385" s="156"/>
      <c r="Q385" s="97"/>
      <c r="R385" s="118" t="s">
        <v>473</v>
      </c>
      <c r="S385" s="93">
        <f>Table432[[#This Row],[Invoice Amount]]-Table432[[#This Row],[TDS]]-Table432[[#This Row],[RTN]]-Table432[[#This Row],[RECIVED AMOUNT]]</f>
        <v>14542</v>
      </c>
      <c r="T385" s="99"/>
      <c r="U385" s="7"/>
      <c r="V385" s="70">
        <f>Table432[[#This Row],[BALANCE]]-Table432[[#This Row],[RECIVED AMOUNT2]]</f>
        <v>14542</v>
      </c>
      <c r="W385" s="211"/>
      <c r="X385" s="211"/>
    </row>
    <row r="386" spans="1:24" s="247" customFormat="1" ht="19.95" customHeight="1">
      <c r="A386" s="269">
        <v>45747</v>
      </c>
      <c r="B386" s="234" t="s">
        <v>597</v>
      </c>
      <c r="C386" s="234" t="s">
        <v>42</v>
      </c>
      <c r="D386" s="234" t="s">
        <v>43</v>
      </c>
      <c r="E386" s="234" t="s">
        <v>44</v>
      </c>
      <c r="F386" s="250" t="s">
        <v>26</v>
      </c>
      <c r="G386" s="272">
        <v>998531</v>
      </c>
      <c r="H386" s="237">
        <v>0.18</v>
      </c>
      <c r="I386" s="260">
        <v>27319</v>
      </c>
      <c r="J386" s="260">
        <f t="shared" si="26"/>
        <v>2458.71</v>
      </c>
      <c r="K386" s="260">
        <f t="shared" si="25"/>
        <v>2458.71</v>
      </c>
      <c r="L386" s="246"/>
      <c r="M386" s="273">
        <f>Table432[[#This Row],[Taxable Amount]]+Table432[[#This Row],[SGST]]+Table432[[#This Row],[CGST]]</f>
        <v>32236.42</v>
      </c>
      <c r="N386" s="274">
        <f>Table432[[#This Row],[Taxable Amount]]*1%</f>
        <v>273.19</v>
      </c>
      <c r="O386" s="262">
        <v>683</v>
      </c>
      <c r="P386" s="278">
        <v>31280</v>
      </c>
      <c r="Q386" s="264">
        <v>45764</v>
      </c>
      <c r="R386" s="265" t="s">
        <v>473</v>
      </c>
      <c r="S386" s="245">
        <f>Table432[[#This Row],[Invoice Amount]]-Table432[[#This Row],[TDS]]-Table432[[#This Row],[RTN]]-Table432[[#This Row],[RECIVED AMOUNT]]</f>
        <v>0.22999999999956344</v>
      </c>
      <c r="T386" s="267"/>
      <c r="U386" s="234"/>
      <c r="V386" s="246">
        <f>Table432[[#This Row],[BALANCE]]-Table432[[#This Row],[RECIVED AMOUNT2]]</f>
        <v>0.22999999999956344</v>
      </c>
      <c r="W386" s="268"/>
      <c r="X386" s="268"/>
    </row>
    <row r="387" spans="1:24" ht="19.95" customHeight="1">
      <c r="A387" s="68">
        <v>45751</v>
      </c>
      <c r="B387" s="3" t="s">
        <v>598</v>
      </c>
      <c r="C387" s="21" t="s">
        <v>173</v>
      </c>
      <c r="D387" s="3" t="s">
        <v>174</v>
      </c>
      <c r="E387" s="3" t="s">
        <v>62</v>
      </c>
      <c r="F387" s="4" t="s">
        <v>26</v>
      </c>
      <c r="G387" s="22">
        <v>998531</v>
      </c>
      <c r="H387" s="23">
        <v>0.18</v>
      </c>
      <c r="I387" s="9">
        <v>8800</v>
      </c>
      <c r="J387" s="9">
        <f t="shared" si="26"/>
        <v>792</v>
      </c>
      <c r="K387" s="9">
        <f t="shared" ref="K387:K450" si="27">I387*9/100</f>
        <v>792</v>
      </c>
      <c r="L387" s="41"/>
      <c r="M387" s="37">
        <f>Table432[[#This Row],[Taxable Amount]]+Table432[[#This Row],[SGST]]+Table432[[#This Row],[CGST]]</f>
        <v>10384</v>
      </c>
      <c r="N387" s="71">
        <v>0</v>
      </c>
      <c r="O387" s="157">
        <v>0</v>
      </c>
      <c r="P387" s="148">
        <v>10384</v>
      </c>
      <c r="Q387" s="59">
        <v>45842</v>
      </c>
      <c r="R387" s="113" t="s">
        <v>541</v>
      </c>
      <c r="S387" s="138">
        <f>Table432[[#This Row],[Invoice Amount]]-Table432[[#This Row],[TDS]]-Table432[[#This Row],[RTN]]-Table432[[#This Row],[RECIVED AMOUNT]]</f>
        <v>0</v>
      </c>
      <c r="T387" s="55"/>
      <c r="U387" s="3"/>
      <c r="V387" s="41">
        <f>Table432[[#This Row],[BALANCE]]-Table432[[#This Row],[RECIVED AMOUNT2]]</f>
        <v>0</v>
      </c>
      <c r="W387" s="50"/>
      <c r="X387" s="50"/>
    </row>
    <row r="388" spans="1:24" ht="19.95" customHeight="1">
      <c r="A388" s="86">
        <v>45757</v>
      </c>
      <c r="B388" s="7" t="s">
        <v>599</v>
      </c>
      <c r="C388" s="84" t="s">
        <v>600</v>
      </c>
      <c r="D388" s="7" t="s">
        <v>601</v>
      </c>
      <c r="E388" s="7" t="s">
        <v>602</v>
      </c>
      <c r="F388" s="5" t="s">
        <v>26</v>
      </c>
      <c r="G388" s="22">
        <v>998531</v>
      </c>
      <c r="H388" s="23">
        <v>0.18</v>
      </c>
      <c r="I388" s="69">
        <v>17000</v>
      </c>
      <c r="J388" s="69">
        <f t="shared" si="26"/>
        <v>1530</v>
      </c>
      <c r="K388" s="69">
        <f t="shared" si="27"/>
        <v>1530</v>
      </c>
      <c r="L388" s="70"/>
      <c r="M388" s="37">
        <f>Table432[[#This Row],[Taxable Amount]]+Table432[[#This Row],[SGST]]+Table432[[#This Row],[CGST]]</f>
        <v>20060</v>
      </c>
      <c r="N388" s="155">
        <v>0</v>
      </c>
      <c r="O388" s="158"/>
      <c r="P388" s="156">
        <v>20060</v>
      </c>
      <c r="Q388" s="97">
        <v>45765</v>
      </c>
      <c r="R388" s="116" t="s">
        <v>541</v>
      </c>
      <c r="S388" s="138">
        <f>Table432[[#This Row],[Invoice Amount]]-Table432[[#This Row],[TDS]]-Table432[[#This Row],[RTN]]-Table432[[#This Row],[RECIVED AMOUNT]]</f>
        <v>0</v>
      </c>
      <c r="T388" s="99"/>
      <c r="U388" s="7"/>
      <c r="V388" s="41">
        <f>Table432[[#This Row],[BALANCE]]-Table432[[#This Row],[RECIVED AMOUNT2]]</f>
        <v>0</v>
      </c>
      <c r="W388" s="50"/>
      <c r="X388" s="50"/>
    </row>
    <row r="389" spans="1:24" ht="19.95" customHeight="1">
      <c r="A389" s="68">
        <v>45762</v>
      </c>
      <c r="B389" s="3" t="s">
        <v>603</v>
      </c>
      <c r="C389" s="3" t="s">
        <v>604</v>
      </c>
      <c r="D389" s="3" t="s">
        <v>605</v>
      </c>
      <c r="E389" s="3" t="s">
        <v>78</v>
      </c>
      <c r="F389" s="4" t="s">
        <v>37</v>
      </c>
      <c r="G389" s="22">
        <v>998531</v>
      </c>
      <c r="H389" s="23">
        <v>0.18</v>
      </c>
      <c r="I389" s="9">
        <v>47808</v>
      </c>
      <c r="J389" s="9">
        <f t="shared" si="26"/>
        <v>4302.72</v>
      </c>
      <c r="K389" s="9">
        <f t="shared" si="27"/>
        <v>4302.72</v>
      </c>
      <c r="L389" s="41"/>
      <c r="M389" s="37">
        <f>Table432[[#This Row],[Taxable Amount]]+Table432[[#This Row],[SGST]]+Table432[[#This Row],[CGST]]</f>
        <v>56413.440000000002</v>
      </c>
      <c r="N389" s="71">
        <f>Table432[[#This Row],[Taxable Amount]]*1%</f>
        <v>478.08</v>
      </c>
      <c r="O389" s="157"/>
      <c r="P389" s="148">
        <v>47330</v>
      </c>
      <c r="Q389" s="59">
        <v>45793</v>
      </c>
      <c r="R389" s="113" t="s">
        <v>541</v>
      </c>
      <c r="S389" s="138">
        <f>Table432[[#This Row],[Invoice Amount]]-Table432[[#This Row],[TDS]]-Table432[[#This Row],[RTN]]-Table432[[#This Row],[RECIVED AMOUNT]]</f>
        <v>8605.36</v>
      </c>
      <c r="T389" s="45">
        <v>8605</v>
      </c>
      <c r="U389" s="74">
        <v>45852</v>
      </c>
      <c r="V389" s="41">
        <f>Table432[[#This Row],[BALANCE]]-Table432[[#This Row],[RECIVED AMOUNT2]]</f>
        <v>0.36000000000058208</v>
      </c>
      <c r="W389" s="50"/>
      <c r="X389" s="50"/>
    </row>
    <row r="390" spans="1:24" ht="19.95" customHeight="1">
      <c r="A390" s="68">
        <v>45765</v>
      </c>
      <c r="B390" s="3" t="s">
        <v>606</v>
      </c>
      <c r="C390" s="3" t="s">
        <v>607</v>
      </c>
      <c r="D390" s="3" t="s">
        <v>608</v>
      </c>
      <c r="E390" s="3" t="s">
        <v>59</v>
      </c>
      <c r="F390" s="4" t="s">
        <v>26</v>
      </c>
      <c r="G390" s="22">
        <v>998531</v>
      </c>
      <c r="H390" s="23">
        <v>0.18</v>
      </c>
      <c r="I390" s="9">
        <v>30330</v>
      </c>
      <c r="J390" s="9">
        <f t="shared" si="26"/>
        <v>2729.7</v>
      </c>
      <c r="K390" s="9">
        <f t="shared" si="27"/>
        <v>2729.7</v>
      </c>
      <c r="L390" s="41"/>
      <c r="M390" s="37">
        <f>Table432[[#This Row],[Taxable Amount]]+Table432[[#This Row],[SGST]]+Table432[[#This Row],[CGST]]</f>
        <v>35789.399999999994</v>
      </c>
      <c r="N390" s="71">
        <f>Table432[[#This Row],[Taxable Amount]]*1%</f>
        <v>303.3</v>
      </c>
      <c r="O390" s="157"/>
      <c r="P390" s="148">
        <v>35182</v>
      </c>
      <c r="Q390" s="59">
        <v>45764</v>
      </c>
      <c r="R390" s="113" t="s">
        <v>541</v>
      </c>
      <c r="S390" s="138">
        <f>Table432[[#This Row],[Invoice Amount]]-Table432[[#This Row],[TDS]]-Table432[[#This Row],[RTN]]-Table432[[#This Row],[RECIVED AMOUNT]]</f>
        <v>304.09999999999127</v>
      </c>
      <c r="T390" s="55"/>
      <c r="U390" s="3"/>
      <c r="V390" s="41">
        <f>Table432[[#This Row],[BALANCE]]-Table432[[#This Row],[RECIVED AMOUNT2]]</f>
        <v>304.09999999999127</v>
      </c>
      <c r="W390" s="50"/>
      <c r="X390" s="50"/>
    </row>
    <row r="391" spans="1:24" ht="19.95" customHeight="1">
      <c r="A391" s="68">
        <v>45768</v>
      </c>
      <c r="B391" s="3" t="s">
        <v>609</v>
      </c>
      <c r="C391" s="3" t="s">
        <v>23</v>
      </c>
      <c r="D391" s="3" t="s">
        <v>24</v>
      </c>
      <c r="E391" s="3" t="s">
        <v>25</v>
      </c>
      <c r="F391" s="4" t="s">
        <v>560</v>
      </c>
      <c r="G391" s="22">
        <v>998531</v>
      </c>
      <c r="H391" s="23">
        <v>0.18</v>
      </c>
      <c r="I391" s="9">
        <v>7525</v>
      </c>
      <c r="J391" s="9">
        <f t="shared" si="26"/>
        <v>677.25</v>
      </c>
      <c r="K391" s="9">
        <f t="shared" si="27"/>
        <v>677.25</v>
      </c>
      <c r="L391" s="41"/>
      <c r="M391" s="37">
        <f>Table432[[#This Row],[Taxable Amount]]+Table432[[#This Row],[SGST]]+Table432[[#This Row],[CGST]]</f>
        <v>8879.5</v>
      </c>
      <c r="N391" s="71">
        <f>Table432[[#This Row],[Taxable Amount]]*1%</f>
        <v>75.25</v>
      </c>
      <c r="O391" s="157"/>
      <c r="P391" s="148"/>
      <c r="Q391" s="134">
        <v>46039</v>
      </c>
      <c r="R391" s="113" t="s">
        <v>541</v>
      </c>
      <c r="S391" s="138">
        <f>Table432[[#This Row],[Invoice Amount]]-Table432[[#This Row],[TDS]]-Table432[[#This Row],[RTN]]-Table432[[#This Row],[RECIVED AMOUNT]]</f>
        <v>8804.25</v>
      </c>
      <c r="T391" s="55"/>
      <c r="U391" s="3"/>
      <c r="V391" s="41">
        <f>Table432[[#This Row],[BALANCE]]-Table432[[#This Row],[RECIVED AMOUNT2]]</f>
        <v>8804.25</v>
      </c>
      <c r="W391" s="50"/>
      <c r="X391" s="50"/>
    </row>
    <row r="392" spans="1:24" ht="19.95" customHeight="1">
      <c r="A392" s="68">
        <v>45768</v>
      </c>
      <c r="B392" s="3" t="s">
        <v>610</v>
      </c>
      <c r="C392" s="3" t="s">
        <v>258</v>
      </c>
      <c r="D392" s="3" t="s">
        <v>259</v>
      </c>
      <c r="E392" s="3" t="s">
        <v>260</v>
      </c>
      <c r="F392" s="4" t="s">
        <v>26</v>
      </c>
      <c r="G392" s="22">
        <v>998531</v>
      </c>
      <c r="H392" s="23">
        <v>0.18</v>
      </c>
      <c r="I392" s="9">
        <v>17425</v>
      </c>
      <c r="J392" s="9">
        <f t="shared" si="26"/>
        <v>1568.25</v>
      </c>
      <c r="K392" s="9">
        <f t="shared" si="27"/>
        <v>1568.25</v>
      </c>
      <c r="L392" s="41"/>
      <c r="M392" s="37">
        <f>Table432[[#This Row],[Taxable Amount]]+Table432[[#This Row],[SGST]]+Table432[[#This Row],[CGST]]</f>
        <v>20561.5</v>
      </c>
      <c r="N392" s="71">
        <f>Table432[[#This Row],[Taxable Amount]]*1%</f>
        <v>174.25</v>
      </c>
      <c r="O392" s="157">
        <v>0</v>
      </c>
      <c r="P392" s="148">
        <v>20387</v>
      </c>
      <c r="Q392" s="59">
        <v>45868</v>
      </c>
      <c r="R392" s="113" t="s">
        <v>541</v>
      </c>
      <c r="S392" s="138">
        <f>Table432[[#This Row],[Invoice Amount]]-Table432[[#This Row],[TDS]]-Table432[[#This Row],[RTN]]-Table432[[#This Row],[RECIVED AMOUNT]]</f>
        <v>0.25</v>
      </c>
      <c r="T392" s="55"/>
      <c r="U392" s="3"/>
      <c r="V392" s="41">
        <f>Table432[[#This Row],[BALANCE]]-Table432[[#This Row],[RECIVED AMOUNT2]]</f>
        <v>0.25</v>
      </c>
      <c r="W392" s="50"/>
      <c r="X392" s="50"/>
    </row>
    <row r="393" spans="1:24" ht="19.95" customHeight="1">
      <c r="A393" s="68">
        <v>45768</v>
      </c>
      <c r="B393" s="3" t="s">
        <v>611</v>
      </c>
      <c r="C393" s="3" t="s">
        <v>518</v>
      </c>
      <c r="D393" s="3" t="s">
        <v>519</v>
      </c>
      <c r="E393" s="3" t="s">
        <v>520</v>
      </c>
      <c r="F393" s="4" t="s">
        <v>37</v>
      </c>
      <c r="G393" s="22">
        <v>998531</v>
      </c>
      <c r="H393" s="23">
        <v>0.18</v>
      </c>
      <c r="I393" s="9">
        <v>31167</v>
      </c>
      <c r="J393" s="9">
        <f t="shared" si="26"/>
        <v>2805.03</v>
      </c>
      <c r="K393" s="9">
        <f t="shared" si="27"/>
        <v>2805.03</v>
      </c>
      <c r="L393" s="41"/>
      <c r="M393" s="37">
        <f>Table432[[#This Row],[Taxable Amount]]+Table432[[#This Row],[SGST]]+Table432[[#This Row],[CGST]]</f>
        <v>36777.06</v>
      </c>
      <c r="N393" s="71">
        <f>Table432[[#This Row],[Taxable Amount]]*1%</f>
        <v>311.67</v>
      </c>
      <c r="O393" s="157">
        <v>779</v>
      </c>
      <c r="P393" s="148">
        <v>35100</v>
      </c>
      <c r="Q393" s="59">
        <v>45832</v>
      </c>
      <c r="R393" s="113" t="s">
        <v>541</v>
      </c>
      <c r="S393" s="138">
        <f>Table432[[#This Row],[Invoice Amount]]-Table432[[#This Row],[TDS]]-Table432[[#This Row],[RTN]]-Table432[[#This Row],[RECIVED AMOUNT]]</f>
        <v>586.38999999999942</v>
      </c>
      <c r="T393" s="55"/>
      <c r="U393" s="3"/>
      <c r="V393" s="41">
        <f>Table432[[#This Row],[BALANCE]]-Table432[[#This Row],[RECIVED AMOUNT2]]</f>
        <v>586.38999999999942</v>
      </c>
      <c r="W393" s="50"/>
      <c r="X393" s="50"/>
    </row>
    <row r="394" spans="1:24" ht="19.95" customHeight="1">
      <c r="A394" s="68">
        <v>45769</v>
      </c>
      <c r="B394" s="3" t="s">
        <v>612</v>
      </c>
      <c r="C394" s="3" t="s">
        <v>230</v>
      </c>
      <c r="D394" s="3" t="s">
        <v>231</v>
      </c>
      <c r="E394" s="3" t="s">
        <v>515</v>
      </c>
      <c r="F394" s="4" t="s">
        <v>37</v>
      </c>
      <c r="G394" s="22">
        <v>998531</v>
      </c>
      <c r="H394" s="23">
        <v>0.18</v>
      </c>
      <c r="I394" s="9">
        <v>6750</v>
      </c>
      <c r="J394" s="9">
        <f t="shared" si="26"/>
        <v>607.5</v>
      </c>
      <c r="K394" s="9">
        <f t="shared" si="27"/>
        <v>607.5</v>
      </c>
      <c r="L394" s="41"/>
      <c r="M394" s="37">
        <f>Table432[[#This Row],[Taxable Amount]]+Table432[[#This Row],[SGST]]+Table432[[#This Row],[CGST]]</f>
        <v>7965</v>
      </c>
      <c r="N394" s="71"/>
      <c r="O394" s="157"/>
      <c r="P394" s="148">
        <v>7965</v>
      </c>
      <c r="Q394" s="59">
        <v>45797</v>
      </c>
      <c r="R394" s="117" t="s">
        <v>613</v>
      </c>
      <c r="S394" s="138">
        <f>Table432[[#This Row],[Invoice Amount]]-Table432[[#This Row],[TDS]]-Table432[[#This Row],[RTN]]-Table432[[#This Row],[RECIVED AMOUNT]]</f>
        <v>0</v>
      </c>
      <c r="T394" s="55"/>
      <c r="U394" s="3"/>
      <c r="V394" s="41">
        <f>Table432[[#This Row],[BALANCE]]-Table432[[#This Row],[RECIVED AMOUNT2]]</f>
        <v>0</v>
      </c>
      <c r="W394" s="50"/>
      <c r="X394" s="50"/>
    </row>
    <row r="395" spans="1:24" s="325" customFormat="1" ht="19.95" customHeight="1">
      <c r="A395" s="345">
        <v>45777</v>
      </c>
      <c r="B395" s="327" t="s">
        <v>614</v>
      </c>
      <c r="C395" s="327" t="s">
        <v>337</v>
      </c>
      <c r="D395" s="327" t="s">
        <v>338</v>
      </c>
      <c r="E395" s="327" t="s">
        <v>59</v>
      </c>
      <c r="F395" s="332" t="s">
        <v>26</v>
      </c>
      <c r="G395" s="346">
        <v>998531</v>
      </c>
      <c r="H395" s="317">
        <v>0.18</v>
      </c>
      <c r="I395" s="340">
        <v>3500</v>
      </c>
      <c r="J395" s="340">
        <f t="shared" si="26"/>
        <v>315</v>
      </c>
      <c r="K395" s="340">
        <f t="shared" si="27"/>
        <v>315</v>
      </c>
      <c r="L395" s="324"/>
      <c r="M395" s="347">
        <f>Table432[[#This Row],[Taxable Amount]]+Table432[[#This Row],[SGST]]+Table432[[#This Row],[CGST]]</f>
        <v>4130</v>
      </c>
      <c r="N395" s="348">
        <v>0</v>
      </c>
      <c r="O395" s="349"/>
      <c r="P395" s="354"/>
      <c r="Q395" s="343"/>
      <c r="R395" s="350" t="s">
        <v>413</v>
      </c>
      <c r="S395" s="323">
        <f>Table432[[#This Row],[Invoice Amount]]-Table432[[#This Row],[TDS]]-Table432[[#This Row],[RTN]]-Table432[[#This Row],[RECIVED AMOUNT]]</f>
        <v>4130</v>
      </c>
      <c r="T395" s="351"/>
      <c r="U395" s="327"/>
      <c r="V395" s="324">
        <f>Table432[[#This Row],[BALANCE]]-Table432[[#This Row],[RECIVED AMOUNT2]]</f>
        <v>4130</v>
      </c>
      <c r="W395" s="352"/>
      <c r="X395" s="352"/>
    </row>
    <row r="396" spans="1:24" s="10" customFormat="1" ht="19.95" customHeight="1">
      <c r="A396" s="68">
        <v>45777</v>
      </c>
      <c r="B396" s="3" t="s">
        <v>615</v>
      </c>
      <c r="C396" s="21" t="s">
        <v>116</v>
      </c>
      <c r="D396" s="21" t="s">
        <v>117</v>
      </c>
      <c r="E396" s="3" t="s">
        <v>59</v>
      </c>
      <c r="F396" s="4" t="s">
        <v>26</v>
      </c>
      <c r="G396" s="22">
        <v>998531</v>
      </c>
      <c r="H396" s="23">
        <v>0.18</v>
      </c>
      <c r="I396" s="9">
        <v>17300</v>
      </c>
      <c r="J396" s="9">
        <f t="shared" si="26"/>
        <v>1557</v>
      </c>
      <c r="K396" s="9">
        <f t="shared" si="27"/>
        <v>1557</v>
      </c>
      <c r="L396" s="41"/>
      <c r="M396" s="37">
        <f>Table432[[#This Row],[Taxable Amount]]+Table432[[#This Row],[SGST]]+Table432[[#This Row],[CGST]]</f>
        <v>20414</v>
      </c>
      <c r="N396" s="71">
        <f>Table432[[#This Row],[Taxable Amount]]*1%</f>
        <v>173</v>
      </c>
      <c r="O396" s="157">
        <v>0</v>
      </c>
      <c r="P396" s="148">
        <v>20241</v>
      </c>
      <c r="Q396" s="59">
        <v>45806</v>
      </c>
      <c r="R396" s="113" t="s">
        <v>541</v>
      </c>
      <c r="S396" s="138">
        <f>Table432[[#This Row],[Invoice Amount]]-Table432[[#This Row],[TDS]]-Table432[[#This Row],[RTN]]-Table432[[#This Row],[RECIVED AMOUNT]]</f>
        <v>0</v>
      </c>
      <c r="T396" s="55"/>
      <c r="U396" s="3"/>
      <c r="V396" s="41">
        <f>Table432[[#This Row],[BALANCE]]-Table432[[#This Row],[RECIVED AMOUNT2]]</f>
        <v>0</v>
      </c>
      <c r="W396" s="211"/>
      <c r="X396" s="211"/>
    </row>
    <row r="397" spans="1:24" ht="19.95" customHeight="1">
      <c r="A397" s="68">
        <v>45777</v>
      </c>
      <c r="B397" s="3" t="s">
        <v>616</v>
      </c>
      <c r="C397" s="3" t="s">
        <v>390</v>
      </c>
      <c r="D397" s="3" t="s">
        <v>391</v>
      </c>
      <c r="E397" s="3" t="s">
        <v>260</v>
      </c>
      <c r="F397" s="4" t="s">
        <v>26</v>
      </c>
      <c r="G397" s="22">
        <v>998531</v>
      </c>
      <c r="H397" s="23">
        <v>0.18</v>
      </c>
      <c r="I397" s="9">
        <v>1464.75</v>
      </c>
      <c r="J397" s="9">
        <f t="shared" si="26"/>
        <v>131.82749999999999</v>
      </c>
      <c r="K397" s="9">
        <f t="shared" si="27"/>
        <v>131.82749999999999</v>
      </c>
      <c r="L397" s="41"/>
      <c r="M397" s="37">
        <f>Table432[[#This Row],[Taxable Amount]]+Table432[[#This Row],[SGST]]+Table432[[#This Row],[CGST]]</f>
        <v>1728.4049999999997</v>
      </c>
      <c r="N397" s="71">
        <f>Table432[[#This Row],[Taxable Amount]]*1%</f>
        <v>14.647500000000001</v>
      </c>
      <c r="O397" s="157">
        <v>0</v>
      </c>
      <c r="P397" s="148"/>
      <c r="Q397" s="59">
        <v>45887</v>
      </c>
      <c r="R397" s="113" t="s">
        <v>541</v>
      </c>
      <c r="S397" s="138">
        <f>Table432[[#This Row],[Invoice Amount]]-Table432[[#This Row],[TDS]]-Table432[[#This Row],[RTN]]-Table432[[#This Row],[RECIVED AMOUNT]]</f>
        <v>1713.7574999999997</v>
      </c>
      <c r="T397" s="55"/>
      <c r="U397" s="3"/>
      <c r="V397" s="41">
        <f>Table432[[#This Row],[BALANCE]]-Table432[[#This Row],[RECIVED AMOUNT2]]</f>
        <v>1713.7574999999997</v>
      </c>
      <c r="W397" s="50"/>
      <c r="X397" s="50"/>
    </row>
    <row r="398" spans="1:24" ht="19.95" customHeight="1">
      <c r="A398" s="68">
        <v>45777</v>
      </c>
      <c r="B398" s="3" t="s">
        <v>617</v>
      </c>
      <c r="C398" s="3" t="s">
        <v>390</v>
      </c>
      <c r="D398" s="3" t="s">
        <v>391</v>
      </c>
      <c r="E398" s="3" t="s">
        <v>260</v>
      </c>
      <c r="F398" s="4" t="s">
        <v>26</v>
      </c>
      <c r="G398" s="22">
        <v>998531</v>
      </c>
      <c r="H398" s="23">
        <v>0.18</v>
      </c>
      <c r="I398" s="9">
        <v>1473.75</v>
      </c>
      <c r="J398" s="9">
        <f t="shared" si="26"/>
        <v>132.63749999999999</v>
      </c>
      <c r="K398" s="9">
        <f t="shared" si="27"/>
        <v>132.63749999999999</v>
      </c>
      <c r="L398" s="41"/>
      <c r="M398" s="37">
        <f>Table432[[#This Row],[Taxable Amount]]+Table432[[#This Row],[SGST]]+Table432[[#This Row],[CGST]]</f>
        <v>1739.0250000000001</v>
      </c>
      <c r="N398" s="71">
        <f>Table432[[#This Row],[Taxable Amount]]*1%</f>
        <v>14.737500000000001</v>
      </c>
      <c r="O398" s="157">
        <v>0</v>
      </c>
      <c r="P398" s="148"/>
      <c r="Q398" s="59">
        <v>45887</v>
      </c>
      <c r="R398" s="113" t="s">
        <v>541</v>
      </c>
      <c r="S398" s="138">
        <f>Table432[[#This Row],[Invoice Amount]]-Table432[[#This Row],[TDS]]-Table432[[#This Row],[RTN]]-Table432[[#This Row],[RECIVED AMOUNT]]</f>
        <v>1724.2875000000001</v>
      </c>
      <c r="T398" s="55"/>
      <c r="U398" s="3"/>
      <c r="V398" s="41">
        <f>Table432[[#This Row],[BALANCE]]-Table432[[#This Row],[RECIVED AMOUNT2]]</f>
        <v>1724.2875000000001</v>
      </c>
      <c r="W398" s="50"/>
      <c r="X398" s="50"/>
    </row>
    <row r="399" spans="1:24" ht="19.95" customHeight="1">
      <c r="A399" s="68">
        <v>45777</v>
      </c>
      <c r="B399" s="3" t="s">
        <v>618</v>
      </c>
      <c r="C399" s="3" t="s">
        <v>390</v>
      </c>
      <c r="D399" s="3" t="s">
        <v>391</v>
      </c>
      <c r="E399" s="3" t="s">
        <v>260</v>
      </c>
      <c r="F399" s="4" t="s">
        <v>26</v>
      </c>
      <c r="G399" s="22">
        <v>998531</v>
      </c>
      <c r="H399" s="23">
        <v>0.18</v>
      </c>
      <c r="I399" s="9">
        <v>1116.75</v>
      </c>
      <c r="J399" s="9">
        <f t="shared" si="26"/>
        <v>100.50749999999999</v>
      </c>
      <c r="K399" s="9">
        <f t="shared" si="27"/>
        <v>100.50749999999999</v>
      </c>
      <c r="L399" s="41"/>
      <c r="M399" s="37">
        <f>Table432[[#This Row],[Taxable Amount]]+Table432[[#This Row],[SGST]]+Table432[[#This Row],[CGST]]</f>
        <v>1317.7649999999999</v>
      </c>
      <c r="N399" s="71">
        <f>Table432[[#This Row],[Taxable Amount]]*1%</f>
        <v>11.1675</v>
      </c>
      <c r="O399" s="157">
        <v>0</v>
      </c>
      <c r="P399" s="148"/>
      <c r="Q399" s="59">
        <v>45887</v>
      </c>
      <c r="R399" s="113" t="s">
        <v>541</v>
      </c>
      <c r="S399" s="138">
        <f>Table432[[#This Row],[Invoice Amount]]-Table432[[#This Row],[TDS]]-Table432[[#This Row],[RTN]]-Table432[[#This Row],[RECIVED AMOUNT]]</f>
        <v>1306.5974999999999</v>
      </c>
      <c r="T399" s="55"/>
      <c r="U399" s="3"/>
      <c r="V399" s="41">
        <f>Table432[[#This Row],[BALANCE]]-Table432[[#This Row],[RECIVED AMOUNT2]]</f>
        <v>1306.5974999999999</v>
      </c>
      <c r="W399" s="50"/>
      <c r="X399" s="50"/>
    </row>
    <row r="400" spans="1:24" ht="19.95" customHeight="1">
      <c r="A400" s="68">
        <v>45777</v>
      </c>
      <c r="B400" s="3" t="s">
        <v>619</v>
      </c>
      <c r="C400" s="3" t="s">
        <v>390</v>
      </c>
      <c r="D400" s="3" t="s">
        <v>391</v>
      </c>
      <c r="E400" s="3" t="s">
        <v>260</v>
      </c>
      <c r="F400" s="4" t="s">
        <v>26</v>
      </c>
      <c r="G400" s="22">
        <v>998531</v>
      </c>
      <c r="H400" s="23">
        <v>0.18</v>
      </c>
      <c r="I400" s="9">
        <v>1080</v>
      </c>
      <c r="J400" s="9">
        <f t="shared" si="26"/>
        <v>97.2</v>
      </c>
      <c r="K400" s="9">
        <f t="shared" si="27"/>
        <v>97.2</v>
      </c>
      <c r="L400" s="41"/>
      <c r="M400" s="37">
        <f>Table432[[#This Row],[Taxable Amount]]+Table432[[#This Row],[SGST]]+Table432[[#This Row],[CGST]]</f>
        <v>1274.4000000000001</v>
      </c>
      <c r="N400" s="71">
        <f>Table432[[#This Row],[Taxable Amount]]*1%</f>
        <v>10.8</v>
      </c>
      <c r="O400" s="157">
        <v>0</v>
      </c>
      <c r="P400" s="148"/>
      <c r="Q400" s="59">
        <v>45887</v>
      </c>
      <c r="R400" s="113" t="s">
        <v>541</v>
      </c>
      <c r="S400" s="138">
        <f>Table432[[#This Row],[Invoice Amount]]-Table432[[#This Row],[TDS]]-Table432[[#This Row],[RTN]]-Table432[[#This Row],[RECIVED AMOUNT]]</f>
        <v>1263.6000000000001</v>
      </c>
      <c r="T400" s="55"/>
      <c r="U400" s="3"/>
      <c r="V400" s="41">
        <f>Table432[[#This Row],[BALANCE]]-Table432[[#This Row],[RECIVED AMOUNT2]]</f>
        <v>1263.6000000000001</v>
      </c>
      <c r="W400" s="50"/>
      <c r="X400" s="50"/>
    </row>
    <row r="401" spans="1:24" ht="19.95" customHeight="1">
      <c r="A401" s="68">
        <v>45777</v>
      </c>
      <c r="B401" s="3" t="s">
        <v>620</v>
      </c>
      <c r="C401" s="3" t="s">
        <v>390</v>
      </c>
      <c r="D401" s="3" t="s">
        <v>391</v>
      </c>
      <c r="E401" s="3" t="s">
        <v>260</v>
      </c>
      <c r="F401" s="4" t="s">
        <v>26</v>
      </c>
      <c r="G401" s="22">
        <v>998531</v>
      </c>
      <c r="H401" s="23">
        <v>0.18</v>
      </c>
      <c r="I401" s="9">
        <v>1307.25</v>
      </c>
      <c r="J401" s="9">
        <f t="shared" si="26"/>
        <v>117.6525</v>
      </c>
      <c r="K401" s="9">
        <f t="shared" si="27"/>
        <v>117.6525</v>
      </c>
      <c r="L401" s="41"/>
      <c r="M401" s="37">
        <f>Table432[[#This Row],[Taxable Amount]]+Table432[[#This Row],[SGST]]+Table432[[#This Row],[CGST]]</f>
        <v>1542.5549999999998</v>
      </c>
      <c r="N401" s="71">
        <f>Table432[[#This Row],[Taxable Amount]]*1%</f>
        <v>13.0725</v>
      </c>
      <c r="O401" s="157">
        <v>0</v>
      </c>
      <c r="P401" s="148"/>
      <c r="Q401" s="59">
        <v>45887</v>
      </c>
      <c r="R401" s="113" t="s">
        <v>541</v>
      </c>
      <c r="S401" s="138">
        <f>Table432[[#This Row],[Invoice Amount]]-Table432[[#This Row],[TDS]]-Table432[[#This Row],[RTN]]-Table432[[#This Row],[RECIVED AMOUNT]]</f>
        <v>1529.4824999999998</v>
      </c>
      <c r="T401" s="55"/>
      <c r="U401" s="3"/>
      <c r="V401" s="41">
        <f>Table432[[#This Row],[BALANCE]]-Table432[[#This Row],[RECIVED AMOUNT2]]</f>
        <v>1529.4824999999998</v>
      </c>
      <c r="W401" s="50"/>
      <c r="X401" s="50"/>
    </row>
    <row r="402" spans="1:24" ht="19.95" customHeight="1">
      <c r="A402" s="68">
        <v>45777</v>
      </c>
      <c r="B402" s="3" t="s">
        <v>621</v>
      </c>
      <c r="C402" s="3" t="s">
        <v>390</v>
      </c>
      <c r="D402" s="3" t="s">
        <v>391</v>
      </c>
      <c r="E402" s="3" t="s">
        <v>260</v>
      </c>
      <c r="F402" s="4" t="s">
        <v>26</v>
      </c>
      <c r="G402" s="22">
        <v>998531</v>
      </c>
      <c r="H402" s="23">
        <v>0.18</v>
      </c>
      <c r="I402" s="9">
        <v>1057.5</v>
      </c>
      <c r="J402" s="9">
        <f t="shared" si="26"/>
        <v>95.174999999999997</v>
      </c>
      <c r="K402" s="9">
        <f t="shared" si="27"/>
        <v>95.174999999999997</v>
      </c>
      <c r="L402" s="41"/>
      <c r="M402" s="37">
        <f>Table432[[#This Row],[Taxable Amount]]+Table432[[#This Row],[SGST]]+Table432[[#This Row],[CGST]]</f>
        <v>1247.8499999999999</v>
      </c>
      <c r="N402" s="71">
        <f>Table432[[#This Row],[Taxable Amount]]*1%</f>
        <v>10.575000000000001</v>
      </c>
      <c r="O402" s="157">
        <v>0</v>
      </c>
      <c r="P402" s="148">
        <v>8777</v>
      </c>
      <c r="Q402" s="59">
        <v>45887</v>
      </c>
      <c r="R402" s="113" t="s">
        <v>541</v>
      </c>
      <c r="S402" s="138">
        <f>Table432[[#This Row],[Invoice Amount]]-Table432[[#This Row],[TDS]]-Table432[[#This Row],[RTN]]-Table432[[#This Row],[RECIVED AMOUNT]]</f>
        <v>-7539.7250000000004</v>
      </c>
      <c r="T402" s="55"/>
      <c r="U402" s="3"/>
      <c r="V402" s="41">
        <f>Table432[[#This Row],[BALANCE]]-Table432[[#This Row],[RECIVED AMOUNT2]]</f>
        <v>-7539.7250000000004</v>
      </c>
      <c r="W402" s="50"/>
      <c r="X402" s="50"/>
    </row>
    <row r="403" spans="1:24" ht="19.95" customHeight="1">
      <c r="A403" s="86">
        <v>45777</v>
      </c>
      <c r="B403" s="7" t="s">
        <v>622</v>
      </c>
      <c r="C403" s="3" t="s">
        <v>955</v>
      </c>
      <c r="D403" s="7" t="s">
        <v>205</v>
      </c>
      <c r="E403" s="7" t="s">
        <v>67</v>
      </c>
      <c r="F403" s="5" t="s">
        <v>26</v>
      </c>
      <c r="G403" s="85">
        <v>998531</v>
      </c>
      <c r="H403" s="23">
        <v>0.18</v>
      </c>
      <c r="I403" s="69">
        <v>10000</v>
      </c>
      <c r="J403" s="69">
        <f t="shared" ref="J403:J466" si="28">I403*9/100</f>
        <v>900</v>
      </c>
      <c r="K403" s="69">
        <f t="shared" si="27"/>
        <v>900</v>
      </c>
      <c r="L403" s="70"/>
      <c r="M403" s="94">
        <f>Table432[[#This Row],[Taxable Amount]]+Table432[[#This Row],[SGST]]+Table432[[#This Row],[CGST]]</f>
        <v>11800</v>
      </c>
      <c r="N403" s="155">
        <f>Table432[[#This Row],[Taxable Amount]]*1%</f>
        <v>100</v>
      </c>
      <c r="O403" s="158"/>
      <c r="P403" s="156">
        <v>9900</v>
      </c>
      <c r="Q403" s="97">
        <v>45840</v>
      </c>
      <c r="R403" s="116" t="s">
        <v>541</v>
      </c>
      <c r="S403" s="138">
        <f>Table432[[#This Row],[Invoice Amount]]-Table432[[#This Row],[TDS]]-Table432[[#This Row],[RTN]]-Table432[[#This Row],[RECIVED AMOUNT]]</f>
        <v>1800</v>
      </c>
      <c r="T403" s="99">
        <v>1800</v>
      </c>
      <c r="U403" s="109">
        <v>45852</v>
      </c>
      <c r="V403" s="41">
        <f>Table432[[#This Row],[BALANCE]]-Table432[[#This Row],[RECIVED AMOUNT2]]</f>
        <v>0</v>
      </c>
      <c r="W403" s="50"/>
      <c r="X403" s="50"/>
    </row>
    <row r="404" spans="1:24" s="10" customFormat="1" ht="19.95" customHeight="1">
      <c r="A404" s="68">
        <v>45777</v>
      </c>
      <c r="B404" s="3" t="s">
        <v>623</v>
      </c>
      <c r="C404" s="3" t="s">
        <v>290</v>
      </c>
      <c r="D404" s="3" t="s">
        <v>291</v>
      </c>
      <c r="E404" s="3" t="s">
        <v>25</v>
      </c>
      <c r="F404" s="4" t="s">
        <v>26</v>
      </c>
      <c r="G404" s="22">
        <v>998531</v>
      </c>
      <c r="H404" s="23">
        <v>0.18</v>
      </c>
      <c r="I404" s="9">
        <v>3000</v>
      </c>
      <c r="J404" s="9">
        <f t="shared" si="28"/>
        <v>270</v>
      </c>
      <c r="K404" s="9">
        <f t="shared" si="27"/>
        <v>270</v>
      </c>
      <c r="L404" s="41"/>
      <c r="M404" s="37">
        <f>Table432[[#This Row],[Taxable Amount]]+Table432[[#This Row],[SGST]]+Table432[[#This Row],[CGST]]</f>
        <v>3540</v>
      </c>
      <c r="N404" s="71">
        <v>0</v>
      </c>
      <c r="O404" s="157">
        <v>0</v>
      </c>
      <c r="P404" s="148">
        <v>3540</v>
      </c>
      <c r="Q404" s="59">
        <v>45786</v>
      </c>
      <c r="R404" s="113" t="s">
        <v>541</v>
      </c>
      <c r="S404" s="138">
        <f>Table432[[#This Row],[Invoice Amount]]-Table432[[#This Row],[TDS]]-Table432[[#This Row],[RTN]]-Table432[[#This Row],[RECIVED AMOUNT]]</f>
        <v>0</v>
      </c>
      <c r="T404" s="55"/>
      <c r="U404" s="3"/>
      <c r="V404" s="41">
        <f>Table432[[#This Row],[BALANCE]]-Table432[[#This Row],[RECIVED AMOUNT2]]</f>
        <v>0</v>
      </c>
      <c r="W404" s="211"/>
      <c r="X404" s="211"/>
    </row>
    <row r="405" spans="1:24" ht="19.95" customHeight="1">
      <c r="A405" s="68">
        <v>45777</v>
      </c>
      <c r="B405" s="3" t="s">
        <v>624</v>
      </c>
      <c r="C405" s="3" t="s">
        <v>372</v>
      </c>
      <c r="D405" s="3" t="s">
        <v>373</v>
      </c>
      <c r="E405" s="3" t="s">
        <v>374</v>
      </c>
      <c r="F405" s="4" t="s">
        <v>26</v>
      </c>
      <c r="G405" s="22">
        <v>998531</v>
      </c>
      <c r="H405" s="23">
        <v>0.18</v>
      </c>
      <c r="I405" s="9">
        <v>2500</v>
      </c>
      <c r="J405" s="9">
        <f t="shared" si="28"/>
        <v>225</v>
      </c>
      <c r="K405" s="9">
        <f t="shared" si="27"/>
        <v>225</v>
      </c>
      <c r="L405" s="41"/>
      <c r="M405" s="37">
        <f>Table432[[#This Row],[Taxable Amount]]+Table432[[#This Row],[SGST]]+Table432[[#This Row],[CGST]]</f>
        <v>2950</v>
      </c>
      <c r="N405" s="71">
        <v>0</v>
      </c>
      <c r="O405" s="157">
        <v>0</v>
      </c>
      <c r="P405" s="148">
        <v>2950</v>
      </c>
      <c r="Q405" s="59">
        <v>45870</v>
      </c>
      <c r="R405" s="113" t="s">
        <v>541</v>
      </c>
      <c r="S405" s="138">
        <f>Table432[[#This Row],[Invoice Amount]]-Table432[[#This Row],[TDS]]-Table432[[#This Row],[RTN]]-Table432[[#This Row],[RECIVED AMOUNT]]</f>
        <v>0</v>
      </c>
      <c r="T405" s="55"/>
      <c r="U405" s="3"/>
      <c r="V405" s="41">
        <f>Table432[[#This Row],[BALANCE]]-Table432[[#This Row],[RECIVED AMOUNT2]]</f>
        <v>0</v>
      </c>
      <c r="W405" s="50"/>
      <c r="X405" s="50"/>
    </row>
    <row r="406" spans="1:24" s="448" customFormat="1" ht="19.95" customHeight="1">
      <c r="A406" s="432">
        <v>45777</v>
      </c>
      <c r="B406" s="433" t="s">
        <v>625</v>
      </c>
      <c r="C406" s="433" t="s">
        <v>157</v>
      </c>
      <c r="D406" s="433" t="s">
        <v>158</v>
      </c>
      <c r="E406" s="433" t="s">
        <v>67</v>
      </c>
      <c r="F406" s="434" t="s">
        <v>560</v>
      </c>
      <c r="G406" s="435">
        <v>998531</v>
      </c>
      <c r="H406" s="436">
        <v>0.18</v>
      </c>
      <c r="I406" s="437">
        <v>4320</v>
      </c>
      <c r="J406" s="437">
        <f t="shared" si="28"/>
        <v>388.8</v>
      </c>
      <c r="K406" s="437">
        <f t="shared" si="27"/>
        <v>388.8</v>
      </c>
      <c r="L406" s="438"/>
      <c r="M406" s="439">
        <f>Table432[[#This Row],[Taxable Amount]]+Table432[[#This Row],[SGST]]+Table432[[#This Row],[CGST]]</f>
        <v>5097.6000000000004</v>
      </c>
      <c r="N406" s="440">
        <f>Table432[[#This Row],[Taxable Amount]]*1%</f>
        <v>43.2</v>
      </c>
      <c r="O406" s="441"/>
      <c r="P406" s="442">
        <v>4277</v>
      </c>
      <c r="Q406" s="443">
        <v>45805</v>
      </c>
      <c r="R406" s="449" t="s">
        <v>613</v>
      </c>
      <c r="S406" s="445">
        <f>Table432[[#This Row],[Invoice Amount]]-Table432[[#This Row],[TDS]]-Table432[[#This Row],[RTN]]-Table432[[#This Row],[RECIVED AMOUNT]]</f>
        <v>777.40000000000055</v>
      </c>
      <c r="T406" s="446">
        <v>778</v>
      </c>
      <c r="U406" s="450">
        <v>45832</v>
      </c>
      <c r="V406" s="438">
        <f>Table432[[#This Row],[BALANCE]]-Table432[[#This Row],[RECIVED AMOUNT2]]</f>
        <v>-0.5999999999994543</v>
      </c>
      <c r="W406" s="447"/>
      <c r="X406" s="447"/>
    </row>
    <row r="407" spans="1:24" s="481" customFormat="1" ht="19.95" customHeight="1">
      <c r="A407" s="493">
        <v>45777</v>
      </c>
      <c r="B407" s="482" t="s">
        <v>626</v>
      </c>
      <c r="C407" s="482" t="s">
        <v>319</v>
      </c>
      <c r="D407" s="482" t="s">
        <v>320</v>
      </c>
      <c r="E407" s="482" t="s">
        <v>59</v>
      </c>
      <c r="F407" s="486" t="s">
        <v>26</v>
      </c>
      <c r="G407" s="494">
        <v>998531</v>
      </c>
      <c r="H407" s="470">
        <v>0.18</v>
      </c>
      <c r="I407" s="487">
        <v>38450</v>
      </c>
      <c r="J407" s="487">
        <f t="shared" si="28"/>
        <v>3460.5</v>
      </c>
      <c r="K407" s="487">
        <f t="shared" si="27"/>
        <v>3460.5</v>
      </c>
      <c r="L407" s="480"/>
      <c r="M407" s="495">
        <f>Table432[[#This Row],[Taxable Amount]]+Table432[[#This Row],[SGST]]+Table432[[#This Row],[CGST]]</f>
        <v>45371</v>
      </c>
      <c r="N407" s="496">
        <f>Table432[[#This Row],[Taxable Amount]]*1%</f>
        <v>384.5</v>
      </c>
      <c r="O407" s="489">
        <v>0</v>
      </c>
      <c r="P407" s="497">
        <v>44986</v>
      </c>
      <c r="Q407" s="491">
        <v>45820</v>
      </c>
      <c r="R407" s="510" t="s">
        <v>541</v>
      </c>
      <c r="S407" s="479">
        <f>Table432[[#This Row],[Invoice Amount]]-Table432[[#This Row],[TDS]]-Table432[[#This Row],[RTN]]-Table432[[#This Row],[RECIVED AMOUNT]]</f>
        <v>0.5</v>
      </c>
      <c r="T407" s="509"/>
      <c r="U407" s="491"/>
      <c r="V407" s="480">
        <f>Table432[[#This Row],[BALANCE]]-Table432[[#This Row],[RECIVED AMOUNT2]]</f>
        <v>0.5</v>
      </c>
      <c r="W407" s="499"/>
      <c r="X407" s="499"/>
    </row>
    <row r="408" spans="1:24" s="18" customFormat="1" ht="19.95" customHeight="1">
      <c r="A408" s="78">
        <v>45777</v>
      </c>
      <c r="B408" s="31" t="s">
        <v>627</v>
      </c>
      <c r="C408" s="31" t="s">
        <v>319</v>
      </c>
      <c r="D408" s="31" t="s">
        <v>320</v>
      </c>
      <c r="E408" s="31" t="s">
        <v>85</v>
      </c>
      <c r="F408" s="33" t="s">
        <v>26</v>
      </c>
      <c r="G408" s="34">
        <v>998531</v>
      </c>
      <c r="H408" s="23">
        <v>0.18</v>
      </c>
      <c r="I408" s="42">
        <v>3900</v>
      </c>
      <c r="J408" s="42">
        <f t="shared" si="28"/>
        <v>351</v>
      </c>
      <c r="K408" s="42">
        <f t="shared" si="27"/>
        <v>351</v>
      </c>
      <c r="L408" s="43"/>
      <c r="M408" s="44">
        <f>Table432[[#This Row],[Taxable Amount]]+Table432[[#This Row],[SGST]]+Table432[[#This Row],[CGST]]</f>
        <v>4602</v>
      </c>
      <c r="N408" s="142">
        <f>Table432[[#This Row],[Taxable Amount]]*1%</f>
        <v>39</v>
      </c>
      <c r="O408" s="152"/>
      <c r="P408" s="154"/>
      <c r="Q408" s="101"/>
      <c r="R408" s="115" t="s">
        <v>243</v>
      </c>
      <c r="S408" s="138">
        <f>Table432[[#This Row],[Invoice Amount]]-Table432[[#This Row],[TDS]]-Table432[[#This Row],[RTN]]-Table432[[#This Row],[RECIVED AMOUNT]]</f>
        <v>4563</v>
      </c>
      <c r="T408" s="63"/>
      <c r="U408" s="31"/>
      <c r="V408" s="41">
        <f>Table432[[#This Row],[BALANCE]]-Table432[[#This Row],[RECIVED AMOUNT2]]</f>
        <v>4563</v>
      </c>
      <c r="W408" s="209"/>
      <c r="X408" s="209"/>
    </row>
    <row r="409" spans="1:24" s="325" customFormat="1" ht="19.95" customHeight="1">
      <c r="A409" s="345">
        <v>45777</v>
      </c>
      <c r="B409" s="327" t="s">
        <v>628</v>
      </c>
      <c r="C409" s="327" t="s">
        <v>595</v>
      </c>
      <c r="D409" s="353" t="s">
        <v>596</v>
      </c>
      <c r="E409" s="327" t="s">
        <v>629</v>
      </c>
      <c r="F409" s="332" t="s">
        <v>26</v>
      </c>
      <c r="G409" s="346">
        <v>998531</v>
      </c>
      <c r="H409" s="317">
        <v>0.18</v>
      </c>
      <c r="I409" s="340">
        <v>8000</v>
      </c>
      <c r="J409" s="340">
        <f t="shared" si="28"/>
        <v>720</v>
      </c>
      <c r="K409" s="340">
        <f t="shared" si="27"/>
        <v>720</v>
      </c>
      <c r="L409" s="324"/>
      <c r="M409" s="347">
        <f>Table432[[#This Row],[Taxable Amount]]+Table432[[#This Row],[SGST]]+Table432[[#This Row],[CGST]]</f>
        <v>9440</v>
      </c>
      <c r="N409" s="348">
        <f>Table432[[#This Row],[Taxable Amount]]*1%</f>
        <v>80</v>
      </c>
      <c r="O409" s="349"/>
      <c r="P409" s="354"/>
      <c r="Q409" s="343"/>
      <c r="R409" s="350" t="s">
        <v>541</v>
      </c>
      <c r="S409" s="323">
        <f>Table432[[#This Row],[Invoice Amount]]-Table432[[#This Row],[TDS]]-Table432[[#This Row],[RTN]]-Table432[[#This Row],[RECIVED AMOUNT]]</f>
        <v>9360</v>
      </c>
      <c r="T409" s="351"/>
      <c r="U409" s="327"/>
      <c r="V409" s="324">
        <f>Table432[[#This Row],[BALANCE]]-Table432[[#This Row],[RECIVED AMOUNT2]]</f>
        <v>9360</v>
      </c>
      <c r="W409" s="352"/>
      <c r="X409" s="352"/>
    </row>
    <row r="410" spans="1:24" s="247" customFormat="1" ht="19.95" customHeight="1">
      <c r="A410" s="269">
        <v>45777</v>
      </c>
      <c r="B410" s="234" t="s">
        <v>630</v>
      </c>
      <c r="C410" s="234" t="s">
        <v>42</v>
      </c>
      <c r="D410" s="270" t="s">
        <v>43</v>
      </c>
      <c r="E410" s="234" t="s">
        <v>101</v>
      </c>
      <c r="F410" s="250" t="s">
        <v>26</v>
      </c>
      <c r="G410" s="272">
        <v>998531</v>
      </c>
      <c r="H410" s="237">
        <v>0.18</v>
      </c>
      <c r="I410" s="260">
        <v>6200</v>
      </c>
      <c r="J410" s="260">
        <f t="shared" si="28"/>
        <v>558</v>
      </c>
      <c r="K410" s="260">
        <f t="shared" si="27"/>
        <v>558</v>
      </c>
      <c r="L410" s="246"/>
      <c r="M410" s="273">
        <f>Table432[[#This Row],[Taxable Amount]]+Table432[[#This Row],[SGST]]+Table432[[#This Row],[CGST]]</f>
        <v>7316</v>
      </c>
      <c r="N410" s="274">
        <f>Table432[[#This Row],[Taxable Amount]]*1%</f>
        <v>62</v>
      </c>
      <c r="O410" s="262">
        <v>0</v>
      </c>
      <c r="P410" s="278"/>
      <c r="Q410" s="264">
        <v>45804</v>
      </c>
      <c r="R410" s="279" t="s">
        <v>541</v>
      </c>
      <c r="S410" s="245">
        <f>Table432[[#This Row],[Invoice Amount]]-Table432[[#This Row],[TDS]]-Table432[[#This Row],[RTN]]-Table432[[#This Row],[RECIVED AMOUNT]]</f>
        <v>7254</v>
      </c>
      <c r="T410" s="267"/>
      <c r="U410" s="297"/>
      <c r="V410" s="246">
        <f>Table432[[#This Row],[BALANCE]]-Table432[[#This Row],[RECIVED AMOUNT2]]</f>
        <v>7254</v>
      </c>
      <c r="W410" s="268"/>
      <c r="X410" s="268"/>
    </row>
    <row r="411" spans="1:24" s="247" customFormat="1" ht="19.95" customHeight="1">
      <c r="A411" s="269">
        <v>45777</v>
      </c>
      <c r="B411" s="234" t="s">
        <v>631</v>
      </c>
      <c r="C411" s="234" t="s">
        <v>42</v>
      </c>
      <c r="D411" s="234" t="s">
        <v>43</v>
      </c>
      <c r="E411" s="234" t="s">
        <v>632</v>
      </c>
      <c r="F411" s="250" t="s">
        <v>26</v>
      </c>
      <c r="G411" s="272">
        <v>998531</v>
      </c>
      <c r="H411" s="237">
        <v>0.18</v>
      </c>
      <c r="I411" s="260">
        <v>6520</v>
      </c>
      <c r="J411" s="260">
        <f t="shared" si="28"/>
        <v>586.79999999999995</v>
      </c>
      <c r="K411" s="260">
        <f t="shared" si="27"/>
        <v>586.79999999999995</v>
      </c>
      <c r="L411" s="246"/>
      <c r="M411" s="273">
        <f>Table432[[#This Row],[Taxable Amount]]+Table432[[#This Row],[SGST]]+Table432[[#This Row],[CGST]]</f>
        <v>7693.6</v>
      </c>
      <c r="N411" s="274">
        <f>Table432[[#This Row],[Taxable Amount]]*1%</f>
        <v>65.2</v>
      </c>
      <c r="O411" s="262">
        <v>0</v>
      </c>
      <c r="P411" s="278">
        <v>14882</v>
      </c>
      <c r="Q411" s="264">
        <v>45804</v>
      </c>
      <c r="R411" s="279" t="s">
        <v>541</v>
      </c>
      <c r="S411" s="245">
        <f>Table432[[#This Row],[Invoice Amount]]-Table432[[#This Row],[TDS]]-Table432[[#This Row],[RTN]]-Table432[[#This Row],[RECIVED AMOUNT]]</f>
        <v>-7253.5999999999995</v>
      </c>
      <c r="T411" s="267"/>
      <c r="U411" s="297"/>
      <c r="V411" s="246">
        <f>Table432[[#This Row],[BALANCE]]-Table432[[#This Row],[RECIVED AMOUNT2]]</f>
        <v>-7253.5999999999995</v>
      </c>
      <c r="W411" s="268"/>
      <c r="X411" s="268"/>
    </row>
    <row r="412" spans="1:24" s="381" customFormat="1" ht="19.95" customHeight="1">
      <c r="A412" s="365">
        <v>45777</v>
      </c>
      <c r="B412" s="366" t="s">
        <v>633</v>
      </c>
      <c r="C412" s="366" t="s">
        <v>157</v>
      </c>
      <c r="D412" s="366" t="s">
        <v>158</v>
      </c>
      <c r="E412" s="366" t="s">
        <v>634</v>
      </c>
      <c r="F412" s="367" t="s">
        <v>26</v>
      </c>
      <c r="G412" s="368">
        <v>998531</v>
      </c>
      <c r="H412" s="369">
        <v>0.18</v>
      </c>
      <c r="I412" s="370">
        <v>15000</v>
      </c>
      <c r="J412" s="370">
        <f t="shared" si="28"/>
        <v>1350</v>
      </c>
      <c r="K412" s="370">
        <f t="shared" si="27"/>
        <v>1350</v>
      </c>
      <c r="L412" s="371"/>
      <c r="M412" s="372">
        <f>Table432[[#This Row],[Taxable Amount]]+Table432[[#This Row],[SGST]]+Table432[[#This Row],[CGST]]</f>
        <v>17700</v>
      </c>
      <c r="N412" s="373">
        <f>Table432[[#This Row],[Taxable Amount]]*1%</f>
        <v>150</v>
      </c>
      <c r="O412" s="374"/>
      <c r="P412" s="375">
        <v>15000</v>
      </c>
      <c r="Q412" s="383"/>
      <c r="R412" s="384" t="s">
        <v>541</v>
      </c>
      <c r="S412" s="378">
        <v>2700</v>
      </c>
      <c r="T412" s="379" t="s">
        <v>1333</v>
      </c>
      <c r="U412" s="463">
        <v>46113</v>
      </c>
      <c r="V412" s="371" t="e">
        <f>Table432[[#This Row],[BALANCE]]-Table432[[#This Row],[RECIVED AMOUNT2]]</f>
        <v>#VALUE!</v>
      </c>
      <c r="W412" s="380" t="s">
        <v>1195</v>
      </c>
      <c r="X412" s="380"/>
    </row>
    <row r="413" spans="1:24" s="247" customFormat="1" ht="19.95" customHeight="1">
      <c r="A413" s="269">
        <v>45777</v>
      </c>
      <c r="B413" s="234" t="s">
        <v>635</v>
      </c>
      <c r="C413" s="234" t="s">
        <v>42</v>
      </c>
      <c r="D413" s="234" t="s">
        <v>43</v>
      </c>
      <c r="E413" s="234" t="s">
        <v>163</v>
      </c>
      <c r="F413" s="250" t="s">
        <v>26</v>
      </c>
      <c r="G413" s="272">
        <v>998531</v>
      </c>
      <c r="H413" s="237">
        <v>0.18</v>
      </c>
      <c r="I413" s="260">
        <v>9800</v>
      </c>
      <c r="J413" s="260">
        <f t="shared" si="28"/>
        <v>882</v>
      </c>
      <c r="K413" s="260">
        <f t="shared" si="27"/>
        <v>882</v>
      </c>
      <c r="L413" s="246"/>
      <c r="M413" s="273">
        <f>Table432[[#This Row],[Taxable Amount]]+Table432[[#This Row],[SGST]]+Table432[[#This Row],[CGST]]</f>
        <v>11564</v>
      </c>
      <c r="N413" s="274">
        <f>Table432[[#This Row],[Taxable Amount]]*1%</f>
        <v>98</v>
      </c>
      <c r="O413" s="262">
        <v>245</v>
      </c>
      <c r="P413" s="278">
        <v>11891</v>
      </c>
      <c r="Q413" s="264">
        <v>45829</v>
      </c>
      <c r="R413" s="279" t="s">
        <v>541</v>
      </c>
      <c r="S413" s="245">
        <f>Table432[[#This Row],[Invoice Amount]]-Table432[[#This Row],[TDS]]-Table432[[#This Row],[RTN]]-Table432[[#This Row],[RECIVED AMOUNT]]</f>
        <v>-670</v>
      </c>
      <c r="T413" s="267"/>
      <c r="U413" s="234"/>
      <c r="V413" s="246">
        <f>Table432[[#This Row],[BALANCE]]-Table432[[#This Row],[RECIVED AMOUNT2]]</f>
        <v>-670</v>
      </c>
      <c r="W413" s="268"/>
      <c r="X413" s="268"/>
    </row>
    <row r="414" spans="1:24" ht="19.95" customHeight="1">
      <c r="A414" s="68">
        <v>45777</v>
      </c>
      <c r="B414" s="3" t="s">
        <v>636</v>
      </c>
      <c r="C414" s="3" t="s">
        <v>637</v>
      </c>
      <c r="D414" s="3" t="s">
        <v>638</v>
      </c>
      <c r="E414" s="3" t="s">
        <v>629</v>
      </c>
      <c r="F414" s="4" t="s">
        <v>26</v>
      </c>
      <c r="G414" s="22">
        <v>998531</v>
      </c>
      <c r="H414" s="23">
        <v>0.18</v>
      </c>
      <c r="I414" s="9">
        <v>7650</v>
      </c>
      <c r="J414" s="9">
        <f t="shared" si="28"/>
        <v>688.5</v>
      </c>
      <c r="K414" s="9">
        <f t="shared" si="27"/>
        <v>688.5</v>
      </c>
      <c r="L414" s="41"/>
      <c r="M414" s="37">
        <f>Table432[[#This Row],[Taxable Amount]]+Table432[[#This Row],[SGST]]+Table432[[#This Row],[CGST]]</f>
        <v>9027</v>
      </c>
      <c r="N414" s="71">
        <f>Table432[[#This Row],[Taxable Amount]]*1%</f>
        <v>76.5</v>
      </c>
      <c r="O414" s="157">
        <v>191</v>
      </c>
      <c r="P414" s="148">
        <v>8759</v>
      </c>
      <c r="Q414" s="59">
        <v>45824</v>
      </c>
      <c r="R414" s="113" t="s">
        <v>541</v>
      </c>
      <c r="S414" s="138">
        <f>Table432[[#This Row],[Invoice Amount]]-Table432[[#This Row],[TDS]]-Table432[[#This Row],[RTN]]-Table432[[#This Row],[RECIVED AMOUNT]]</f>
        <v>0.5</v>
      </c>
      <c r="T414" s="55"/>
      <c r="U414" s="3"/>
      <c r="V414" s="41">
        <f>Table432[[#This Row],[BALANCE]]-Table432[[#This Row],[RECIVED AMOUNT2]]</f>
        <v>0.5</v>
      </c>
      <c r="W414" s="50"/>
      <c r="X414" s="50"/>
    </row>
    <row r="415" spans="1:24" s="247" customFormat="1" ht="19.95" customHeight="1">
      <c r="A415" s="269">
        <v>45777</v>
      </c>
      <c r="B415" s="234" t="s">
        <v>639</v>
      </c>
      <c r="C415" s="234" t="s">
        <v>42</v>
      </c>
      <c r="D415" s="234" t="s">
        <v>43</v>
      </c>
      <c r="E415" s="234" t="s">
        <v>44</v>
      </c>
      <c r="F415" s="250" t="s">
        <v>26</v>
      </c>
      <c r="G415" s="272">
        <v>998531</v>
      </c>
      <c r="H415" s="237">
        <v>0.18</v>
      </c>
      <c r="I415" s="260">
        <v>12400</v>
      </c>
      <c r="J415" s="260">
        <f t="shared" si="28"/>
        <v>1116</v>
      </c>
      <c r="K415" s="260">
        <f t="shared" si="27"/>
        <v>1116</v>
      </c>
      <c r="L415" s="246"/>
      <c r="M415" s="273">
        <f>Table432[[#This Row],[Taxable Amount]]+Table432[[#This Row],[SGST]]+Table432[[#This Row],[CGST]]</f>
        <v>14632</v>
      </c>
      <c r="N415" s="274">
        <f>Table432[[#This Row],[Taxable Amount]]*1%</f>
        <v>124</v>
      </c>
      <c r="O415" s="262">
        <v>310</v>
      </c>
      <c r="P415" s="278">
        <v>14198</v>
      </c>
      <c r="Q415" s="264">
        <v>45800</v>
      </c>
      <c r="R415" s="279" t="s">
        <v>541</v>
      </c>
      <c r="S415" s="245">
        <f>Table432[[#This Row],[Invoice Amount]]-Table432[[#This Row],[TDS]]-Table432[[#This Row],[RTN]]-Table432[[#This Row],[RECIVED AMOUNT]]</f>
        <v>0</v>
      </c>
      <c r="T415" s="267"/>
      <c r="U415" s="234"/>
      <c r="V415" s="246">
        <f>Table432[[#This Row],[BALANCE]]-Table432[[#This Row],[RECIVED AMOUNT2]]</f>
        <v>0</v>
      </c>
      <c r="W415" s="268"/>
      <c r="X415" s="268"/>
    </row>
    <row r="416" spans="1:24" ht="19.95" customHeight="1">
      <c r="A416" s="68">
        <v>45780</v>
      </c>
      <c r="B416" s="3" t="s">
        <v>640</v>
      </c>
      <c r="C416" s="3" t="s">
        <v>173</v>
      </c>
      <c r="D416" s="3" t="s">
        <v>174</v>
      </c>
      <c r="E416" s="3" t="s">
        <v>62</v>
      </c>
      <c r="F416" s="4" t="s">
        <v>26</v>
      </c>
      <c r="G416" s="22">
        <v>998531</v>
      </c>
      <c r="H416" s="23">
        <v>0.18</v>
      </c>
      <c r="I416" s="9">
        <v>8800</v>
      </c>
      <c r="J416" s="9">
        <f t="shared" si="28"/>
        <v>792</v>
      </c>
      <c r="K416" s="9">
        <f t="shared" si="27"/>
        <v>792</v>
      </c>
      <c r="L416" s="41"/>
      <c r="M416" s="37">
        <f>Table432[[#This Row],[Taxable Amount]]+Table432[[#This Row],[SGST]]+Table432[[#This Row],[CGST]]</f>
        <v>10384</v>
      </c>
      <c r="N416" s="71">
        <v>0</v>
      </c>
      <c r="O416" s="157"/>
      <c r="P416" s="148">
        <v>10384</v>
      </c>
      <c r="Q416" s="59">
        <v>45842</v>
      </c>
      <c r="R416" s="117" t="s">
        <v>613</v>
      </c>
      <c r="S416" s="138">
        <f>Table432[[#This Row],[Invoice Amount]]-Table432[[#This Row],[TDS]]-Table432[[#This Row],[RTN]]-Table432[[#This Row],[RECIVED AMOUNT]]</f>
        <v>0</v>
      </c>
      <c r="T416" s="55"/>
      <c r="U416" s="3"/>
      <c r="V416" s="41">
        <f>Table432[[#This Row],[BALANCE]]-Table432[[#This Row],[RECIVED AMOUNT2]]</f>
        <v>0</v>
      </c>
      <c r="W416" s="50"/>
      <c r="X416" s="50"/>
    </row>
    <row r="417" spans="1:24" ht="19.95" customHeight="1">
      <c r="A417" s="86">
        <v>45782</v>
      </c>
      <c r="B417" s="7" t="s">
        <v>641</v>
      </c>
      <c r="C417" s="7" t="s">
        <v>642</v>
      </c>
      <c r="D417" s="7" t="s">
        <v>643</v>
      </c>
      <c r="E417" s="7" t="s">
        <v>67</v>
      </c>
      <c r="F417" s="5" t="s">
        <v>26</v>
      </c>
      <c r="G417" s="85">
        <v>998531</v>
      </c>
      <c r="H417" s="23">
        <v>0.18</v>
      </c>
      <c r="I417" s="69">
        <v>3400</v>
      </c>
      <c r="J417" s="69">
        <f t="shared" si="28"/>
        <v>306</v>
      </c>
      <c r="K417" s="69">
        <f t="shared" si="27"/>
        <v>306</v>
      </c>
      <c r="L417" s="70"/>
      <c r="M417" s="94">
        <f>Table432[[#This Row],[Taxable Amount]]+Table432[[#This Row],[SGST]]+Table432[[#This Row],[CGST]]</f>
        <v>4012</v>
      </c>
      <c r="N417" s="155">
        <v>0</v>
      </c>
      <c r="O417" s="158"/>
      <c r="P417" s="156">
        <v>4012</v>
      </c>
      <c r="Q417" s="97">
        <v>45835</v>
      </c>
      <c r="R417" s="116" t="s">
        <v>413</v>
      </c>
      <c r="S417" s="138">
        <f>Table432[[#This Row],[Invoice Amount]]-Table432[[#This Row],[TDS]]-Table432[[#This Row],[RTN]]-Table432[[#This Row],[RECIVED AMOUNT]]</f>
        <v>0</v>
      </c>
      <c r="T417" s="99"/>
      <c r="U417" s="7"/>
      <c r="V417" s="41">
        <f>Table432[[#This Row],[BALANCE]]-Table432[[#This Row],[RECIVED AMOUNT2]]</f>
        <v>0</v>
      </c>
      <c r="W417" s="50"/>
      <c r="X417" s="50"/>
    </row>
    <row r="418" spans="1:24" s="10" customFormat="1" ht="19.95" customHeight="1">
      <c r="A418" s="68">
        <v>45798</v>
      </c>
      <c r="B418" s="3" t="s">
        <v>644</v>
      </c>
      <c r="C418" s="3" t="s">
        <v>258</v>
      </c>
      <c r="D418" s="3" t="s">
        <v>259</v>
      </c>
      <c r="E418" s="3" t="s">
        <v>260</v>
      </c>
      <c r="F418" s="4" t="s">
        <v>26</v>
      </c>
      <c r="G418" s="22">
        <v>998531</v>
      </c>
      <c r="H418" s="23">
        <v>0.18</v>
      </c>
      <c r="I418" s="9">
        <v>8750</v>
      </c>
      <c r="J418" s="9">
        <f t="shared" si="28"/>
        <v>787.5</v>
      </c>
      <c r="K418" s="9">
        <f t="shared" si="27"/>
        <v>787.5</v>
      </c>
      <c r="L418" s="41"/>
      <c r="M418" s="37">
        <f>Table432[[#This Row],[Taxable Amount]]+Table432[[#This Row],[SGST]]+Table432[[#This Row],[CGST]]</f>
        <v>10325</v>
      </c>
      <c r="N418" s="71">
        <f>Table432[[#This Row],[Taxable Amount]]*1%</f>
        <v>87.5</v>
      </c>
      <c r="O418" s="157">
        <v>0</v>
      </c>
      <c r="P418" s="148">
        <v>55416</v>
      </c>
      <c r="Q418" s="59">
        <v>46036</v>
      </c>
      <c r="R418" s="117" t="s">
        <v>613</v>
      </c>
      <c r="S418" s="138">
        <f>Table432[[#This Row],[Invoice Amount]]-Table432[[#This Row],[TDS]]-Table432[[#This Row],[RTN]]-Table432[[#This Row],[RECIVED AMOUNT]]</f>
        <v>-45178.5</v>
      </c>
      <c r="T418" s="55"/>
      <c r="U418" s="3"/>
      <c r="V418" s="41">
        <f>Table432[[#This Row],[BALANCE]]-Table432[[#This Row],[RECIVED AMOUNT2]]</f>
        <v>-45178.5</v>
      </c>
      <c r="W418" s="211"/>
      <c r="X418" s="211"/>
    </row>
    <row r="419" spans="1:24" ht="19.95" customHeight="1">
      <c r="A419" s="86">
        <v>45800</v>
      </c>
      <c r="B419" s="7" t="s">
        <v>645</v>
      </c>
      <c r="C419" s="7" t="s">
        <v>575</v>
      </c>
      <c r="D419" s="7" t="s">
        <v>576</v>
      </c>
      <c r="E419" s="7" t="s">
        <v>577</v>
      </c>
      <c r="F419" s="5" t="s">
        <v>26</v>
      </c>
      <c r="G419" s="85">
        <v>998531</v>
      </c>
      <c r="H419" s="23">
        <v>0.18</v>
      </c>
      <c r="I419" s="69">
        <v>29700</v>
      </c>
      <c r="J419" s="69">
        <f t="shared" si="28"/>
        <v>2673</v>
      </c>
      <c r="K419" s="69">
        <f t="shared" si="27"/>
        <v>2673</v>
      </c>
      <c r="L419" s="70"/>
      <c r="M419" s="94">
        <f>Table432[[#This Row],[Taxable Amount]]+Table432[[#This Row],[SGST]]+Table432[[#This Row],[CGST]]</f>
        <v>35046</v>
      </c>
      <c r="N419" s="155">
        <f>Table432[[#This Row],[Taxable Amount]]*1%</f>
        <v>297</v>
      </c>
      <c r="O419" s="158"/>
      <c r="P419" s="156">
        <v>34452</v>
      </c>
      <c r="Q419" s="97">
        <v>45877</v>
      </c>
      <c r="R419" s="116" t="s">
        <v>413</v>
      </c>
      <c r="S419" s="138">
        <f>Table432[[#This Row],[Invoice Amount]]-Table432[[#This Row],[TDS]]-Table432[[#This Row],[RTN]]-Table432[[#This Row],[RECIVED AMOUNT]]</f>
        <v>297</v>
      </c>
      <c r="T419" s="99"/>
      <c r="U419" s="7"/>
      <c r="V419" s="41">
        <f>Table432[[#This Row],[BALANCE]]-Table432[[#This Row],[RECIVED AMOUNT2]]</f>
        <v>297</v>
      </c>
      <c r="W419" s="50"/>
      <c r="X419" s="50"/>
    </row>
    <row r="420" spans="1:24" s="10" customFormat="1" ht="19.95" customHeight="1">
      <c r="A420" s="86">
        <v>45800</v>
      </c>
      <c r="B420" s="7" t="s">
        <v>646</v>
      </c>
      <c r="C420" s="7" t="s">
        <v>647</v>
      </c>
      <c r="D420" s="7" t="s">
        <v>648</v>
      </c>
      <c r="E420" s="7" t="s">
        <v>557</v>
      </c>
      <c r="F420" s="5" t="s">
        <v>26</v>
      </c>
      <c r="G420" s="85">
        <v>998531</v>
      </c>
      <c r="H420" s="23">
        <v>0.18</v>
      </c>
      <c r="I420" s="69">
        <v>16000</v>
      </c>
      <c r="J420" s="69">
        <f t="shared" si="28"/>
        <v>1440</v>
      </c>
      <c r="K420" s="69">
        <f t="shared" si="27"/>
        <v>1440</v>
      </c>
      <c r="L420" s="70"/>
      <c r="M420" s="94">
        <f>Table432[[#This Row],[Taxable Amount]]+Table432[[#This Row],[SGST]]+Table432[[#This Row],[CGST]]</f>
        <v>18880</v>
      </c>
      <c r="N420" s="155">
        <v>80</v>
      </c>
      <c r="O420" s="158"/>
      <c r="P420" s="156">
        <v>18800</v>
      </c>
      <c r="Q420" s="97">
        <v>45876</v>
      </c>
      <c r="R420" s="116" t="s">
        <v>413</v>
      </c>
      <c r="S420" s="138">
        <f>Table432[[#This Row],[Invoice Amount]]-Table432[[#This Row],[TDS]]-Table432[[#This Row],[RTN]]-Table432[[#This Row],[RECIVED AMOUNT]]</f>
        <v>0</v>
      </c>
      <c r="T420" s="99"/>
      <c r="U420" s="7"/>
      <c r="V420" s="41">
        <f>Table432[[#This Row],[BALANCE]]-Table432[[#This Row],[RECIVED AMOUNT2]]</f>
        <v>0</v>
      </c>
      <c r="W420" s="211"/>
      <c r="X420" s="211"/>
    </row>
    <row r="421" spans="1:24" s="10" customFormat="1" ht="19.95" customHeight="1">
      <c r="A421" s="68">
        <v>45804</v>
      </c>
      <c r="B421" s="3" t="s">
        <v>649</v>
      </c>
      <c r="C421" s="21" t="s">
        <v>116</v>
      </c>
      <c r="D421" s="3" t="s">
        <v>117</v>
      </c>
      <c r="E421" s="3" t="s">
        <v>59</v>
      </c>
      <c r="F421" s="4" t="s">
        <v>37</v>
      </c>
      <c r="G421" s="22">
        <v>998531</v>
      </c>
      <c r="H421" s="23">
        <v>0.18</v>
      </c>
      <c r="I421" s="9">
        <v>77453</v>
      </c>
      <c r="J421" s="9">
        <f t="shared" si="28"/>
        <v>6970.77</v>
      </c>
      <c r="K421" s="9">
        <f t="shared" si="27"/>
        <v>6970.77</v>
      </c>
      <c r="L421" s="41"/>
      <c r="M421" s="37">
        <f>Table432[[#This Row],[Taxable Amount]]+Table432[[#This Row],[SGST]]+Table432[[#This Row],[CGST]]</f>
        <v>91394.540000000008</v>
      </c>
      <c r="N421" s="71">
        <f>Table432[[#This Row],[Taxable Amount]]*1%</f>
        <v>774.53</v>
      </c>
      <c r="O421" s="157">
        <v>0</v>
      </c>
      <c r="P421" s="148">
        <v>90621</v>
      </c>
      <c r="Q421" s="59">
        <v>45833</v>
      </c>
      <c r="R421" s="117" t="s">
        <v>613</v>
      </c>
      <c r="S421" s="138">
        <f>Table432[[#This Row],[Invoice Amount]]-Table432[[#This Row],[TDS]]-Table432[[#This Row],[RTN]]-Table432[[#This Row],[RECIVED AMOUNT]]</f>
        <v>-0.98999999999068677</v>
      </c>
      <c r="T421" s="114"/>
      <c r="U421" s="59"/>
      <c r="V421" s="41">
        <f>Table432[[#This Row],[BALANCE]]-Table432[[#This Row],[RECIVED AMOUNT2]]</f>
        <v>-0.98999999999068677</v>
      </c>
      <c r="W421" s="211"/>
      <c r="X421" s="211"/>
    </row>
    <row r="422" spans="1:24" ht="19.95" customHeight="1">
      <c r="A422" s="68">
        <v>45808</v>
      </c>
      <c r="B422" s="3" t="s">
        <v>650</v>
      </c>
      <c r="C422" s="3" t="s">
        <v>23</v>
      </c>
      <c r="D422" s="3" t="s">
        <v>24</v>
      </c>
      <c r="E422" s="3" t="s">
        <v>25</v>
      </c>
      <c r="F422" s="4" t="s">
        <v>560</v>
      </c>
      <c r="G422" s="22">
        <v>998531</v>
      </c>
      <c r="H422" s="23">
        <v>0.18</v>
      </c>
      <c r="I422" s="9">
        <v>4375</v>
      </c>
      <c r="J422" s="9">
        <f t="shared" si="28"/>
        <v>393.75</v>
      </c>
      <c r="K422" s="9">
        <f t="shared" si="27"/>
        <v>393.75</v>
      </c>
      <c r="L422" s="41"/>
      <c r="M422" s="37">
        <f>Table432[[#This Row],[Taxable Amount]]+Table432[[#This Row],[SGST]]+Table432[[#This Row],[CGST]]</f>
        <v>5162.5</v>
      </c>
      <c r="N422" s="71">
        <f>Table432[[#This Row],[Taxable Amount]]*1%</f>
        <v>43.75</v>
      </c>
      <c r="O422" s="157"/>
      <c r="P422" s="148"/>
      <c r="Q422" s="134">
        <v>46039</v>
      </c>
      <c r="R422" s="117" t="s">
        <v>613</v>
      </c>
      <c r="S422" s="138">
        <f>Table432[[#This Row],[Invoice Amount]]-Table432[[#This Row],[TDS]]-Table432[[#This Row],[RTN]]-Table432[[#This Row],[RECIVED AMOUNT]]</f>
        <v>5118.75</v>
      </c>
      <c r="T422" s="55"/>
      <c r="U422" s="3"/>
      <c r="V422" s="41">
        <f>Table432[[#This Row],[BALANCE]]-Table432[[#This Row],[RECIVED AMOUNT2]]</f>
        <v>5118.75</v>
      </c>
      <c r="W422" s="50"/>
      <c r="X422" s="50"/>
    </row>
    <row r="423" spans="1:24" s="325" customFormat="1" ht="19.95" customHeight="1">
      <c r="A423" s="345">
        <v>45808</v>
      </c>
      <c r="B423" s="327" t="s">
        <v>651</v>
      </c>
      <c r="C423" s="327" t="s">
        <v>337</v>
      </c>
      <c r="D423" s="353" t="s">
        <v>338</v>
      </c>
      <c r="E423" s="327" t="s">
        <v>59</v>
      </c>
      <c r="F423" s="332" t="s">
        <v>26</v>
      </c>
      <c r="G423" s="346">
        <v>998531</v>
      </c>
      <c r="H423" s="317">
        <v>0.18</v>
      </c>
      <c r="I423" s="340">
        <v>7000</v>
      </c>
      <c r="J423" s="340">
        <f t="shared" si="28"/>
        <v>630</v>
      </c>
      <c r="K423" s="340">
        <f t="shared" si="27"/>
        <v>630</v>
      </c>
      <c r="L423" s="324"/>
      <c r="M423" s="347">
        <f>Table432[[#This Row],[Taxable Amount]]+Table432[[#This Row],[SGST]]+Table432[[#This Row],[CGST]]</f>
        <v>8260</v>
      </c>
      <c r="N423" s="348">
        <v>0</v>
      </c>
      <c r="O423" s="349"/>
      <c r="P423" s="354"/>
      <c r="Q423" s="343"/>
      <c r="R423" s="350" t="s">
        <v>413</v>
      </c>
      <c r="S423" s="323">
        <f>Table432[[#This Row],[Invoice Amount]]-Table432[[#This Row],[TDS]]-Table432[[#This Row],[RTN]]-Table432[[#This Row],[RECIVED AMOUNT]]</f>
        <v>8260</v>
      </c>
      <c r="T423" s="351"/>
      <c r="U423" s="327"/>
      <c r="V423" s="324">
        <f>Table432[[#This Row],[BALANCE]]-Table432[[#This Row],[RECIVED AMOUNT2]]</f>
        <v>8260</v>
      </c>
      <c r="W423" s="352"/>
      <c r="X423" s="352"/>
    </row>
    <row r="424" spans="1:24" s="10" customFormat="1" ht="19.95" customHeight="1">
      <c r="A424" s="68">
        <v>45808</v>
      </c>
      <c r="B424" s="3" t="s">
        <v>652</v>
      </c>
      <c r="C424" s="21" t="s">
        <v>116</v>
      </c>
      <c r="D424" s="21" t="s">
        <v>117</v>
      </c>
      <c r="E424" s="3" t="s">
        <v>59</v>
      </c>
      <c r="F424" s="4" t="s">
        <v>26</v>
      </c>
      <c r="G424" s="22">
        <v>998531</v>
      </c>
      <c r="H424" s="23">
        <v>0.18</v>
      </c>
      <c r="I424" s="9">
        <v>17300</v>
      </c>
      <c r="J424" s="9">
        <f t="shared" si="28"/>
        <v>1557</v>
      </c>
      <c r="K424" s="9">
        <f t="shared" si="27"/>
        <v>1557</v>
      </c>
      <c r="L424" s="41"/>
      <c r="M424" s="37">
        <f>Table432[[#This Row],[Taxable Amount]]+Table432[[#This Row],[SGST]]+Table432[[#This Row],[CGST]]</f>
        <v>20414</v>
      </c>
      <c r="N424" s="71">
        <f>Table432[[#This Row],[Taxable Amount]]*1%</f>
        <v>173</v>
      </c>
      <c r="O424" s="157">
        <v>0</v>
      </c>
      <c r="P424" s="148">
        <v>20241</v>
      </c>
      <c r="Q424" s="59">
        <v>45833</v>
      </c>
      <c r="R424" s="117" t="s">
        <v>613</v>
      </c>
      <c r="S424" s="138">
        <f>Table432[[#This Row],[Invoice Amount]]-Table432[[#This Row],[TDS]]-Table432[[#This Row],[RTN]]-Table432[[#This Row],[RECIVED AMOUNT]]</f>
        <v>0</v>
      </c>
      <c r="T424" s="114"/>
      <c r="U424" s="59"/>
      <c r="V424" s="41">
        <f>Table432[[#This Row],[BALANCE]]-Table432[[#This Row],[RECIVED AMOUNT2]]</f>
        <v>0</v>
      </c>
      <c r="W424" s="211"/>
      <c r="X424" s="211"/>
    </row>
    <row r="425" spans="1:24" ht="19.95" customHeight="1">
      <c r="A425" s="68">
        <v>45808</v>
      </c>
      <c r="B425" s="3" t="s">
        <v>653</v>
      </c>
      <c r="C425" s="3" t="s">
        <v>390</v>
      </c>
      <c r="D425" s="3" t="s">
        <v>391</v>
      </c>
      <c r="E425" s="3" t="s">
        <v>260</v>
      </c>
      <c r="F425" s="4" t="s">
        <v>26</v>
      </c>
      <c r="G425" s="22">
        <v>998531</v>
      </c>
      <c r="H425" s="23">
        <v>0.18</v>
      </c>
      <c r="I425" s="9">
        <v>1089</v>
      </c>
      <c r="J425" s="9">
        <f t="shared" si="28"/>
        <v>98.01</v>
      </c>
      <c r="K425" s="9">
        <f t="shared" si="27"/>
        <v>98.01</v>
      </c>
      <c r="L425" s="41"/>
      <c r="M425" s="37">
        <f>Table432[[#This Row],[Taxable Amount]]+Table432[[#This Row],[SGST]]+Table432[[#This Row],[CGST]]</f>
        <v>1285.02</v>
      </c>
      <c r="N425" s="71">
        <f>Table432[[#This Row],[Taxable Amount]]*1%</f>
        <v>10.89</v>
      </c>
      <c r="O425" s="157"/>
      <c r="P425" s="148"/>
      <c r="Q425" s="59">
        <v>45926</v>
      </c>
      <c r="R425" s="117" t="s">
        <v>613</v>
      </c>
      <c r="S425" s="138">
        <f>Table432[[#This Row],[Invoice Amount]]-Table432[[#This Row],[TDS]]-Table432[[#This Row],[RTN]]-Table432[[#This Row],[RECIVED AMOUNT]]</f>
        <v>1274.1299999999999</v>
      </c>
      <c r="T425" s="55"/>
      <c r="U425" s="3"/>
      <c r="V425" s="41">
        <f>Table432[[#This Row],[BALANCE]]-Table432[[#This Row],[RECIVED AMOUNT2]]</f>
        <v>1274.1299999999999</v>
      </c>
      <c r="W425" s="50"/>
      <c r="X425" s="50"/>
    </row>
    <row r="426" spans="1:24" ht="19.95" customHeight="1">
      <c r="A426" s="68">
        <v>45808</v>
      </c>
      <c r="B426" s="3" t="s">
        <v>654</v>
      </c>
      <c r="C426" s="3" t="s">
        <v>390</v>
      </c>
      <c r="D426" s="3" t="s">
        <v>391</v>
      </c>
      <c r="E426" s="3" t="s">
        <v>260</v>
      </c>
      <c r="F426" s="4" t="s">
        <v>26</v>
      </c>
      <c r="G426" s="22">
        <v>998531</v>
      </c>
      <c r="H426" s="23">
        <v>0.18</v>
      </c>
      <c r="I426" s="9">
        <v>1308.75</v>
      </c>
      <c r="J426" s="9">
        <f t="shared" si="28"/>
        <v>117.78749999999999</v>
      </c>
      <c r="K426" s="9">
        <f t="shared" si="27"/>
        <v>117.78749999999999</v>
      </c>
      <c r="L426" s="41"/>
      <c r="M426" s="37">
        <f>Table432[[#This Row],[Taxable Amount]]+Table432[[#This Row],[SGST]]+Table432[[#This Row],[CGST]]</f>
        <v>1544.3249999999998</v>
      </c>
      <c r="N426" s="67">
        <f>Table432[[#This Row],[Taxable Amount]]*1%</f>
        <v>13.0875</v>
      </c>
      <c r="O426" s="157"/>
      <c r="P426" s="148"/>
      <c r="Q426" s="59">
        <v>45926</v>
      </c>
      <c r="R426" s="117" t="s">
        <v>613</v>
      </c>
      <c r="S426" s="138">
        <f>Table432[[#This Row],[Invoice Amount]]-Table432[[#This Row],[TDS]]-Table432[[#This Row],[RTN]]-Table432[[#This Row],[RECIVED AMOUNT]]</f>
        <v>1531.2374999999997</v>
      </c>
      <c r="T426" s="55"/>
      <c r="U426" s="3"/>
      <c r="V426" s="41">
        <f>Table432[[#This Row],[BALANCE]]-Table432[[#This Row],[RECIVED AMOUNT2]]</f>
        <v>1531.2374999999997</v>
      </c>
      <c r="W426" s="50"/>
      <c r="X426" s="50"/>
    </row>
    <row r="427" spans="1:24" ht="19.95" customHeight="1">
      <c r="A427" s="68">
        <v>45808</v>
      </c>
      <c r="B427" s="3" t="s">
        <v>655</v>
      </c>
      <c r="C427" s="3" t="s">
        <v>390</v>
      </c>
      <c r="D427" s="3" t="s">
        <v>391</v>
      </c>
      <c r="E427" s="3" t="s">
        <v>260</v>
      </c>
      <c r="F427" s="4" t="s">
        <v>26</v>
      </c>
      <c r="G427" s="22">
        <v>998531</v>
      </c>
      <c r="H427" s="23">
        <v>0.18</v>
      </c>
      <c r="I427" s="9">
        <v>1815</v>
      </c>
      <c r="J427" s="9">
        <f t="shared" si="28"/>
        <v>163.35</v>
      </c>
      <c r="K427" s="9">
        <f t="shared" si="27"/>
        <v>163.35</v>
      </c>
      <c r="L427" s="41"/>
      <c r="M427" s="37">
        <f>Table432[[#This Row],[Taxable Amount]]+Table432[[#This Row],[SGST]]+Table432[[#This Row],[CGST]]</f>
        <v>2141.6999999999998</v>
      </c>
      <c r="N427" s="71">
        <f>Table432[[#This Row],[Taxable Amount]]*1%</f>
        <v>18.150000000000002</v>
      </c>
      <c r="O427" s="157"/>
      <c r="P427" s="148"/>
      <c r="Q427" s="59">
        <v>45926</v>
      </c>
      <c r="R427" s="117" t="s">
        <v>613</v>
      </c>
      <c r="S427" s="138">
        <f>Table432[[#This Row],[Invoice Amount]]-Table432[[#This Row],[TDS]]-Table432[[#This Row],[RTN]]-Table432[[#This Row],[RECIVED AMOUNT]]</f>
        <v>2123.5499999999997</v>
      </c>
      <c r="T427" s="55"/>
      <c r="U427" s="3"/>
      <c r="V427" s="41">
        <f>Table432[[#This Row],[BALANCE]]-Table432[[#This Row],[RECIVED AMOUNT2]]</f>
        <v>2123.5499999999997</v>
      </c>
      <c r="W427" s="50"/>
      <c r="X427" s="50"/>
    </row>
    <row r="428" spans="1:24" ht="19.95" customHeight="1">
      <c r="A428" s="68">
        <v>45808</v>
      </c>
      <c r="B428" s="3" t="s">
        <v>656</v>
      </c>
      <c r="C428" s="3" t="s">
        <v>390</v>
      </c>
      <c r="D428" s="3" t="s">
        <v>391</v>
      </c>
      <c r="E428" s="3" t="s">
        <v>260</v>
      </c>
      <c r="F428" s="4" t="s">
        <v>26</v>
      </c>
      <c r="G428" s="22">
        <v>998531</v>
      </c>
      <c r="H428" s="23">
        <v>0.18</v>
      </c>
      <c r="I428" s="9">
        <v>936</v>
      </c>
      <c r="J428" s="9">
        <f t="shared" si="28"/>
        <v>84.24</v>
      </c>
      <c r="K428" s="9">
        <f t="shared" si="27"/>
        <v>84.24</v>
      </c>
      <c r="L428" s="41"/>
      <c r="M428" s="37">
        <f>Table432[[#This Row],[Taxable Amount]]+Table432[[#This Row],[SGST]]+Table432[[#This Row],[CGST]]</f>
        <v>1104.48</v>
      </c>
      <c r="N428" s="71">
        <f>Table432[[#This Row],[Taxable Amount]]*1%</f>
        <v>9.36</v>
      </c>
      <c r="O428" s="157"/>
      <c r="P428" s="148"/>
      <c r="Q428" s="59">
        <v>45926</v>
      </c>
      <c r="R428" s="117" t="s">
        <v>613</v>
      </c>
      <c r="S428" s="138">
        <f>Table432[[#This Row],[Invoice Amount]]-Table432[[#This Row],[TDS]]-Table432[[#This Row],[RTN]]-Table432[[#This Row],[RECIVED AMOUNT]]</f>
        <v>1095.1200000000001</v>
      </c>
      <c r="T428" s="55"/>
      <c r="U428" s="3"/>
      <c r="V428" s="41">
        <f>Table432[[#This Row],[BALANCE]]-Table432[[#This Row],[RECIVED AMOUNT2]]</f>
        <v>1095.1200000000001</v>
      </c>
      <c r="W428" s="50"/>
      <c r="X428" s="50"/>
    </row>
    <row r="429" spans="1:24" ht="19.95" customHeight="1">
      <c r="A429" s="68">
        <v>45808</v>
      </c>
      <c r="B429" s="3" t="s">
        <v>657</v>
      </c>
      <c r="C429" s="3" t="s">
        <v>390</v>
      </c>
      <c r="D429" s="3" t="s">
        <v>391</v>
      </c>
      <c r="E429" s="3" t="s">
        <v>260</v>
      </c>
      <c r="F429" s="4" t="s">
        <v>26</v>
      </c>
      <c r="G429" s="22">
        <v>998531</v>
      </c>
      <c r="H429" s="23">
        <v>0.18</v>
      </c>
      <c r="I429" s="9">
        <v>879</v>
      </c>
      <c r="J429" s="9">
        <f t="shared" si="28"/>
        <v>79.11</v>
      </c>
      <c r="K429" s="9">
        <f t="shared" si="27"/>
        <v>79.11</v>
      </c>
      <c r="L429" s="41"/>
      <c r="M429" s="37">
        <f>Table432[[#This Row],[Taxable Amount]]+Table432[[#This Row],[SGST]]+Table432[[#This Row],[CGST]]</f>
        <v>1037.22</v>
      </c>
      <c r="N429" s="71">
        <f>Table432[[#This Row],[Taxable Amount]]*1%</f>
        <v>8.7900000000000009</v>
      </c>
      <c r="O429" s="157"/>
      <c r="P429" s="148"/>
      <c r="Q429" s="59">
        <v>45926</v>
      </c>
      <c r="R429" s="117" t="s">
        <v>613</v>
      </c>
      <c r="S429" s="138">
        <f>Table432[[#This Row],[Invoice Amount]]-Table432[[#This Row],[TDS]]-Table432[[#This Row],[RTN]]-Table432[[#This Row],[RECIVED AMOUNT]]</f>
        <v>1028.43</v>
      </c>
      <c r="T429" s="55"/>
      <c r="U429" s="3"/>
      <c r="V429" s="41">
        <f>Table432[[#This Row],[BALANCE]]-Table432[[#This Row],[RECIVED AMOUNT2]]</f>
        <v>1028.43</v>
      </c>
      <c r="W429" s="50"/>
      <c r="X429" s="50"/>
    </row>
    <row r="430" spans="1:24" ht="19.95" customHeight="1">
      <c r="A430" s="68">
        <v>45808</v>
      </c>
      <c r="B430" s="3" t="s">
        <v>658</v>
      </c>
      <c r="C430" s="3" t="s">
        <v>390</v>
      </c>
      <c r="D430" s="3" t="s">
        <v>391</v>
      </c>
      <c r="E430" s="3" t="s">
        <v>260</v>
      </c>
      <c r="F430" s="4" t="s">
        <v>26</v>
      </c>
      <c r="G430" s="22">
        <v>998531</v>
      </c>
      <c r="H430" s="23">
        <v>0.18</v>
      </c>
      <c r="I430" s="9">
        <v>840.75</v>
      </c>
      <c r="J430" s="9">
        <f t="shared" si="28"/>
        <v>75.667500000000004</v>
      </c>
      <c r="K430" s="9">
        <f t="shared" si="27"/>
        <v>75.667500000000004</v>
      </c>
      <c r="L430" s="41"/>
      <c r="M430" s="37">
        <f>Table432[[#This Row],[Taxable Amount]]+Table432[[#This Row],[SGST]]+Table432[[#This Row],[CGST]]</f>
        <v>992.08500000000004</v>
      </c>
      <c r="N430" s="71">
        <f>Table432[[#This Row],[Taxable Amount]]*1%</f>
        <v>8.4075000000000006</v>
      </c>
      <c r="O430" s="157"/>
      <c r="P430" s="148"/>
      <c r="Q430" s="59">
        <v>45926</v>
      </c>
      <c r="R430" s="117" t="s">
        <v>613</v>
      </c>
      <c r="S430" s="138">
        <f>Table432[[#This Row],[Invoice Amount]]-Table432[[#This Row],[TDS]]-Table432[[#This Row],[RTN]]-Table432[[#This Row],[RECIVED AMOUNT]]</f>
        <v>983.67750000000001</v>
      </c>
      <c r="T430" s="55"/>
      <c r="U430" s="3"/>
      <c r="V430" s="41">
        <f>Table432[[#This Row],[BALANCE]]-Table432[[#This Row],[RECIVED AMOUNT2]]</f>
        <v>983.67750000000001</v>
      </c>
      <c r="W430" s="50"/>
      <c r="X430" s="50"/>
    </row>
    <row r="431" spans="1:24" ht="19.95" customHeight="1">
      <c r="A431" s="68">
        <v>45808</v>
      </c>
      <c r="B431" s="3" t="s">
        <v>659</v>
      </c>
      <c r="C431" s="3" t="s">
        <v>390</v>
      </c>
      <c r="D431" s="3" t="s">
        <v>391</v>
      </c>
      <c r="E431" s="3" t="s">
        <v>260</v>
      </c>
      <c r="F431" s="4" t="s">
        <v>26</v>
      </c>
      <c r="G431" s="22">
        <v>998531</v>
      </c>
      <c r="H431" s="23">
        <v>0.18</v>
      </c>
      <c r="I431" s="9">
        <v>631.5</v>
      </c>
      <c r="J431" s="9">
        <f t="shared" si="28"/>
        <v>56.835000000000001</v>
      </c>
      <c r="K431" s="9">
        <f t="shared" si="27"/>
        <v>56.835000000000001</v>
      </c>
      <c r="L431" s="41"/>
      <c r="M431" s="37">
        <f>Table432[[#This Row],[Taxable Amount]]+Table432[[#This Row],[SGST]]+Table432[[#This Row],[CGST]]</f>
        <v>745.17000000000007</v>
      </c>
      <c r="N431" s="71">
        <f>Table432[[#This Row],[Taxable Amount]]*1%</f>
        <v>6.3150000000000004</v>
      </c>
      <c r="O431" s="157"/>
      <c r="P431" s="148">
        <v>9712</v>
      </c>
      <c r="Q431" s="59">
        <v>45926</v>
      </c>
      <c r="R431" s="117" t="s">
        <v>613</v>
      </c>
      <c r="S431" s="138">
        <f>Table432[[#This Row],[Invoice Amount]]-Table432[[#This Row],[TDS]]-Table432[[#This Row],[RTN]]-Table432[[#This Row],[RECIVED AMOUNT]]</f>
        <v>-8973.1450000000004</v>
      </c>
      <c r="T431" s="55"/>
      <c r="U431" s="3"/>
      <c r="V431" s="41">
        <f>Table432[[#This Row],[BALANCE]]-Table432[[#This Row],[RECIVED AMOUNT2]]</f>
        <v>-8973.1450000000004</v>
      </c>
      <c r="W431" s="50"/>
      <c r="X431" s="50"/>
    </row>
    <row r="432" spans="1:24" ht="19.95" customHeight="1">
      <c r="A432" s="86">
        <v>45808</v>
      </c>
      <c r="B432" s="7" t="s">
        <v>660</v>
      </c>
      <c r="C432" s="3" t="s">
        <v>955</v>
      </c>
      <c r="D432" s="7" t="s">
        <v>205</v>
      </c>
      <c r="E432" s="7" t="s">
        <v>67</v>
      </c>
      <c r="F432" s="5" t="s">
        <v>26</v>
      </c>
      <c r="G432" s="85">
        <v>998531</v>
      </c>
      <c r="H432" s="23">
        <v>0.18</v>
      </c>
      <c r="I432" s="69">
        <v>10000</v>
      </c>
      <c r="J432" s="69">
        <f t="shared" si="28"/>
        <v>900</v>
      </c>
      <c r="K432" s="69">
        <f t="shared" si="27"/>
        <v>900</v>
      </c>
      <c r="L432" s="70"/>
      <c r="M432" s="94">
        <f>Table432[[#This Row],[Taxable Amount]]+Table432[[#This Row],[SGST]]+Table432[[#This Row],[CGST]]</f>
        <v>11800</v>
      </c>
      <c r="N432" s="155">
        <f>Table432[[#This Row],[Taxable Amount]]*1%</f>
        <v>100</v>
      </c>
      <c r="O432" s="158"/>
      <c r="P432" s="156">
        <v>11700</v>
      </c>
      <c r="Q432" s="97">
        <v>45869</v>
      </c>
      <c r="R432" s="118" t="s">
        <v>613</v>
      </c>
      <c r="S432" s="138">
        <f>Table432[[#This Row],[Invoice Amount]]-Table432[[#This Row],[TDS]]-Table432[[#This Row],[RTN]]-Table432[[#This Row],[RECIVED AMOUNT]]</f>
        <v>0</v>
      </c>
      <c r="T432" s="99"/>
      <c r="U432" s="7"/>
      <c r="V432" s="41">
        <f>Table432[[#This Row],[BALANCE]]-Table432[[#This Row],[RECIVED AMOUNT2]]</f>
        <v>0</v>
      </c>
      <c r="W432" s="50"/>
      <c r="X432" s="50"/>
    </row>
    <row r="433" spans="1:24" s="10" customFormat="1" ht="19.95" customHeight="1">
      <c r="A433" s="68">
        <v>45808</v>
      </c>
      <c r="B433" s="3" t="s">
        <v>661</v>
      </c>
      <c r="C433" s="3" t="s">
        <v>290</v>
      </c>
      <c r="D433" s="3" t="s">
        <v>291</v>
      </c>
      <c r="E433" s="3" t="s">
        <v>25</v>
      </c>
      <c r="F433" s="4" t="s">
        <v>26</v>
      </c>
      <c r="G433" s="22">
        <v>998531</v>
      </c>
      <c r="H433" s="23">
        <v>0.18</v>
      </c>
      <c r="I433" s="9">
        <v>3000</v>
      </c>
      <c r="J433" s="9">
        <f t="shared" si="28"/>
        <v>270</v>
      </c>
      <c r="K433" s="9">
        <f t="shared" si="27"/>
        <v>270</v>
      </c>
      <c r="L433" s="41"/>
      <c r="M433" s="37">
        <f>Table432[[#This Row],[Taxable Amount]]+Table432[[#This Row],[SGST]]+Table432[[#This Row],[CGST]]</f>
        <v>3540</v>
      </c>
      <c r="N433" s="71">
        <v>0</v>
      </c>
      <c r="O433" s="157">
        <v>0</v>
      </c>
      <c r="P433" s="148">
        <v>3540</v>
      </c>
      <c r="Q433" s="59">
        <v>45821</v>
      </c>
      <c r="R433" s="117" t="s">
        <v>613</v>
      </c>
      <c r="S433" s="138">
        <f>Table432[[#This Row],[Invoice Amount]]-Table432[[#This Row],[TDS]]-Table432[[#This Row],[RTN]]-Table432[[#This Row],[RECIVED AMOUNT]]</f>
        <v>0</v>
      </c>
      <c r="T433" s="55"/>
      <c r="U433" s="3"/>
      <c r="V433" s="41">
        <f>Table432[[#This Row],[BALANCE]]-Table432[[#This Row],[RECIVED AMOUNT2]]</f>
        <v>0</v>
      </c>
      <c r="W433" s="211"/>
      <c r="X433" s="211"/>
    </row>
    <row r="434" spans="1:24" ht="19.95" customHeight="1">
      <c r="A434" s="68">
        <v>45808</v>
      </c>
      <c r="B434" s="3" t="s">
        <v>662</v>
      </c>
      <c r="C434" s="3" t="s">
        <v>372</v>
      </c>
      <c r="D434" s="3" t="s">
        <v>373</v>
      </c>
      <c r="E434" s="3" t="s">
        <v>374</v>
      </c>
      <c r="F434" s="4" t="s">
        <v>26</v>
      </c>
      <c r="G434" s="22">
        <v>998531</v>
      </c>
      <c r="H434" s="23">
        <v>0.18</v>
      </c>
      <c r="I434" s="9">
        <v>2500</v>
      </c>
      <c r="J434" s="9">
        <f t="shared" si="28"/>
        <v>225</v>
      </c>
      <c r="K434" s="9">
        <f t="shared" si="27"/>
        <v>225</v>
      </c>
      <c r="L434" s="41"/>
      <c r="M434" s="37">
        <f>Table432[[#This Row],[Taxable Amount]]+Table432[[#This Row],[SGST]]+Table432[[#This Row],[CGST]]</f>
        <v>2950</v>
      </c>
      <c r="N434" s="71">
        <v>0</v>
      </c>
      <c r="O434" s="157">
        <v>0</v>
      </c>
      <c r="P434" s="148">
        <v>2950</v>
      </c>
      <c r="Q434" s="59">
        <v>45870</v>
      </c>
      <c r="R434" s="117" t="s">
        <v>613</v>
      </c>
      <c r="S434" s="138">
        <f>Table432[[#This Row],[Invoice Amount]]-Table432[[#This Row],[TDS]]-Table432[[#This Row],[RTN]]-Table432[[#This Row],[RECIVED AMOUNT]]</f>
        <v>0</v>
      </c>
      <c r="T434" s="55"/>
      <c r="U434" s="3"/>
      <c r="V434" s="41">
        <f>Table432[[#This Row],[BALANCE]]-Table432[[#This Row],[RECIVED AMOUNT2]]</f>
        <v>0</v>
      </c>
      <c r="W434" s="50"/>
      <c r="X434" s="50"/>
    </row>
    <row r="435" spans="1:24" s="481" customFormat="1" ht="19.95" customHeight="1">
      <c r="A435" s="493">
        <v>45808</v>
      </c>
      <c r="B435" s="482" t="s">
        <v>663</v>
      </c>
      <c r="C435" s="482" t="s">
        <v>319</v>
      </c>
      <c r="D435" s="482" t="s">
        <v>320</v>
      </c>
      <c r="E435" s="482" t="s">
        <v>59</v>
      </c>
      <c r="F435" s="486" t="s">
        <v>26</v>
      </c>
      <c r="G435" s="494">
        <v>998531</v>
      </c>
      <c r="H435" s="470">
        <v>0.18</v>
      </c>
      <c r="I435" s="487">
        <v>25775</v>
      </c>
      <c r="J435" s="487">
        <f t="shared" si="28"/>
        <v>2319.75</v>
      </c>
      <c r="K435" s="487">
        <f t="shared" si="27"/>
        <v>2319.75</v>
      </c>
      <c r="L435" s="480"/>
      <c r="M435" s="495">
        <f>Table432[[#This Row],[Taxable Amount]]+Table432[[#This Row],[SGST]]+Table432[[#This Row],[CGST]]</f>
        <v>30414.5</v>
      </c>
      <c r="N435" s="496">
        <f>Table432[[#This Row],[Taxable Amount]]*1%</f>
        <v>257.75</v>
      </c>
      <c r="O435" s="489">
        <v>0</v>
      </c>
      <c r="P435" s="497">
        <v>30156</v>
      </c>
      <c r="Q435" s="491">
        <v>45820</v>
      </c>
      <c r="R435" s="492" t="s">
        <v>613</v>
      </c>
      <c r="S435" s="479">
        <f>Table432[[#This Row],[Invoice Amount]]-Table432[[#This Row],[TDS]]-Table432[[#This Row],[RTN]]-Table432[[#This Row],[RECIVED AMOUNT]]</f>
        <v>0.75</v>
      </c>
      <c r="T435" s="509"/>
      <c r="U435" s="491"/>
      <c r="V435" s="480">
        <f>Table432[[#This Row],[BALANCE]]-Table432[[#This Row],[RECIVED AMOUNT2]]</f>
        <v>0.75</v>
      </c>
      <c r="W435" s="499"/>
      <c r="X435" s="499"/>
    </row>
    <row r="436" spans="1:24" s="10" customFormat="1" ht="19.95" customHeight="1">
      <c r="A436" s="78">
        <v>45808</v>
      </c>
      <c r="B436" s="31" t="s">
        <v>664</v>
      </c>
      <c r="C436" s="31" t="s">
        <v>319</v>
      </c>
      <c r="D436" s="31" t="s">
        <v>320</v>
      </c>
      <c r="E436" s="31" t="s">
        <v>85</v>
      </c>
      <c r="F436" s="33" t="s">
        <v>26</v>
      </c>
      <c r="G436" s="34">
        <v>998531</v>
      </c>
      <c r="H436" s="23">
        <v>0.18</v>
      </c>
      <c r="I436" s="42">
        <v>2600</v>
      </c>
      <c r="J436" s="42">
        <f t="shared" si="28"/>
        <v>234</v>
      </c>
      <c r="K436" s="42">
        <f t="shared" si="27"/>
        <v>234</v>
      </c>
      <c r="L436" s="43"/>
      <c r="M436" s="44">
        <f>Table432[[#This Row],[Taxable Amount]]+Table432[[#This Row],[SGST]]+Table432[[#This Row],[CGST]]</f>
        <v>3068</v>
      </c>
      <c r="N436" s="142">
        <f>Table432[[#This Row],[Taxable Amount]]*1%</f>
        <v>26</v>
      </c>
      <c r="O436" s="152"/>
      <c r="P436" s="154"/>
      <c r="Q436" s="101"/>
      <c r="R436" s="115" t="s">
        <v>243</v>
      </c>
      <c r="S436" s="138">
        <f>Table432[[#This Row],[Invoice Amount]]-Table432[[#This Row],[TDS]]-Table432[[#This Row],[RTN]]-Table432[[#This Row],[RECIVED AMOUNT]]</f>
        <v>3042</v>
      </c>
      <c r="T436" s="63"/>
      <c r="U436" s="31"/>
      <c r="V436" s="41">
        <f>Table432[[#This Row],[BALANCE]]-Table432[[#This Row],[RECIVED AMOUNT2]]</f>
        <v>3042</v>
      </c>
      <c r="W436" s="211"/>
      <c r="X436" s="211"/>
    </row>
    <row r="437" spans="1:24" s="325" customFormat="1" ht="19.95" customHeight="1">
      <c r="A437" s="345">
        <v>45808</v>
      </c>
      <c r="B437" s="327" t="s">
        <v>665</v>
      </c>
      <c r="C437" s="327" t="s">
        <v>595</v>
      </c>
      <c r="D437" s="353" t="s">
        <v>596</v>
      </c>
      <c r="E437" s="327" t="s">
        <v>629</v>
      </c>
      <c r="F437" s="332" t="s">
        <v>26</v>
      </c>
      <c r="G437" s="346">
        <v>998531</v>
      </c>
      <c r="H437" s="317">
        <v>0.18</v>
      </c>
      <c r="I437" s="340">
        <v>6400</v>
      </c>
      <c r="J437" s="340">
        <f t="shared" si="28"/>
        <v>576</v>
      </c>
      <c r="K437" s="340">
        <f t="shared" si="27"/>
        <v>576</v>
      </c>
      <c r="L437" s="324"/>
      <c r="M437" s="347">
        <f>Table432[[#This Row],[Taxable Amount]]+Table432[[#This Row],[SGST]]+Table432[[#This Row],[CGST]]</f>
        <v>7552</v>
      </c>
      <c r="N437" s="348">
        <f>Table432[[#This Row],[Taxable Amount]]*1%</f>
        <v>64</v>
      </c>
      <c r="O437" s="349"/>
      <c r="P437" s="354"/>
      <c r="Q437" s="343"/>
      <c r="R437" s="344" t="s">
        <v>613</v>
      </c>
      <c r="S437" s="323">
        <f>Table432[[#This Row],[Invoice Amount]]-Table432[[#This Row],[TDS]]-Table432[[#This Row],[RTN]]-Table432[[#This Row],[RECIVED AMOUNT]]</f>
        <v>7488</v>
      </c>
      <c r="T437" s="351"/>
      <c r="U437" s="327"/>
      <c r="V437" s="324">
        <f>Table432[[#This Row],[BALANCE]]-Table432[[#This Row],[RECIVED AMOUNT2]]</f>
        <v>7488</v>
      </c>
      <c r="W437" s="352"/>
      <c r="X437" s="352"/>
    </row>
    <row r="438" spans="1:24" s="247" customFormat="1" ht="19.95" customHeight="1">
      <c r="A438" s="269">
        <v>45808</v>
      </c>
      <c r="B438" s="234" t="s">
        <v>666</v>
      </c>
      <c r="C438" s="234" t="s">
        <v>42</v>
      </c>
      <c r="D438" s="270" t="s">
        <v>43</v>
      </c>
      <c r="E438" s="234" t="s">
        <v>101</v>
      </c>
      <c r="F438" s="250" t="s">
        <v>26</v>
      </c>
      <c r="G438" s="272">
        <v>998531</v>
      </c>
      <c r="H438" s="237">
        <v>0.18</v>
      </c>
      <c r="I438" s="260">
        <v>3100</v>
      </c>
      <c r="J438" s="260">
        <f t="shared" si="28"/>
        <v>279</v>
      </c>
      <c r="K438" s="260">
        <f t="shared" si="27"/>
        <v>279</v>
      </c>
      <c r="L438" s="246"/>
      <c r="M438" s="273">
        <f>Table432[[#This Row],[Taxable Amount]]+Table432[[#This Row],[SGST]]+Table432[[#This Row],[CGST]]</f>
        <v>3658</v>
      </c>
      <c r="N438" s="274">
        <f>Table432[[#This Row],[Taxable Amount]]*1%</f>
        <v>31</v>
      </c>
      <c r="O438" s="262">
        <v>78</v>
      </c>
      <c r="P438" s="278">
        <v>1080</v>
      </c>
      <c r="Q438" s="264">
        <v>45770</v>
      </c>
      <c r="R438" s="265" t="s">
        <v>613</v>
      </c>
      <c r="S438" s="245">
        <f>Table432[[#This Row],[Invoice Amount]]-Table432[[#This Row],[TDS]]-Table432[[#This Row],[RTN]]-Table432[[#This Row],[RECIVED AMOUNT]]</f>
        <v>2469</v>
      </c>
      <c r="T438" s="299"/>
      <c r="U438" s="264"/>
      <c r="V438" s="246">
        <f>Table432[[#This Row],[BALANCE]]-Table432[[#This Row],[RECIVED AMOUNT2]]</f>
        <v>2469</v>
      </c>
      <c r="W438" s="268"/>
      <c r="X438" s="268"/>
    </row>
    <row r="439" spans="1:24" s="247" customFormat="1" ht="19.95" customHeight="1">
      <c r="A439" s="269">
        <v>45808</v>
      </c>
      <c r="B439" s="234" t="s">
        <v>667</v>
      </c>
      <c r="C439" s="234" t="s">
        <v>42</v>
      </c>
      <c r="D439" s="234" t="s">
        <v>43</v>
      </c>
      <c r="E439" s="234" t="s">
        <v>632</v>
      </c>
      <c r="F439" s="250" t="s">
        <v>26</v>
      </c>
      <c r="G439" s="272">
        <v>998531</v>
      </c>
      <c r="H439" s="237">
        <v>0.18</v>
      </c>
      <c r="I439" s="260">
        <v>7350</v>
      </c>
      <c r="J439" s="260">
        <f t="shared" si="28"/>
        <v>661.5</v>
      </c>
      <c r="K439" s="260">
        <f t="shared" si="27"/>
        <v>661.5</v>
      </c>
      <c r="L439" s="246"/>
      <c r="M439" s="273">
        <f>Table432[[#This Row],[Taxable Amount]]+Table432[[#This Row],[SGST]]+Table432[[#This Row],[CGST]]</f>
        <v>8673</v>
      </c>
      <c r="N439" s="274">
        <f>Table432[[#This Row],[Taxable Amount]]*1%</f>
        <v>73.5</v>
      </c>
      <c r="O439" s="262">
        <v>184</v>
      </c>
      <c r="P439" s="278">
        <v>5096</v>
      </c>
      <c r="Q439" s="264">
        <v>45846</v>
      </c>
      <c r="R439" s="265" t="s">
        <v>613</v>
      </c>
      <c r="S439" s="245">
        <f>Table432[[#This Row],[Invoice Amount]]-Table432[[#This Row],[TDS]]-Table432[[#This Row],[RTN]]-Table432[[#This Row],[RECIVED AMOUNT]]</f>
        <v>3319.5</v>
      </c>
      <c r="T439" s="299"/>
      <c r="U439" s="264"/>
      <c r="V439" s="246">
        <f>Table432[[#This Row],[BALANCE]]-Table432[[#This Row],[RECIVED AMOUNT2]]</f>
        <v>3319.5</v>
      </c>
      <c r="W439" s="268"/>
      <c r="X439" s="268"/>
    </row>
    <row r="440" spans="1:24" ht="19.95" customHeight="1">
      <c r="A440" s="68">
        <v>45808</v>
      </c>
      <c r="B440" s="3" t="s">
        <v>668</v>
      </c>
      <c r="C440" s="21" t="s">
        <v>637</v>
      </c>
      <c r="D440" s="3" t="s">
        <v>638</v>
      </c>
      <c r="E440" s="3" t="s">
        <v>629</v>
      </c>
      <c r="F440" s="4" t="s">
        <v>26</v>
      </c>
      <c r="G440" s="22">
        <v>998531</v>
      </c>
      <c r="H440" s="23">
        <v>0.18</v>
      </c>
      <c r="I440" s="9">
        <v>6200</v>
      </c>
      <c r="J440" s="9">
        <f t="shared" si="28"/>
        <v>558</v>
      </c>
      <c r="K440" s="9">
        <f t="shared" si="27"/>
        <v>558</v>
      </c>
      <c r="L440" s="41"/>
      <c r="M440" s="37">
        <f>Table432[[#This Row],[Taxable Amount]]+Table432[[#This Row],[SGST]]+Table432[[#This Row],[CGST]]</f>
        <v>7316</v>
      </c>
      <c r="N440" s="71">
        <f>Table432[[#This Row],[Taxable Amount]]*1%</f>
        <v>62</v>
      </c>
      <c r="O440" s="157"/>
      <c r="P440" s="148">
        <v>9447</v>
      </c>
      <c r="Q440" s="59">
        <v>45804</v>
      </c>
      <c r="R440" s="117" t="s">
        <v>613</v>
      </c>
      <c r="S440" s="138">
        <f>Table432[[#This Row],[Invoice Amount]]-Table432[[#This Row],[TDS]]-Table432[[#This Row],[RTN]]-Table432[[#This Row],[RECIVED AMOUNT]]</f>
        <v>-2193</v>
      </c>
      <c r="T440" s="55"/>
      <c r="U440" s="3"/>
      <c r="V440" s="41">
        <f>Table432[[#This Row],[BALANCE]]-Table432[[#This Row],[RECIVED AMOUNT2]]</f>
        <v>-2193</v>
      </c>
      <c r="W440" s="50"/>
      <c r="X440" s="50"/>
    </row>
    <row r="441" spans="1:24" ht="19.95" customHeight="1">
      <c r="A441" s="68">
        <v>45808</v>
      </c>
      <c r="B441" s="3" t="s">
        <v>669</v>
      </c>
      <c r="C441" s="21" t="s">
        <v>567</v>
      </c>
      <c r="D441" s="3" t="s">
        <v>568</v>
      </c>
      <c r="E441" s="3" t="s">
        <v>232</v>
      </c>
      <c r="F441" s="4" t="s">
        <v>26</v>
      </c>
      <c r="G441" s="22">
        <v>998531</v>
      </c>
      <c r="H441" s="23">
        <v>0.18</v>
      </c>
      <c r="I441" s="9">
        <v>2000</v>
      </c>
      <c r="J441" s="9">
        <f t="shared" si="28"/>
        <v>180</v>
      </c>
      <c r="K441" s="9">
        <f t="shared" si="27"/>
        <v>180</v>
      </c>
      <c r="L441" s="41"/>
      <c r="M441" s="37">
        <f>Table432[[#This Row],[Taxable Amount]]+Table432[[#This Row],[SGST]]+Table432[[#This Row],[CGST]]</f>
        <v>2360</v>
      </c>
      <c r="N441" s="71"/>
      <c r="O441" s="157"/>
      <c r="P441" s="148">
        <v>2360</v>
      </c>
      <c r="Q441" s="59">
        <v>45843</v>
      </c>
      <c r="R441" s="117" t="s">
        <v>613</v>
      </c>
      <c r="S441" s="138">
        <f>Table432[[#This Row],[Invoice Amount]]-Table432[[#This Row],[TDS]]-Table432[[#This Row],[RTN]]-Table432[[#This Row],[RECIVED AMOUNT]]</f>
        <v>0</v>
      </c>
      <c r="T441" s="55"/>
      <c r="U441" s="3"/>
      <c r="V441" s="41">
        <f>Table432[[#This Row],[BALANCE]]-Table432[[#This Row],[RECIVED AMOUNT2]]</f>
        <v>0</v>
      </c>
      <c r="W441" s="50"/>
      <c r="X441" s="50"/>
    </row>
    <row r="442" spans="1:24" s="247" customFormat="1" ht="19.95" customHeight="1">
      <c r="A442" s="269">
        <v>45808</v>
      </c>
      <c r="B442" s="234" t="s">
        <v>670</v>
      </c>
      <c r="C442" s="234" t="s">
        <v>42</v>
      </c>
      <c r="D442" s="234" t="s">
        <v>43</v>
      </c>
      <c r="E442" s="234" t="s">
        <v>44</v>
      </c>
      <c r="F442" s="250" t="s">
        <v>26</v>
      </c>
      <c r="G442" s="272">
        <v>998531</v>
      </c>
      <c r="H442" s="237">
        <v>0.18</v>
      </c>
      <c r="I442" s="260">
        <v>21896</v>
      </c>
      <c r="J442" s="260">
        <f t="shared" si="28"/>
        <v>1970.64</v>
      </c>
      <c r="K442" s="260">
        <f t="shared" si="27"/>
        <v>1970.64</v>
      </c>
      <c r="L442" s="246"/>
      <c r="M442" s="273">
        <f>Table432[[#This Row],[Taxable Amount]]+Table432[[#This Row],[SGST]]+Table432[[#This Row],[CGST]]</f>
        <v>25837.279999999999</v>
      </c>
      <c r="N442" s="274">
        <f>Table432[[#This Row],[Taxable Amount]]*1%</f>
        <v>218.96</v>
      </c>
      <c r="O442" s="262">
        <v>547</v>
      </c>
      <c r="P442" s="278">
        <v>17549</v>
      </c>
      <c r="Q442" s="264">
        <v>45834</v>
      </c>
      <c r="R442" s="265" t="s">
        <v>613</v>
      </c>
      <c r="S442" s="245">
        <f>Table432[[#This Row],[Invoice Amount]]-Table432[[#This Row],[TDS]]-Table432[[#This Row],[RTN]]-Table432[[#This Row],[RECIVED AMOUNT]]</f>
        <v>7522.32</v>
      </c>
      <c r="T442" s="267">
        <v>7522</v>
      </c>
      <c r="U442" s="284">
        <v>45905</v>
      </c>
      <c r="V442" s="246">
        <f>Table432[[#This Row],[BALANCE]]-Table432[[#This Row],[RECIVED AMOUNT2]]</f>
        <v>0.31999999999970896</v>
      </c>
      <c r="W442" s="268"/>
      <c r="X442" s="268"/>
    </row>
    <row r="443" spans="1:24" s="247" customFormat="1" ht="19.95" customHeight="1">
      <c r="A443" s="269">
        <v>45808</v>
      </c>
      <c r="B443" s="234" t="s">
        <v>671</v>
      </c>
      <c r="C443" s="234" t="s">
        <v>42</v>
      </c>
      <c r="D443" s="234" t="s">
        <v>43</v>
      </c>
      <c r="E443" s="234" t="s">
        <v>163</v>
      </c>
      <c r="F443" s="250" t="s">
        <v>26</v>
      </c>
      <c r="G443" s="272">
        <v>998531</v>
      </c>
      <c r="H443" s="237">
        <v>0.18</v>
      </c>
      <c r="I443" s="260">
        <v>11300</v>
      </c>
      <c r="J443" s="260">
        <f t="shared" si="28"/>
        <v>1017</v>
      </c>
      <c r="K443" s="260">
        <f t="shared" si="27"/>
        <v>1017</v>
      </c>
      <c r="L443" s="246"/>
      <c r="M443" s="273">
        <f>Table432[[#This Row],[Taxable Amount]]+Table432[[#This Row],[SGST]]+Table432[[#This Row],[CGST]]</f>
        <v>13334</v>
      </c>
      <c r="N443" s="274">
        <f>Table432[[#This Row],[Taxable Amount]]*1%</f>
        <v>113</v>
      </c>
      <c r="O443" s="262">
        <v>283</v>
      </c>
      <c r="P443" s="263">
        <v>12226</v>
      </c>
      <c r="Q443" s="264">
        <v>45842</v>
      </c>
      <c r="R443" s="265" t="s">
        <v>613</v>
      </c>
      <c r="S443" s="245">
        <f>Table432[[#This Row],[Invoice Amount]]-Table432[[#This Row],[TDS]]-Table432[[#This Row],[RTN]]-Table432[[#This Row],[RECIVED AMOUNT]]</f>
        <v>712</v>
      </c>
      <c r="T443" s="267"/>
      <c r="U443" s="234"/>
      <c r="V443" s="246">
        <f>Table432[[#This Row],[BALANCE]]-Table432[[#This Row],[RECIVED AMOUNT2]]</f>
        <v>712</v>
      </c>
      <c r="W443" s="268"/>
      <c r="X443" s="268"/>
    </row>
    <row r="444" spans="1:24" s="10" customFormat="1" ht="19.95" customHeight="1">
      <c r="A444" s="86">
        <v>45810</v>
      </c>
      <c r="B444" s="7" t="s">
        <v>672</v>
      </c>
      <c r="C444" s="7" t="s">
        <v>173</v>
      </c>
      <c r="D444" s="7" t="s">
        <v>174</v>
      </c>
      <c r="E444" s="7" t="s">
        <v>62</v>
      </c>
      <c r="F444" s="5" t="s">
        <v>26</v>
      </c>
      <c r="G444" s="85">
        <v>998531</v>
      </c>
      <c r="H444" s="23">
        <v>0.18</v>
      </c>
      <c r="I444" s="69">
        <v>8800</v>
      </c>
      <c r="J444" s="69">
        <f t="shared" si="28"/>
        <v>792</v>
      </c>
      <c r="K444" s="69">
        <f t="shared" si="27"/>
        <v>792</v>
      </c>
      <c r="L444" s="70"/>
      <c r="M444" s="94">
        <f>Table432[[#This Row],[Taxable Amount]]+Table432[[#This Row],[SGST]]+Table432[[#This Row],[CGST]]</f>
        <v>10384</v>
      </c>
      <c r="N444" s="155">
        <v>0</v>
      </c>
      <c r="O444" s="158"/>
      <c r="P444" s="156">
        <v>10384</v>
      </c>
      <c r="Q444" s="97">
        <v>45842</v>
      </c>
      <c r="R444" s="116" t="s">
        <v>413</v>
      </c>
      <c r="S444" s="138">
        <f>Table432[[#This Row],[Invoice Amount]]-Table432[[#This Row],[TDS]]-Table432[[#This Row],[RTN]]-Table432[[#This Row],[RECIVED AMOUNT]]</f>
        <v>0</v>
      </c>
      <c r="T444" s="99"/>
      <c r="U444" s="7"/>
      <c r="V444" s="41">
        <f>Table432[[#This Row],[BALANCE]]-Table432[[#This Row],[RECIVED AMOUNT2]]</f>
        <v>0</v>
      </c>
      <c r="W444" s="211"/>
      <c r="X444" s="211"/>
    </row>
    <row r="445" spans="1:24" s="10" customFormat="1" ht="19.95" customHeight="1">
      <c r="A445" s="86">
        <v>45813</v>
      </c>
      <c r="B445" s="7" t="s">
        <v>673</v>
      </c>
      <c r="C445" s="7" t="s">
        <v>674</v>
      </c>
      <c r="D445" s="7" t="s">
        <v>675</v>
      </c>
      <c r="E445" s="7" t="s">
        <v>676</v>
      </c>
      <c r="F445" s="5" t="s">
        <v>26</v>
      </c>
      <c r="G445" s="85">
        <v>998531</v>
      </c>
      <c r="H445" s="23">
        <v>0.18</v>
      </c>
      <c r="I445" s="69">
        <v>8600</v>
      </c>
      <c r="J445" s="69">
        <f t="shared" si="28"/>
        <v>774</v>
      </c>
      <c r="K445" s="69">
        <f t="shared" si="27"/>
        <v>774</v>
      </c>
      <c r="L445" s="70"/>
      <c r="M445" s="94">
        <f>Table432[[#This Row],[Taxable Amount]]+Table432[[#This Row],[SGST]]+Table432[[#This Row],[CGST]]</f>
        <v>10148</v>
      </c>
      <c r="N445" s="155">
        <f>Table432[[#This Row],[Taxable Amount]]*1%</f>
        <v>86</v>
      </c>
      <c r="O445" s="158"/>
      <c r="P445" s="156">
        <v>10062</v>
      </c>
      <c r="Q445" s="97">
        <v>45915</v>
      </c>
      <c r="R445" s="116" t="s">
        <v>413</v>
      </c>
      <c r="S445" s="138">
        <f>Table432[[#This Row],[Invoice Amount]]-Table432[[#This Row],[TDS]]-Table432[[#This Row],[RTN]]-Table432[[#This Row],[RECIVED AMOUNT]]</f>
        <v>0</v>
      </c>
      <c r="T445" s="99"/>
      <c r="U445" s="7"/>
      <c r="V445" s="41">
        <f>Table432[[#This Row],[BALANCE]]-Table432[[#This Row],[RECIVED AMOUNT2]]</f>
        <v>0</v>
      </c>
      <c r="W445" s="211"/>
      <c r="X445" s="211"/>
    </row>
    <row r="446" spans="1:24" s="10" customFormat="1" ht="19.95" customHeight="1">
      <c r="A446" s="86">
        <v>45813</v>
      </c>
      <c r="B446" s="7" t="s">
        <v>677</v>
      </c>
      <c r="C446" s="7" t="s">
        <v>674</v>
      </c>
      <c r="D446" s="7" t="s">
        <v>675</v>
      </c>
      <c r="E446" s="7" t="s">
        <v>678</v>
      </c>
      <c r="F446" s="5" t="s">
        <v>26</v>
      </c>
      <c r="G446" s="85">
        <v>998531</v>
      </c>
      <c r="H446" s="23">
        <v>0.18</v>
      </c>
      <c r="I446" s="69">
        <v>5600</v>
      </c>
      <c r="J446" s="69">
        <f t="shared" si="28"/>
        <v>504</v>
      </c>
      <c r="K446" s="69">
        <f t="shared" si="27"/>
        <v>504</v>
      </c>
      <c r="L446" s="70"/>
      <c r="M446" s="94">
        <f>Table432[[#This Row],[Taxable Amount]]+Table432[[#This Row],[SGST]]+Table432[[#This Row],[CGST]]</f>
        <v>6608</v>
      </c>
      <c r="N446" s="155">
        <f>Table432[[#This Row],[Taxable Amount]]*1%</f>
        <v>56</v>
      </c>
      <c r="O446" s="158"/>
      <c r="P446" s="156">
        <v>6552</v>
      </c>
      <c r="Q446" s="97">
        <v>45915</v>
      </c>
      <c r="R446" s="116" t="s">
        <v>413</v>
      </c>
      <c r="S446" s="138">
        <f>Table432[[#This Row],[Invoice Amount]]-Table432[[#This Row],[TDS]]-Table432[[#This Row],[RTN]]-Table432[[#This Row],[RECIVED AMOUNT]]</f>
        <v>0</v>
      </c>
      <c r="T446" s="99"/>
      <c r="U446" s="7"/>
      <c r="V446" s="41">
        <f>Table432[[#This Row],[BALANCE]]-Table432[[#This Row],[RECIVED AMOUNT2]]</f>
        <v>0</v>
      </c>
      <c r="W446" s="211"/>
      <c r="X446" s="211"/>
    </row>
    <row r="447" spans="1:24" s="10" customFormat="1" ht="19.95" customHeight="1">
      <c r="A447" s="86">
        <v>45813</v>
      </c>
      <c r="B447" s="7" t="s">
        <v>679</v>
      </c>
      <c r="C447" s="7" t="s">
        <v>674</v>
      </c>
      <c r="D447" s="7" t="s">
        <v>675</v>
      </c>
      <c r="E447" s="7" t="s">
        <v>680</v>
      </c>
      <c r="F447" s="5" t="s">
        <v>26</v>
      </c>
      <c r="G447" s="85">
        <v>998531</v>
      </c>
      <c r="H447" s="23">
        <v>0.18</v>
      </c>
      <c r="I447" s="69">
        <v>5200</v>
      </c>
      <c r="J447" s="69">
        <f t="shared" si="28"/>
        <v>468</v>
      </c>
      <c r="K447" s="69">
        <f t="shared" si="27"/>
        <v>468</v>
      </c>
      <c r="L447" s="70"/>
      <c r="M447" s="94">
        <f>Table432[[#This Row],[Taxable Amount]]+Table432[[#This Row],[SGST]]+Table432[[#This Row],[CGST]]</f>
        <v>6136</v>
      </c>
      <c r="N447" s="155">
        <f>Table432[[#This Row],[Taxable Amount]]*1%</f>
        <v>52</v>
      </c>
      <c r="O447" s="158"/>
      <c r="P447" s="156">
        <v>6084</v>
      </c>
      <c r="Q447" s="97">
        <v>45915</v>
      </c>
      <c r="R447" s="116" t="s">
        <v>413</v>
      </c>
      <c r="S447" s="138">
        <f>Table432[[#This Row],[Invoice Amount]]-Table432[[#This Row],[TDS]]-Table432[[#This Row],[RTN]]-Table432[[#This Row],[RECIVED AMOUNT]]</f>
        <v>0</v>
      </c>
      <c r="T447" s="99"/>
      <c r="U447" s="7"/>
      <c r="V447" s="41">
        <f>Table432[[#This Row],[BALANCE]]-Table432[[#This Row],[RECIVED AMOUNT2]]</f>
        <v>0</v>
      </c>
      <c r="W447" s="211"/>
      <c r="X447" s="211"/>
    </row>
    <row r="448" spans="1:24" s="10" customFormat="1" ht="19.95" customHeight="1">
      <c r="A448" s="86">
        <v>45813</v>
      </c>
      <c r="B448" s="7" t="s">
        <v>681</v>
      </c>
      <c r="C448" s="7" t="s">
        <v>674</v>
      </c>
      <c r="D448" s="84" t="s">
        <v>675</v>
      </c>
      <c r="E448" s="7" t="s">
        <v>634</v>
      </c>
      <c r="F448" s="5" t="s">
        <v>26</v>
      </c>
      <c r="G448" s="85">
        <v>998531</v>
      </c>
      <c r="H448" s="23">
        <v>0.18</v>
      </c>
      <c r="I448" s="69">
        <v>2500</v>
      </c>
      <c r="J448" s="69">
        <f t="shared" si="28"/>
        <v>225</v>
      </c>
      <c r="K448" s="69">
        <f t="shared" si="27"/>
        <v>225</v>
      </c>
      <c r="L448" s="70"/>
      <c r="M448" s="94">
        <f>Table432[[#This Row],[Taxable Amount]]+Table432[[#This Row],[SGST]]+Table432[[#This Row],[CGST]]</f>
        <v>2950</v>
      </c>
      <c r="N448" s="155">
        <f>Table432[[#This Row],[Taxable Amount]]*1%</f>
        <v>25</v>
      </c>
      <c r="O448" s="158"/>
      <c r="P448" s="156">
        <v>2925</v>
      </c>
      <c r="Q448" s="97">
        <v>45915</v>
      </c>
      <c r="R448" s="116" t="s">
        <v>413</v>
      </c>
      <c r="S448" s="138">
        <f>Table432[[#This Row],[Invoice Amount]]-Table432[[#This Row],[TDS]]-Table432[[#This Row],[RTN]]-Table432[[#This Row],[RECIVED AMOUNT]]</f>
        <v>0</v>
      </c>
      <c r="T448" s="99"/>
      <c r="U448" s="7"/>
      <c r="V448" s="41">
        <f>Table432[[#This Row],[BALANCE]]-Table432[[#This Row],[RECIVED AMOUNT2]]</f>
        <v>0</v>
      </c>
      <c r="W448" s="211"/>
      <c r="X448" s="211"/>
    </row>
    <row r="449" spans="1:121" s="325" customFormat="1" ht="19.95" customHeight="1">
      <c r="A449" s="345">
        <v>45813</v>
      </c>
      <c r="B449" s="327" t="s">
        <v>682</v>
      </c>
      <c r="C449" s="327" t="s">
        <v>337</v>
      </c>
      <c r="D449" s="327" t="s">
        <v>338</v>
      </c>
      <c r="E449" s="327" t="s">
        <v>339</v>
      </c>
      <c r="F449" s="332" t="s">
        <v>37</v>
      </c>
      <c r="G449" s="346">
        <v>998531</v>
      </c>
      <c r="H449" s="317">
        <v>0.18</v>
      </c>
      <c r="I449" s="340">
        <v>17556</v>
      </c>
      <c r="J449" s="340">
        <f t="shared" si="28"/>
        <v>1580.04</v>
      </c>
      <c r="K449" s="340">
        <f t="shared" si="27"/>
        <v>1580.04</v>
      </c>
      <c r="L449" s="324"/>
      <c r="M449" s="347">
        <f>Table432[[#This Row],[Taxable Amount]]+Table432[[#This Row],[SGST]]+Table432[[#This Row],[CGST]]</f>
        <v>20716.080000000002</v>
      </c>
      <c r="N449" s="348">
        <v>0</v>
      </c>
      <c r="O449" s="349">
        <v>0</v>
      </c>
      <c r="P449" s="343"/>
      <c r="Q449" s="343"/>
      <c r="R449" s="350" t="s">
        <v>413</v>
      </c>
      <c r="S449" s="323">
        <f>Table432[[#This Row],[Invoice Amount]]-Table432[[#This Row],[TDS]]-Table432[[#This Row],[RTN]]-Table432[[#This Row],[RECIVED AMOUNT]]</f>
        <v>20716.080000000002</v>
      </c>
      <c r="T449" s="351"/>
      <c r="U449" s="327"/>
      <c r="V449" s="324">
        <f>Table432[[#This Row],[BALANCE]]-Table432[[#This Row],[RECIVED AMOUNT2]]</f>
        <v>20716.080000000002</v>
      </c>
      <c r="W449" s="352"/>
      <c r="X449" s="352"/>
    </row>
    <row r="450" spans="1:121" ht="19.95" customHeight="1">
      <c r="A450" s="86">
        <v>45813</v>
      </c>
      <c r="B450" s="7" t="s">
        <v>683</v>
      </c>
      <c r="C450" s="7" t="s">
        <v>674</v>
      </c>
      <c r="D450" s="7" t="s">
        <v>675</v>
      </c>
      <c r="E450" s="7" t="s">
        <v>684</v>
      </c>
      <c r="F450" s="5" t="s">
        <v>26</v>
      </c>
      <c r="G450" s="85">
        <v>998531</v>
      </c>
      <c r="H450" s="23">
        <v>0.18</v>
      </c>
      <c r="I450" s="69">
        <v>1800</v>
      </c>
      <c r="J450" s="69">
        <f t="shared" si="28"/>
        <v>162</v>
      </c>
      <c r="K450" s="69">
        <f t="shared" si="27"/>
        <v>162</v>
      </c>
      <c r="L450" s="70"/>
      <c r="M450" s="94">
        <f>Table432[[#This Row],[Taxable Amount]]+Table432[[#This Row],[SGST]]+Table432[[#This Row],[CGST]]</f>
        <v>2124</v>
      </c>
      <c r="N450" s="155">
        <f>Table432[[#This Row],[Taxable Amount]]*1%</f>
        <v>18</v>
      </c>
      <c r="O450" s="158"/>
      <c r="P450" s="102">
        <v>2106</v>
      </c>
      <c r="Q450" s="97">
        <v>45915</v>
      </c>
      <c r="R450" s="116" t="s">
        <v>413</v>
      </c>
      <c r="S450" s="138">
        <f>Table432[[#This Row],[Invoice Amount]]-Table432[[#This Row],[TDS]]-Table432[[#This Row],[RTN]]-Table432[[#This Row],[RECIVED AMOUNT]]</f>
        <v>0</v>
      </c>
      <c r="T450" s="99"/>
      <c r="U450" s="7"/>
      <c r="V450" s="41">
        <f>Table432[[#This Row],[BALANCE]]-Table432[[#This Row],[RECIVED AMOUNT2]]</f>
        <v>0</v>
      </c>
      <c r="W450" s="50"/>
      <c r="X450" s="50"/>
    </row>
    <row r="451" spans="1:121" ht="19.95" customHeight="1">
      <c r="A451" s="86">
        <v>45829</v>
      </c>
      <c r="B451" s="7" t="s">
        <v>685</v>
      </c>
      <c r="C451" s="7" t="s">
        <v>258</v>
      </c>
      <c r="D451" s="7" t="s">
        <v>259</v>
      </c>
      <c r="E451" s="7" t="s">
        <v>260</v>
      </c>
      <c r="F451" s="5" t="s">
        <v>26</v>
      </c>
      <c r="G451" s="85">
        <v>998531</v>
      </c>
      <c r="H451" s="23">
        <v>0.18</v>
      </c>
      <c r="I451" s="69">
        <v>7000</v>
      </c>
      <c r="J451" s="69">
        <f t="shared" si="28"/>
        <v>630</v>
      </c>
      <c r="K451" s="69">
        <f t="shared" ref="K451:K514" si="29">I451*9/100</f>
        <v>630</v>
      </c>
      <c r="L451" s="70"/>
      <c r="M451" s="94">
        <f>Table432[[#This Row],[Taxable Amount]]+Table432[[#This Row],[SGST]]+Table432[[#This Row],[CGST]]</f>
        <v>8260</v>
      </c>
      <c r="N451" s="155">
        <f>Table432[[#This Row],[Taxable Amount]]*1%</f>
        <v>70</v>
      </c>
      <c r="O451" s="157">
        <v>0</v>
      </c>
      <c r="P451" s="102"/>
      <c r="Q451" s="59">
        <v>46036</v>
      </c>
      <c r="R451" s="116" t="s">
        <v>413</v>
      </c>
      <c r="S451" s="138">
        <f>Table432[[#This Row],[Invoice Amount]]-Table432[[#This Row],[TDS]]-Table432[[#This Row],[RTN]]-Table432[[#This Row],[RECIVED AMOUNT]]</f>
        <v>8190</v>
      </c>
      <c r="T451" s="99"/>
      <c r="U451" s="7"/>
      <c r="V451" s="41">
        <f>Table432[[#This Row],[BALANCE]]-Table432[[#This Row],[RECIVED AMOUNT2]]</f>
        <v>8190</v>
      </c>
      <c r="W451" s="50"/>
      <c r="X451" s="50"/>
    </row>
    <row r="452" spans="1:121" s="10" customFormat="1" ht="19.95" customHeight="1">
      <c r="A452" s="78">
        <v>45832</v>
      </c>
      <c r="B452" s="31" t="s">
        <v>686</v>
      </c>
      <c r="C452" s="31" t="s">
        <v>960</v>
      </c>
      <c r="D452" s="31"/>
      <c r="E452" s="31" t="s">
        <v>260</v>
      </c>
      <c r="F452" s="33" t="s">
        <v>26</v>
      </c>
      <c r="G452" s="34">
        <v>998531</v>
      </c>
      <c r="H452" s="23">
        <v>0.18</v>
      </c>
      <c r="I452" s="42">
        <v>46000</v>
      </c>
      <c r="J452" s="42">
        <f t="shared" si="28"/>
        <v>4140</v>
      </c>
      <c r="K452" s="42">
        <f t="shared" si="29"/>
        <v>4140</v>
      </c>
      <c r="L452" s="43"/>
      <c r="M452" s="44">
        <f>Table432[[#This Row],[Taxable Amount]]+Table432[[#This Row],[SGST]]+Table432[[#This Row],[CGST]]</f>
        <v>54280</v>
      </c>
      <c r="N452" s="142">
        <f>Table432[[#This Row],[Taxable Amount]]*1%</f>
        <v>460</v>
      </c>
      <c r="O452" s="152">
        <v>0</v>
      </c>
      <c r="P452" s="154">
        <v>53820</v>
      </c>
      <c r="Q452" s="73">
        <v>45833</v>
      </c>
      <c r="R452" s="143"/>
      <c r="S452" s="138">
        <f>Table432[[#This Row],[Invoice Amount]]-Table432[[#This Row],[TDS]]-Table432[[#This Row],[RTN]]-Table432[[#This Row],[RECIVED AMOUNT]]</f>
        <v>0</v>
      </c>
      <c r="T452" s="63"/>
      <c r="U452" s="31"/>
      <c r="V452" s="41">
        <f>Table432[[#This Row],[BALANCE]]-Table432[[#This Row],[RECIVED AMOUNT2]]</f>
        <v>0</v>
      </c>
      <c r="W452" s="211"/>
      <c r="X452" s="211"/>
    </row>
    <row r="453" spans="1:121" s="481" customFormat="1" ht="19.95" customHeight="1">
      <c r="A453" s="493">
        <v>45832</v>
      </c>
      <c r="B453" s="482" t="s">
        <v>687</v>
      </c>
      <c r="C453" s="482" t="s">
        <v>319</v>
      </c>
      <c r="D453" s="482" t="s">
        <v>320</v>
      </c>
      <c r="E453" s="482" t="s">
        <v>85</v>
      </c>
      <c r="F453" s="486" t="s">
        <v>26</v>
      </c>
      <c r="G453" s="494">
        <v>998531</v>
      </c>
      <c r="H453" s="470">
        <v>0.18</v>
      </c>
      <c r="I453" s="487">
        <v>9300</v>
      </c>
      <c r="J453" s="487">
        <f t="shared" si="28"/>
        <v>837</v>
      </c>
      <c r="K453" s="487">
        <f t="shared" si="29"/>
        <v>837</v>
      </c>
      <c r="L453" s="480"/>
      <c r="M453" s="495">
        <f>Table432[[#This Row],[Taxable Amount]]+Table432[[#This Row],[SGST]]+Table432[[#This Row],[CGST]]</f>
        <v>10974</v>
      </c>
      <c r="N453" s="496">
        <f>Table432[[#This Row],[Taxable Amount]]*1%</f>
        <v>93</v>
      </c>
      <c r="O453" s="489"/>
      <c r="P453" s="490">
        <v>10881</v>
      </c>
      <c r="Q453" s="491">
        <v>45881</v>
      </c>
      <c r="R453" s="510" t="s">
        <v>413</v>
      </c>
      <c r="S453" s="479">
        <f>Table432[[#This Row],[Invoice Amount]]-Table432[[#This Row],[TDS]]-Table432[[#This Row],[RTN]]-Table432[[#This Row],[RECIVED AMOUNT]]</f>
        <v>0</v>
      </c>
      <c r="T453" s="498"/>
      <c r="U453" s="482"/>
      <c r="V453" s="480">
        <f>Table432[[#This Row],[BALANCE]]-Table432[[#This Row],[RECIVED AMOUNT2]]</f>
        <v>0</v>
      </c>
      <c r="W453" s="499"/>
      <c r="X453" s="499"/>
    </row>
    <row r="454" spans="1:121" s="481" customFormat="1" ht="19.95" customHeight="1">
      <c r="A454" s="493">
        <v>45832</v>
      </c>
      <c r="B454" s="482" t="s">
        <v>688</v>
      </c>
      <c r="C454" s="482" t="s">
        <v>319</v>
      </c>
      <c r="D454" s="511" t="s">
        <v>320</v>
      </c>
      <c r="E454" s="482" t="s">
        <v>85</v>
      </c>
      <c r="F454" s="486" t="s">
        <v>26</v>
      </c>
      <c r="G454" s="494">
        <v>998531</v>
      </c>
      <c r="H454" s="470">
        <v>0.18</v>
      </c>
      <c r="I454" s="487">
        <v>24800</v>
      </c>
      <c r="J454" s="487">
        <f t="shared" si="28"/>
        <v>2232</v>
      </c>
      <c r="K454" s="487">
        <f t="shared" si="29"/>
        <v>2232</v>
      </c>
      <c r="L454" s="480"/>
      <c r="M454" s="495">
        <f>Table432[[#This Row],[Taxable Amount]]+Table432[[#This Row],[SGST]]+Table432[[#This Row],[CGST]]</f>
        <v>29264</v>
      </c>
      <c r="N454" s="496">
        <f>Table432[[#This Row],[Taxable Amount]]*1%</f>
        <v>248</v>
      </c>
      <c r="O454" s="489"/>
      <c r="P454" s="490">
        <v>29016</v>
      </c>
      <c r="Q454" s="491">
        <v>45881</v>
      </c>
      <c r="R454" s="510" t="s">
        <v>413</v>
      </c>
      <c r="S454" s="479">
        <f>Table432[[#This Row],[Invoice Amount]]-Table432[[#This Row],[TDS]]-Table432[[#This Row],[RTN]]-Table432[[#This Row],[RECIVED AMOUNT]]</f>
        <v>0</v>
      </c>
      <c r="T454" s="498"/>
      <c r="U454" s="482"/>
      <c r="V454" s="480">
        <f>Table432[[#This Row],[BALANCE]]-Table432[[#This Row],[RECIVED AMOUNT2]]</f>
        <v>0</v>
      </c>
      <c r="W454" s="499"/>
      <c r="X454" s="499"/>
    </row>
    <row r="455" spans="1:121" s="10" customFormat="1" ht="19.95" customHeight="1">
      <c r="A455" s="86">
        <v>45838</v>
      </c>
      <c r="B455" s="7" t="s">
        <v>689</v>
      </c>
      <c r="C455" s="7" t="s">
        <v>637</v>
      </c>
      <c r="D455" s="84" t="s">
        <v>638</v>
      </c>
      <c r="E455" s="7" t="s">
        <v>629</v>
      </c>
      <c r="F455" s="5" t="s">
        <v>26</v>
      </c>
      <c r="G455" s="85">
        <v>998531</v>
      </c>
      <c r="H455" s="23">
        <v>0.18</v>
      </c>
      <c r="I455" s="69">
        <v>12400</v>
      </c>
      <c r="J455" s="69">
        <f t="shared" si="28"/>
        <v>1116</v>
      </c>
      <c r="K455" s="69">
        <f t="shared" si="29"/>
        <v>1116</v>
      </c>
      <c r="L455" s="70"/>
      <c r="M455" s="94">
        <f>Table432[[#This Row],[Taxable Amount]]+Table432[[#This Row],[SGST]]+Table432[[#This Row],[CGST]]</f>
        <v>14632</v>
      </c>
      <c r="N455" s="155"/>
      <c r="O455" s="159">
        <v>310</v>
      </c>
      <c r="P455" s="281">
        <v>14541</v>
      </c>
      <c r="Q455" s="97">
        <v>45766</v>
      </c>
      <c r="R455" s="116" t="s">
        <v>413</v>
      </c>
      <c r="S455" s="138">
        <f>Table432[[#This Row],[Invoice Amount]]-Table432[[#This Row],[TDS]]-Table432[[#This Row],[RTN]]-Table432[[#This Row],[RECIVED AMOUNT]]</f>
        <v>-219</v>
      </c>
      <c r="T455" s="99"/>
      <c r="U455" s="109"/>
      <c r="V455" s="41">
        <f>Table432[[#This Row],[BALANCE]]-Table432[[#This Row],[RECIVED AMOUNT2]]</f>
        <v>-219</v>
      </c>
      <c r="W455" s="211"/>
      <c r="X455" s="211"/>
    </row>
    <row r="456" spans="1:121" s="247" customFormat="1" ht="19.95" customHeight="1">
      <c r="A456" s="269">
        <v>45838</v>
      </c>
      <c r="B456" s="234" t="s">
        <v>690</v>
      </c>
      <c r="C456" s="234" t="s">
        <v>42</v>
      </c>
      <c r="D456" s="234" t="s">
        <v>43</v>
      </c>
      <c r="E456" s="234" t="s">
        <v>632</v>
      </c>
      <c r="F456" s="250" t="s">
        <v>26</v>
      </c>
      <c r="G456" s="272">
        <v>998531</v>
      </c>
      <c r="H456" s="237">
        <v>0.18</v>
      </c>
      <c r="I456" s="260">
        <v>13300</v>
      </c>
      <c r="J456" s="260">
        <f t="shared" si="28"/>
        <v>1197</v>
      </c>
      <c r="K456" s="260">
        <f t="shared" si="29"/>
        <v>1197</v>
      </c>
      <c r="L456" s="246"/>
      <c r="M456" s="273">
        <f>Table432[[#This Row],[Taxable Amount]]+Table432[[#This Row],[SGST]]+Table432[[#This Row],[CGST]]</f>
        <v>15694</v>
      </c>
      <c r="N456" s="274">
        <f t="shared" ref="N456:N467" si="30">I456*1%</f>
        <v>133</v>
      </c>
      <c r="O456" s="262"/>
      <c r="P456" s="298">
        <v>21470</v>
      </c>
      <c r="Q456" s="264">
        <v>45854</v>
      </c>
      <c r="R456" s="265" t="s">
        <v>413</v>
      </c>
      <c r="S456" s="245">
        <f>Table432[[#This Row],[Invoice Amount]]-Table432[[#This Row],[TDS]]-Table432[[#This Row],[RTN]]-Table432[[#This Row],[RECIVED AMOUNT]]</f>
        <v>-5909</v>
      </c>
      <c r="T456" s="267"/>
      <c r="U456" s="234"/>
      <c r="V456" s="246">
        <f>Table432[[#This Row],[BALANCE]]-Table432[[#This Row],[RECIVED AMOUNT2]]</f>
        <v>-5909</v>
      </c>
      <c r="W456" s="268"/>
      <c r="X456" s="268"/>
    </row>
    <row r="457" spans="1:121" s="247" customFormat="1" ht="19.95" customHeight="1">
      <c r="A457" s="269">
        <v>45838</v>
      </c>
      <c r="B457" s="234" t="s">
        <v>691</v>
      </c>
      <c r="C457" s="270" t="s">
        <v>42</v>
      </c>
      <c r="D457" s="234" t="s">
        <v>43</v>
      </c>
      <c r="E457" s="234" t="s">
        <v>101</v>
      </c>
      <c r="F457" s="250" t="s">
        <v>26</v>
      </c>
      <c r="G457" s="272">
        <v>998531</v>
      </c>
      <c r="H457" s="237">
        <v>0.18</v>
      </c>
      <c r="I457" s="260">
        <v>5050</v>
      </c>
      <c r="J457" s="260">
        <f t="shared" si="28"/>
        <v>454.5</v>
      </c>
      <c r="K457" s="260">
        <f t="shared" si="29"/>
        <v>454.5</v>
      </c>
      <c r="L457" s="246"/>
      <c r="M457" s="273">
        <f>Table432[[#This Row],[Taxable Amount]]+Table432[[#This Row],[SGST]]+Table432[[#This Row],[CGST]]</f>
        <v>5959</v>
      </c>
      <c r="N457" s="274">
        <f t="shared" si="30"/>
        <v>50.5</v>
      </c>
      <c r="O457" s="262"/>
      <c r="P457" s="298"/>
      <c r="Q457" s="264">
        <v>45854</v>
      </c>
      <c r="R457" s="265" t="s">
        <v>413</v>
      </c>
      <c r="S457" s="245">
        <f>Table432[[#This Row],[Invoice Amount]]-Table432[[#This Row],[TDS]]-Table432[[#This Row],[RTN]]-Table432[[#This Row],[RECIVED AMOUNT]]</f>
        <v>5908.5</v>
      </c>
      <c r="T457" s="267"/>
      <c r="U457" s="234"/>
      <c r="V457" s="246">
        <f>Table432[[#This Row],[BALANCE]]-Table432[[#This Row],[RECIVED AMOUNT2]]</f>
        <v>5908.5</v>
      </c>
      <c r="W457" s="268"/>
      <c r="X457" s="268"/>
    </row>
    <row r="458" spans="1:121" s="247" customFormat="1" ht="19.95" customHeight="1">
      <c r="A458" s="269">
        <v>45838</v>
      </c>
      <c r="B458" s="234" t="s">
        <v>692</v>
      </c>
      <c r="C458" s="270" t="s">
        <v>42</v>
      </c>
      <c r="D458" s="234" t="s">
        <v>43</v>
      </c>
      <c r="E458" s="234" t="s">
        <v>44</v>
      </c>
      <c r="F458" s="250" t="s">
        <v>26</v>
      </c>
      <c r="G458" s="272">
        <v>998531</v>
      </c>
      <c r="H458" s="237">
        <v>0.18</v>
      </c>
      <c r="I458" s="260">
        <v>14200</v>
      </c>
      <c r="J458" s="260">
        <f t="shared" si="28"/>
        <v>1278</v>
      </c>
      <c r="K458" s="260">
        <f t="shared" si="29"/>
        <v>1278</v>
      </c>
      <c r="L458" s="246"/>
      <c r="M458" s="273">
        <f>Table432[[#This Row],[Taxable Amount]]+Table432[[#This Row],[SGST]]+Table432[[#This Row],[CGST]]</f>
        <v>16756</v>
      </c>
      <c r="N458" s="274">
        <f t="shared" si="30"/>
        <v>142</v>
      </c>
      <c r="O458" s="262">
        <v>355</v>
      </c>
      <c r="P458" s="263">
        <v>16259</v>
      </c>
      <c r="Q458" s="264">
        <v>45860</v>
      </c>
      <c r="R458" s="265" t="s">
        <v>413</v>
      </c>
      <c r="S458" s="245">
        <f>Table432[[#This Row],[Invoice Amount]]-Table432[[#This Row],[TDS]]-Table432[[#This Row],[RTN]]-Table432[[#This Row],[RECIVED AMOUNT]]</f>
        <v>0</v>
      </c>
      <c r="T458" s="267"/>
      <c r="U458" s="234"/>
      <c r="V458" s="246">
        <f>Table432[[#This Row],[BALANCE]]-Table432[[#This Row],[RECIVED AMOUNT2]]</f>
        <v>0</v>
      </c>
      <c r="W458" s="268"/>
      <c r="X458" s="268"/>
    </row>
    <row r="459" spans="1:121" s="247" customFormat="1" ht="19.95" customHeight="1">
      <c r="A459" s="269">
        <v>45838</v>
      </c>
      <c r="B459" s="234" t="s">
        <v>693</v>
      </c>
      <c r="C459" s="270" t="s">
        <v>42</v>
      </c>
      <c r="D459" s="234" t="s">
        <v>43</v>
      </c>
      <c r="E459" s="271" t="s">
        <v>163</v>
      </c>
      <c r="F459" s="250" t="s">
        <v>26</v>
      </c>
      <c r="G459" s="272">
        <v>998531</v>
      </c>
      <c r="H459" s="237">
        <v>0.18</v>
      </c>
      <c r="I459" s="275">
        <v>16800</v>
      </c>
      <c r="J459" s="275">
        <f t="shared" si="28"/>
        <v>1512</v>
      </c>
      <c r="K459" s="275">
        <f t="shared" si="29"/>
        <v>1512</v>
      </c>
      <c r="L459" s="276"/>
      <c r="M459" s="273">
        <f>Table432[[#This Row],[Taxable Amount]]+Table432[[#This Row],[SGST]]+Table432[[#This Row],[CGST]]</f>
        <v>19824</v>
      </c>
      <c r="N459" s="274">
        <f t="shared" si="30"/>
        <v>168</v>
      </c>
      <c r="O459" s="277">
        <v>420</v>
      </c>
      <c r="P459" s="261">
        <v>19236</v>
      </c>
      <c r="Q459" s="259">
        <v>45857</v>
      </c>
      <c r="R459" s="265" t="s">
        <v>413</v>
      </c>
      <c r="S459" s="245">
        <f>Table432[[#This Row],[Invoice Amount]]-Table432[[#This Row],[TDS]]-Table432[[#This Row],[RTN]]-Table432[[#This Row],[RECIVED AMOUNT]]</f>
        <v>0</v>
      </c>
      <c r="T459" s="276"/>
      <c r="U459" s="234"/>
      <c r="V459" s="246">
        <f>Table432[[#This Row],[BALANCE]]-Table432[[#This Row],[RECIVED AMOUNT2]]</f>
        <v>0</v>
      </c>
      <c r="W459" s="268"/>
      <c r="X459" s="268"/>
    </row>
    <row r="460" spans="1:121" s="11" customFormat="1" ht="19.95" customHeight="1">
      <c r="A460" s="86">
        <v>45838</v>
      </c>
      <c r="B460" s="7" t="s">
        <v>694</v>
      </c>
      <c r="C460" s="21" t="s">
        <v>116</v>
      </c>
      <c r="D460" s="7" t="s">
        <v>117</v>
      </c>
      <c r="E460" s="7" t="s">
        <v>59</v>
      </c>
      <c r="F460" s="5" t="s">
        <v>26</v>
      </c>
      <c r="G460" s="85">
        <v>998531</v>
      </c>
      <c r="H460" s="23">
        <v>0.18</v>
      </c>
      <c r="I460" s="95">
        <v>17300</v>
      </c>
      <c r="J460" s="95">
        <f t="shared" si="28"/>
        <v>1557</v>
      </c>
      <c r="K460" s="95">
        <f t="shared" si="29"/>
        <v>1557</v>
      </c>
      <c r="L460" s="7"/>
      <c r="M460" s="94">
        <f>Table432[[#This Row],[Taxable Amount]]+Table432[[#This Row],[SGST]]+Table432[[#This Row],[CGST]]</f>
        <v>20414</v>
      </c>
      <c r="N460" s="155">
        <f t="shared" si="30"/>
        <v>173</v>
      </c>
      <c r="O460" s="157">
        <v>0</v>
      </c>
      <c r="P460" s="148">
        <v>20241</v>
      </c>
      <c r="Q460" s="92">
        <v>45863</v>
      </c>
      <c r="R460" s="118" t="s">
        <v>413</v>
      </c>
      <c r="S460" s="138">
        <f>Table432[[#This Row],[Invoice Amount]]-Table432[[#This Row],[TDS]]-Table432[[#This Row],[RTN]]-Table432[[#This Row],[RECIVED AMOUNT]]</f>
        <v>0</v>
      </c>
      <c r="T460" s="99"/>
      <c r="U460" s="7"/>
      <c r="V460" s="41">
        <f>Table432[[#This Row],[BALANCE]]-Table432[[#This Row],[RECIVED AMOUNT2]]</f>
        <v>0</v>
      </c>
      <c r="W460" s="211"/>
      <c r="X460" s="2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</row>
    <row r="461" spans="1:121" s="11" customFormat="1" ht="19.95" customHeight="1">
      <c r="A461" s="86">
        <v>45838</v>
      </c>
      <c r="B461" s="7" t="s">
        <v>695</v>
      </c>
      <c r="C461" s="7" t="s">
        <v>390</v>
      </c>
      <c r="D461" s="7" t="s">
        <v>391</v>
      </c>
      <c r="E461" s="7" t="s">
        <v>260</v>
      </c>
      <c r="F461" s="5" t="s">
        <v>26</v>
      </c>
      <c r="G461" s="85">
        <v>998531</v>
      </c>
      <c r="H461" s="23">
        <v>0.18</v>
      </c>
      <c r="I461" s="95">
        <v>1089</v>
      </c>
      <c r="J461" s="95">
        <f t="shared" si="28"/>
        <v>98.01</v>
      </c>
      <c r="K461" s="95">
        <f t="shared" si="29"/>
        <v>98.01</v>
      </c>
      <c r="L461" s="7"/>
      <c r="M461" s="94">
        <f>Table432[[#This Row],[Taxable Amount]]+Table432[[#This Row],[SGST]]+Table432[[#This Row],[CGST]]</f>
        <v>1285.02</v>
      </c>
      <c r="N461" s="155">
        <f t="shared" si="30"/>
        <v>10.89</v>
      </c>
      <c r="O461" s="182"/>
      <c r="P461" s="110"/>
      <c r="Q461" s="59">
        <v>45938</v>
      </c>
      <c r="R461" s="116" t="s">
        <v>413</v>
      </c>
      <c r="S461" s="138">
        <f>Table432[[#This Row],[Invoice Amount]]-Table432[[#This Row],[TDS]]-Table432[[#This Row],[RTN]]-Table432[[#This Row],[RECIVED AMOUNT]]</f>
        <v>1274.1299999999999</v>
      </c>
      <c r="T461" s="99"/>
      <c r="U461" s="7"/>
      <c r="V461" s="41">
        <f>Table432[[#This Row],[BALANCE]]-Table432[[#This Row],[RECIVED AMOUNT2]]</f>
        <v>1274.1299999999999</v>
      </c>
      <c r="W461" s="211"/>
      <c r="X461" s="2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</row>
    <row r="462" spans="1:121" s="11" customFormat="1" ht="19.95" customHeight="1">
      <c r="A462" s="86">
        <v>45838</v>
      </c>
      <c r="B462" s="7" t="s">
        <v>696</v>
      </c>
      <c r="C462" s="7" t="s">
        <v>390</v>
      </c>
      <c r="D462" s="7" t="s">
        <v>391</v>
      </c>
      <c r="E462" s="7" t="s">
        <v>260</v>
      </c>
      <c r="F462" s="5" t="s">
        <v>26</v>
      </c>
      <c r="G462" s="85">
        <v>998531</v>
      </c>
      <c r="H462" s="23">
        <v>0.18</v>
      </c>
      <c r="I462" s="95">
        <v>1308.75</v>
      </c>
      <c r="J462" s="95">
        <f t="shared" si="28"/>
        <v>117.78749999999999</v>
      </c>
      <c r="K462" s="95">
        <f t="shared" si="29"/>
        <v>117.78749999999999</v>
      </c>
      <c r="L462" s="7"/>
      <c r="M462" s="94">
        <f>Table432[[#This Row],[Taxable Amount]]+Table432[[#This Row],[SGST]]+Table432[[#This Row],[CGST]]</f>
        <v>1544.3249999999998</v>
      </c>
      <c r="N462" s="155">
        <f t="shared" si="30"/>
        <v>13.0875</v>
      </c>
      <c r="O462" s="182"/>
      <c r="P462" s="110"/>
      <c r="Q462" s="59">
        <v>45938</v>
      </c>
      <c r="R462" s="116" t="s">
        <v>413</v>
      </c>
      <c r="S462" s="138">
        <f>Table432[[#This Row],[Invoice Amount]]-Table432[[#This Row],[TDS]]-Table432[[#This Row],[RTN]]-Table432[[#This Row],[RECIVED AMOUNT]]</f>
        <v>1531.2374999999997</v>
      </c>
      <c r="T462" s="99"/>
      <c r="U462" s="7"/>
      <c r="V462" s="41">
        <f>Table432[[#This Row],[BALANCE]]-Table432[[#This Row],[RECIVED AMOUNT2]]</f>
        <v>1531.2374999999997</v>
      </c>
      <c r="W462" s="211"/>
      <c r="X462" s="2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</row>
    <row r="463" spans="1:121" s="11" customFormat="1" ht="19.95" customHeight="1">
      <c r="A463" s="86">
        <v>45838</v>
      </c>
      <c r="B463" s="7" t="s">
        <v>697</v>
      </c>
      <c r="C463" s="7" t="s">
        <v>390</v>
      </c>
      <c r="D463" s="7" t="s">
        <v>391</v>
      </c>
      <c r="E463" s="7" t="s">
        <v>260</v>
      </c>
      <c r="F463" s="5" t="s">
        <v>26</v>
      </c>
      <c r="G463" s="85">
        <v>998531</v>
      </c>
      <c r="H463" s="23">
        <v>0.18</v>
      </c>
      <c r="I463" s="95">
        <v>1815</v>
      </c>
      <c r="J463" s="95">
        <f t="shared" si="28"/>
        <v>163.35</v>
      </c>
      <c r="K463" s="95">
        <f t="shared" si="29"/>
        <v>163.35</v>
      </c>
      <c r="L463" s="7"/>
      <c r="M463" s="94">
        <f>Table432[[#This Row],[Taxable Amount]]+Table432[[#This Row],[SGST]]+Table432[[#This Row],[CGST]]</f>
        <v>2141.6999999999998</v>
      </c>
      <c r="N463" s="155">
        <f t="shared" si="30"/>
        <v>18.150000000000002</v>
      </c>
      <c r="O463" s="182"/>
      <c r="P463" s="110"/>
      <c r="Q463" s="59">
        <v>45938</v>
      </c>
      <c r="R463" s="116" t="s">
        <v>413</v>
      </c>
      <c r="S463" s="138">
        <f>Table432[[#This Row],[Invoice Amount]]-Table432[[#This Row],[TDS]]-Table432[[#This Row],[RTN]]-Table432[[#This Row],[RECIVED AMOUNT]]</f>
        <v>2123.5499999999997</v>
      </c>
      <c r="T463" s="99"/>
      <c r="U463" s="7"/>
      <c r="V463" s="41">
        <f>Table432[[#This Row],[BALANCE]]-Table432[[#This Row],[RECIVED AMOUNT2]]</f>
        <v>2123.5499999999997</v>
      </c>
      <c r="W463" s="211"/>
      <c r="X463" s="2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</row>
    <row r="464" spans="1:121" s="11" customFormat="1" ht="19.95" customHeight="1">
      <c r="A464" s="86">
        <v>45838</v>
      </c>
      <c r="B464" s="7" t="s">
        <v>698</v>
      </c>
      <c r="C464" s="7" t="s">
        <v>390</v>
      </c>
      <c r="D464" s="7" t="s">
        <v>391</v>
      </c>
      <c r="E464" s="7" t="s">
        <v>260</v>
      </c>
      <c r="F464" s="5" t="s">
        <v>26</v>
      </c>
      <c r="G464" s="85">
        <v>998531</v>
      </c>
      <c r="H464" s="23">
        <v>0.18</v>
      </c>
      <c r="I464" s="95">
        <v>936</v>
      </c>
      <c r="J464" s="95">
        <f t="shared" si="28"/>
        <v>84.24</v>
      </c>
      <c r="K464" s="95">
        <f t="shared" si="29"/>
        <v>84.24</v>
      </c>
      <c r="L464" s="7"/>
      <c r="M464" s="94">
        <f>Table432[[#This Row],[Taxable Amount]]+Table432[[#This Row],[SGST]]+Table432[[#This Row],[CGST]]</f>
        <v>1104.48</v>
      </c>
      <c r="N464" s="155">
        <f t="shared" si="30"/>
        <v>9.36</v>
      </c>
      <c r="O464" s="182"/>
      <c r="P464" s="110"/>
      <c r="Q464" s="59">
        <v>45938</v>
      </c>
      <c r="R464" s="118" t="s">
        <v>413</v>
      </c>
      <c r="S464" s="138">
        <f>Table432[[#This Row],[Invoice Amount]]-Table432[[#This Row],[TDS]]-Table432[[#This Row],[RTN]]-Table432[[#This Row],[RECIVED AMOUNT]]</f>
        <v>1095.1200000000001</v>
      </c>
      <c r="T464" s="99"/>
      <c r="U464" s="7"/>
      <c r="V464" s="41">
        <f>Table432[[#This Row],[BALANCE]]-Table432[[#This Row],[RECIVED AMOUNT2]]</f>
        <v>1095.1200000000001</v>
      </c>
      <c r="W464" s="211"/>
      <c r="X464" s="2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</row>
    <row r="465" spans="1:121" s="11" customFormat="1" ht="19.95" customHeight="1">
      <c r="A465" s="86">
        <v>45838</v>
      </c>
      <c r="B465" s="7" t="s">
        <v>699</v>
      </c>
      <c r="C465" s="7" t="s">
        <v>390</v>
      </c>
      <c r="D465" s="7" t="s">
        <v>391</v>
      </c>
      <c r="E465" s="7" t="s">
        <v>260</v>
      </c>
      <c r="F465" s="5" t="s">
        <v>26</v>
      </c>
      <c r="G465" s="85">
        <v>998531</v>
      </c>
      <c r="H465" s="23">
        <v>0.18</v>
      </c>
      <c r="I465" s="95">
        <v>879</v>
      </c>
      <c r="J465" s="95">
        <f t="shared" si="28"/>
        <v>79.11</v>
      </c>
      <c r="K465" s="95">
        <f t="shared" si="29"/>
        <v>79.11</v>
      </c>
      <c r="L465" s="7"/>
      <c r="M465" s="94">
        <f>Table432[[#This Row],[Taxable Amount]]+Table432[[#This Row],[SGST]]+Table432[[#This Row],[CGST]]</f>
        <v>1037.22</v>
      </c>
      <c r="N465" s="155">
        <f t="shared" si="30"/>
        <v>8.7900000000000009</v>
      </c>
      <c r="O465" s="182"/>
      <c r="P465" s="110"/>
      <c r="Q465" s="59">
        <v>45938</v>
      </c>
      <c r="R465" s="118" t="s">
        <v>413</v>
      </c>
      <c r="S465" s="138">
        <f>Table432[[#This Row],[Invoice Amount]]-Table432[[#This Row],[TDS]]-Table432[[#This Row],[RTN]]-Table432[[#This Row],[RECIVED AMOUNT]]</f>
        <v>1028.43</v>
      </c>
      <c r="T465" s="99"/>
      <c r="U465" s="7"/>
      <c r="V465" s="41">
        <f>Table432[[#This Row],[BALANCE]]-Table432[[#This Row],[RECIVED AMOUNT2]]</f>
        <v>1028.43</v>
      </c>
      <c r="W465" s="211"/>
      <c r="X465" s="2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</row>
    <row r="466" spans="1:121" s="11" customFormat="1" ht="19.95" customHeight="1">
      <c r="A466" s="86">
        <v>45838</v>
      </c>
      <c r="B466" s="7" t="s">
        <v>700</v>
      </c>
      <c r="C466" s="7" t="s">
        <v>390</v>
      </c>
      <c r="D466" s="7" t="s">
        <v>391</v>
      </c>
      <c r="E466" s="7" t="s">
        <v>260</v>
      </c>
      <c r="F466" s="5" t="s">
        <v>26</v>
      </c>
      <c r="G466" s="85">
        <v>998531</v>
      </c>
      <c r="H466" s="23">
        <v>0.18</v>
      </c>
      <c r="I466" s="95">
        <v>840.75</v>
      </c>
      <c r="J466" s="95">
        <f t="shared" si="28"/>
        <v>75.667500000000004</v>
      </c>
      <c r="K466" s="95">
        <f t="shared" si="29"/>
        <v>75.667500000000004</v>
      </c>
      <c r="L466" s="7"/>
      <c r="M466" s="94">
        <f>Table432[[#This Row],[Taxable Amount]]+Table432[[#This Row],[SGST]]+Table432[[#This Row],[CGST]]</f>
        <v>992.08500000000004</v>
      </c>
      <c r="N466" s="155">
        <f t="shared" si="30"/>
        <v>8.4075000000000006</v>
      </c>
      <c r="O466" s="182"/>
      <c r="P466" s="110"/>
      <c r="Q466" s="59">
        <v>45938</v>
      </c>
      <c r="R466" s="118" t="s">
        <v>413</v>
      </c>
      <c r="S466" s="138">
        <f>Table432[[#This Row],[Invoice Amount]]-Table432[[#This Row],[TDS]]-Table432[[#This Row],[RTN]]-Table432[[#This Row],[RECIVED AMOUNT]]</f>
        <v>983.67750000000001</v>
      </c>
      <c r="T466" s="99"/>
      <c r="U466" s="7"/>
      <c r="V466" s="41">
        <f>Table432[[#This Row],[BALANCE]]-Table432[[#This Row],[RECIVED AMOUNT2]]</f>
        <v>983.67750000000001</v>
      </c>
      <c r="W466" s="211"/>
      <c r="X466" s="2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</row>
    <row r="467" spans="1:121" s="11" customFormat="1" ht="19.95" customHeight="1">
      <c r="A467" s="86">
        <v>45838</v>
      </c>
      <c r="B467" s="7" t="s">
        <v>701</v>
      </c>
      <c r="C467" s="7" t="s">
        <v>390</v>
      </c>
      <c r="D467" s="7" t="s">
        <v>391</v>
      </c>
      <c r="E467" s="7" t="s">
        <v>260</v>
      </c>
      <c r="F467" s="5" t="s">
        <v>26</v>
      </c>
      <c r="G467" s="85">
        <v>998531</v>
      </c>
      <c r="H467" s="23">
        <v>0.18</v>
      </c>
      <c r="I467" s="95">
        <v>631.5</v>
      </c>
      <c r="J467" s="95">
        <f t="shared" ref="J467:J530" si="31">I467*9/100</f>
        <v>56.835000000000001</v>
      </c>
      <c r="K467" s="95">
        <f t="shared" si="29"/>
        <v>56.835000000000001</v>
      </c>
      <c r="L467" s="7"/>
      <c r="M467" s="94">
        <f>Table432[[#This Row],[Taxable Amount]]+Table432[[#This Row],[SGST]]+Table432[[#This Row],[CGST]]</f>
        <v>745.17000000000007</v>
      </c>
      <c r="N467" s="155">
        <f t="shared" si="30"/>
        <v>6.3150000000000004</v>
      </c>
      <c r="O467" s="182"/>
      <c r="P467" s="110">
        <v>9711</v>
      </c>
      <c r="Q467" s="59">
        <v>45938</v>
      </c>
      <c r="R467" s="118" t="s">
        <v>413</v>
      </c>
      <c r="S467" s="138">
        <f>Table432[[#This Row],[Invoice Amount]]-Table432[[#This Row],[TDS]]-Table432[[#This Row],[RTN]]-Table432[[#This Row],[RECIVED AMOUNT]]</f>
        <v>-8972.1450000000004</v>
      </c>
      <c r="T467" s="99"/>
      <c r="U467" s="7"/>
      <c r="V467" s="41">
        <f>Table432[[#This Row],[BALANCE]]-Table432[[#This Row],[RECIVED AMOUNT2]]</f>
        <v>-8972.1450000000004</v>
      </c>
      <c r="W467" s="211"/>
      <c r="X467" s="2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</row>
    <row r="468" spans="1:121" s="11" customFormat="1" ht="19.95" customHeight="1">
      <c r="A468" s="86">
        <v>45838</v>
      </c>
      <c r="B468" s="7" t="s">
        <v>702</v>
      </c>
      <c r="C468" s="7" t="s">
        <v>290</v>
      </c>
      <c r="D468" s="7" t="s">
        <v>291</v>
      </c>
      <c r="E468" s="7" t="s">
        <v>25</v>
      </c>
      <c r="F468" s="5" t="s">
        <v>26</v>
      </c>
      <c r="G468" s="85">
        <v>998531</v>
      </c>
      <c r="H468" s="23">
        <v>0.18</v>
      </c>
      <c r="I468" s="95">
        <v>3000</v>
      </c>
      <c r="J468" s="95">
        <f t="shared" si="31"/>
        <v>270</v>
      </c>
      <c r="K468" s="95">
        <f t="shared" si="29"/>
        <v>270</v>
      </c>
      <c r="L468" s="7"/>
      <c r="M468" s="94">
        <f>Table432[[#This Row],[Taxable Amount]]+Table432[[#This Row],[SGST]]+Table432[[#This Row],[CGST]]</f>
        <v>3540</v>
      </c>
      <c r="N468" s="155">
        <v>0</v>
      </c>
      <c r="O468" s="182">
        <v>0</v>
      </c>
      <c r="P468" s="119">
        <f>Table432[[#This Row],[Taxable Amount]]+Table432[[#This Row],[SGST]]+Table432[[#This Row],[CGST]]</f>
        <v>3540</v>
      </c>
      <c r="Q468" s="92">
        <v>45867</v>
      </c>
      <c r="R468" s="118" t="s">
        <v>413</v>
      </c>
      <c r="S468" s="138">
        <f>Table432[[#This Row],[Invoice Amount]]-Table432[[#This Row],[TDS]]-Table432[[#This Row],[RTN]]-Table432[[#This Row],[RECIVED AMOUNT]]</f>
        <v>0</v>
      </c>
      <c r="T468" s="99"/>
      <c r="U468" s="7"/>
      <c r="V468" s="41">
        <f>Table432[[#This Row],[BALANCE]]-Table432[[#This Row],[RECIVED AMOUNT2]]</f>
        <v>0</v>
      </c>
      <c r="W468" s="211"/>
      <c r="X468" s="2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</row>
    <row r="469" spans="1:121" s="11" customFormat="1" ht="19.95" customHeight="1">
      <c r="A469" s="86">
        <v>45838</v>
      </c>
      <c r="B469" s="7" t="s">
        <v>703</v>
      </c>
      <c r="C469" s="3" t="s">
        <v>955</v>
      </c>
      <c r="D469" s="7" t="s">
        <v>205</v>
      </c>
      <c r="E469" s="7" t="s">
        <v>67</v>
      </c>
      <c r="F469" s="5" t="s">
        <v>26</v>
      </c>
      <c r="G469" s="85">
        <v>998531</v>
      </c>
      <c r="H469" s="23">
        <v>0.18</v>
      </c>
      <c r="I469" s="95">
        <v>10000</v>
      </c>
      <c r="J469" s="95">
        <f t="shared" si="31"/>
        <v>900</v>
      </c>
      <c r="K469" s="95">
        <f t="shared" si="29"/>
        <v>900</v>
      </c>
      <c r="L469" s="7"/>
      <c r="M469" s="94">
        <f>Table432[[#This Row],[Taxable Amount]]+Table432[[#This Row],[SGST]]+Table432[[#This Row],[CGST]]</f>
        <v>11800</v>
      </c>
      <c r="N469" s="155">
        <f>I469*1%</f>
        <v>100</v>
      </c>
      <c r="O469" s="158"/>
      <c r="P469" s="156">
        <v>11700</v>
      </c>
      <c r="Q469" s="92">
        <v>45874</v>
      </c>
      <c r="R469" s="116" t="s">
        <v>413</v>
      </c>
      <c r="S469" s="138">
        <f>Table432[[#This Row],[Invoice Amount]]-Table432[[#This Row],[TDS]]-Table432[[#This Row],[RTN]]-Table432[[#This Row],[RECIVED AMOUNT]]</f>
        <v>0</v>
      </c>
      <c r="T469" s="99"/>
      <c r="U469" s="7"/>
      <c r="V469" s="41">
        <f>Table432[[#This Row],[BALANCE]]-Table432[[#This Row],[RECIVED AMOUNT2]]</f>
        <v>0</v>
      </c>
      <c r="W469" s="211"/>
      <c r="X469" s="2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</row>
    <row r="470" spans="1:121" s="11" customFormat="1" ht="19.95" customHeight="1">
      <c r="A470" s="86">
        <v>45838</v>
      </c>
      <c r="B470" s="7" t="s">
        <v>704</v>
      </c>
      <c r="C470" s="7" t="s">
        <v>372</v>
      </c>
      <c r="D470" s="7" t="s">
        <v>373</v>
      </c>
      <c r="E470" s="7" t="s">
        <v>374</v>
      </c>
      <c r="F470" s="5" t="s">
        <v>26</v>
      </c>
      <c r="G470" s="85">
        <v>998531</v>
      </c>
      <c r="H470" s="23">
        <v>0.18</v>
      </c>
      <c r="I470" s="95">
        <v>1875</v>
      </c>
      <c r="J470" s="95">
        <f t="shared" si="31"/>
        <v>168.75</v>
      </c>
      <c r="K470" s="95">
        <f t="shared" si="29"/>
        <v>168.75</v>
      </c>
      <c r="L470" s="7"/>
      <c r="M470" s="94">
        <f>Table432[[#This Row],[Taxable Amount]]+Table432[[#This Row],[SGST]]+Table432[[#This Row],[CGST]]</f>
        <v>2212.5</v>
      </c>
      <c r="N470" s="155">
        <v>0</v>
      </c>
      <c r="O470" s="182">
        <v>0</v>
      </c>
      <c r="P470" s="119">
        <f>Table432[[#This Row],[Taxable Amount]]+Table432[[#This Row],[SGST]]+Table432[[#This Row],[CGST]]</f>
        <v>2212.5</v>
      </c>
      <c r="Q470" s="59">
        <v>45870</v>
      </c>
      <c r="R470" s="116" t="s">
        <v>413</v>
      </c>
      <c r="S470" s="138">
        <f>Table432[[#This Row],[Invoice Amount]]-Table432[[#This Row],[TDS]]-Table432[[#This Row],[RTN]]-Table432[[#This Row],[RECIVED AMOUNT]]</f>
        <v>0</v>
      </c>
      <c r="T470" s="99"/>
      <c r="U470" s="7"/>
      <c r="V470" s="41">
        <f>Table432[[#This Row],[BALANCE]]-Table432[[#This Row],[RECIVED AMOUNT2]]</f>
        <v>0</v>
      </c>
      <c r="W470" s="211"/>
      <c r="X470" s="2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</row>
    <row r="471" spans="1:121" s="11" customFormat="1" ht="19.95" customHeight="1">
      <c r="A471" s="86">
        <v>45838</v>
      </c>
      <c r="B471" s="7" t="s">
        <v>705</v>
      </c>
      <c r="C471" s="7" t="s">
        <v>319</v>
      </c>
      <c r="D471" s="7" t="s">
        <v>320</v>
      </c>
      <c r="E471" s="7" t="s">
        <v>59</v>
      </c>
      <c r="F471" s="5" t="s">
        <v>26</v>
      </c>
      <c r="G471" s="85">
        <v>998531</v>
      </c>
      <c r="H471" s="221">
        <v>0.18</v>
      </c>
      <c r="I471" s="95">
        <v>34750</v>
      </c>
      <c r="J471" s="95">
        <f t="shared" si="31"/>
        <v>3127.5</v>
      </c>
      <c r="K471" s="95">
        <f t="shared" si="29"/>
        <v>3127.5</v>
      </c>
      <c r="L471" s="7"/>
      <c r="M471" s="94">
        <f>Table432[[#This Row],[Taxable Amount]]+Table432[[#This Row],[SGST]]+Table432[[#This Row],[CGST]]</f>
        <v>41005</v>
      </c>
      <c r="N471" s="155">
        <f t="shared" ref="N471:N480" si="32">I471*1%</f>
        <v>347.5</v>
      </c>
      <c r="O471" s="182"/>
      <c r="P471" s="110"/>
      <c r="Q471" s="110"/>
      <c r="R471" s="116" t="s">
        <v>413</v>
      </c>
      <c r="S471" s="93">
        <f>Table432[[#This Row],[Invoice Amount]]-Table432[[#This Row],[TDS]]-Table432[[#This Row],[RTN]]-Table432[[#This Row],[RECIVED AMOUNT]]</f>
        <v>40657.5</v>
      </c>
      <c r="T471" s="99"/>
      <c r="U471" s="7"/>
      <c r="V471" s="70">
        <f>Table432[[#This Row],[BALANCE]]-Table432[[#This Row],[RECIVED AMOUNT2]]</f>
        <v>40657.5</v>
      </c>
      <c r="W471" s="211"/>
      <c r="X471" s="2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</row>
    <row r="472" spans="1:121" s="11" customFormat="1" ht="19.95" customHeight="1">
      <c r="A472" s="86">
        <v>45838</v>
      </c>
      <c r="B472" s="7" t="s">
        <v>706</v>
      </c>
      <c r="C472" s="7" t="s">
        <v>23</v>
      </c>
      <c r="D472" s="84" t="s">
        <v>24</v>
      </c>
      <c r="E472" s="7" t="s">
        <v>62</v>
      </c>
      <c r="F472" s="7" t="s">
        <v>560</v>
      </c>
      <c r="G472" s="85">
        <v>998531</v>
      </c>
      <c r="H472" s="23">
        <v>0.18</v>
      </c>
      <c r="I472" s="95">
        <v>6300</v>
      </c>
      <c r="J472" s="95">
        <f t="shared" si="31"/>
        <v>567</v>
      </c>
      <c r="K472" s="95">
        <f t="shared" si="29"/>
        <v>567</v>
      </c>
      <c r="L472" s="7"/>
      <c r="M472" s="94">
        <f>Table432[[#This Row],[Taxable Amount]]+Table432[[#This Row],[SGST]]+Table432[[#This Row],[CGST]]</f>
        <v>7434</v>
      </c>
      <c r="N472" s="155">
        <f t="shared" si="32"/>
        <v>63</v>
      </c>
      <c r="O472" s="182"/>
      <c r="P472" s="110"/>
      <c r="Q472" s="134">
        <v>46039</v>
      </c>
      <c r="R472" s="118" t="s">
        <v>413</v>
      </c>
      <c r="S472" s="138">
        <f>Table432[[#This Row],[Invoice Amount]]-Table432[[#This Row],[TDS]]-Table432[[#This Row],[RTN]]-Table432[[#This Row],[RECIVED AMOUNT]]</f>
        <v>7371</v>
      </c>
      <c r="T472" s="99"/>
      <c r="U472" s="7"/>
      <c r="V472" s="41">
        <f>Table432[[#This Row],[BALANCE]]-Table432[[#This Row],[RECIVED AMOUNT2]]</f>
        <v>7371</v>
      </c>
      <c r="W472" s="211"/>
      <c r="X472" s="2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</row>
    <row r="473" spans="1:121" s="11" customFormat="1" ht="19.95" customHeight="1">
      <c r="A473" s="86">
        <v>45840</v>
      </c>
      <c r="B473" s="7" t="s">
        <v>707</v>
      </c>
      <c r="C473" s="7" t="s">
        <v>173</v>
      </c>
      <c r="D473" s="84" t="s">
        <v>174</v>
      </c>
      <c r="E473" s="7" t="s">
        <v>62</v>
      </c>
      <c r="F473" s="5" t="s">
        <v>26</v>
      </c>
      <c r="G473" s="85">
        <v>998531</v>
      </c>
      <c r="H473" s="23">
        <v>0.18</v>
      </c>
      <c r="I473" s="95">
        <v>8800</v>
      </c>
      <c r="J473" s="95">
        <f t="shared" si="31"/>
        <v>792</v>
      </c>
      <c r="K473" s="95">
        <f t="shared" si="29"/>
        <v>792</v>
      </c>
      <c r="L473" s="7"/>
      <c r="M473" s="94">
        <f>Table432[[#This Row],[Taxable Amount]]+Table432[[#This Row],[SGST]]+Table432[[#This Row],[CGST]]</f>
        <v>10384</v>
      </c>
      <c r="N473" s="155">
        <f t="shared" si="32"/>
        <v>88</v>
      </c>
      <c r="O473" s="182"/>
      <c r="P473" s="156">
        <v>10032</v>
      </c>
      <c r="Q473" s="92">
        <v>45934</v>
      </c>
      <c r="R473" s="118" t="s">
        <v>708</v>
      </c>
      <c r="S473" s="138">
        <f>Table432[[#This Row],[Invoice Amount]]-Table432[[#This Row],[TDS]]-Table432[[#This Row],[RTN]]-Table432[[#This Row],[RECIVED AMOUNT]]</f>
        <v>264</v>
      </c>
      <c r="T473" s="99"/>
      <c r="U473" s="7"/>
      <c r="V473" s="41">
        <f>Table432[[#This Row],[BALANCE]]-Table432[[#This Row],[RECIVED AMOUNT2]]</f>
        <v>264</v>
      </c>
      <c r="W473" s="211"/>
      <c r="X473" s="2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</row>
    <row r="474" spans="1:121" s="11" customFormat="1" ht="19.95" customHeight="1">
      <c r="A474" s="86">
        <v>45843</v>
      </c>
      <c r="B474" s="7" t="s">
        <v>709</v>
      </c>
      <c r="C474" s="7" t="s">
        <v>674</v>
      </c>
      <c r="D474" s="7" t="s">
        <v>675</v>
      </c>
      <c r="E474" s="7" t="s">
        <v>676</v>
      </c>
      <c r="F474" s="5" t="s">
        <v>26</v>
      </c>
      <c r="G474" s="85">
        <v>998531</v>
      </c>
      <c r="H474" s="23">
        <v>0.18</v>
      </c>
      <c r="I474" s="95">
        <v>9600</v>
      </c>
      <c r="J474" s="95">
        <f t="shared" si="31"/>
        <v>864</v>
      </c>
      <c r="K474" s="95">
        <f t="shared" si="29"/>
        <v>864</v>
      </c>
      <c r="L474" s="7"/>
      <c r="M474" s="94">
        <f>Table432[[#This Row],[Taxable Amount]]+Table432[[#This Row],[SGST]]+Table432[[#This Row],[CGST]]</f>
        <v>11328</v>
      </c>
      <c r="N474" s="155">
        <f t="shared" si="32"/>
        <v>96</v>
      </c>
      <c r="O474" s="182"/>
      <c r="P474" s="213">
        <v>11232</v>
      </c>
      <c r="Q474" s="97">
        <v>45915</v>
      </c>
      <c r="R474" s="118" t="s">
        <v>708</v>
      </c>
      <c r="S474" s="138">
        <f>Table432[[#This Row],[Invoice Amount]]-Table432[[#This Row],[TDS]]-Table432[[#This Row],[RTN]]-Table432[[#This Row],[RECIVED AMOUNT]]</f>
        <v>0</v>
      </c>
      <c r="T474" s="99"/>
      <c r="U474" s="7"/>
      <c r="V474" s="41">
        <f>Table432[[#This Row],[BALANCE]]-Table432[[#This Row],[RECIVED AMOUNT2]]</f>
        <v>0</v>
      </c>
      <c r="W474" s="211"/>
      <c r="X474" s="2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</row>
    <row r="475" spans="1:121" s="11" customFormat="1" ht="19.95" customHeight="1">
      <c r="A475" s="86">
        <v>45843</v>
      </c>
      <c r="B475" s="7" t="s">
        <v>710</v>
      </c>
      <c r="C475" s="7" t="s">
        <v>674</v>
      </c>
      <c r="D475" s="7" t="s">
        <v>675</v>
      </c>
      <c r="E475" s="7" t="s">
        <v>678</v>
      </c>
      <c r="F475" s="5" t="s">
        <v>26</v>
      </c>
      <c r="G475" s="85">
        <v>998531</v>
      </c>
      <c r="H475" s="23">
        <v>0.18</v>
      </c>
      <c r="I475" s="95">
        <v>2950</v>
      </c>
      <c r="J475" s="95">
        <f t="shared" si="31"/>
        <v>265.5</v>
      </c>
      <c r="K475" s="95">
        <f t="shared" si="29"/>
        <v>265.5</v>
      </c>
      <c r="L475" s="7"/>
      <c r="M475" s="94">
        <f>Table432[[#This Row],[Taxable Amount]]+Table432[[#This Row],[SGST]]+Table432[[#This Row],[CGST]]</f>
        <v>3481</v>
      </c>
      <c r="N475" s="155">
        <f t="shared" si="32"/>
        <v>29.5</v>
      </c>
      <c r="O475" s="182"/>
      <c r="P475" s="213">
        <v>3451</v>
      </c>
      <c r="Q475" s="97">
        <v>45915</v>
      </c>
      <c r="R475" s="118" t="s">
        <v>708</v>
      </c>
      <c r="S475" s="138">
        <f>Table432[[#This Row],[Invoice Amount]]-Table432[[#This Row],[TDS]]-Table432[[#This Row],[RTN]]-Table432[[#This Row],[RECIVED AMOUNT]]</f>
        <v>0.5</v>
      </c>
      <c r="T475" s="99"/>
      <c r="U475" s="7"/>
      <c r="V475" s="41">
        <f>Table432[[#This Row],[BALANCE]]-Table432[[#This Row],[RECIVED AMOUNT2]]</f>
        <v>0.5</v>
      </c>
      <c r="W475" s="211"/>
      <c r="X475" s="2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</row>
    <row r="476" spans="1:121" s="11" customFormat="1" ht="19.95" customHeight="1">
      <c r="A476" s="86">
        <v>45843</v>
      </c>
      <c r="B476" s="7" t="s">
        <v>711</v>
      </c>
      <c r="C476" s="7" t="s">
        <v>674</v>
      </c>
      <c r="D476" s="7" t="s">
        <v>675</v>
      </c>
      <c r="E476" s="7" t="s">
        <v>680</v>
      </c>
      <c r="F476" s="5" t="s">
        <v>26</v>
      </c>
      <c r="G476" s="85">
        <v>998531</v>
      </c>
      <c r="H476" s="23">
        <v>0.18</v>
      </c>
      <c r="I476" s="95">
        <v>5200</v>
      </c>
      <c r="J476" s="95">
        <f t="shared" si="31"/>
        <v>468</v>
      </c>
      <c r="K476" s="95">
        <f t="shared" si="29"/>
        <v>468</v>
      </c>
      <c r="L476" s="7"/>
      <c r="M476" s="94">
        <f>Table432[[#This Row],[Taxable Amount]]+Table432[[#This Row],[SGST]]+Table432[[#This Row],[CGST]]</f>
        <v>6136</v>
      </c>
      <c r="N476" s="155">
        <f t="shared" si="32"/>
        <v>52</v>
      </c>
      <c r="O476" s="182"/>
      <c r="P476" s="110">
        <v>6084</v>
      </c>
      <c r="Q476" s="97">
        <v>45915</v>
      </c>
      <c r="R476" s="118" t="s">
        <v>708</v>
      </c>
      <c r="S476" s="138">
        <f>Table432[[#This Row],[Invoice Amount]]-Table432[[#This Row],[TDS]]-Table432[[#This Row],[RTN]]-Table432[[#This Row],[RECIVED AMOUNT]]</f>
        <v>0</v>
      </c>
      <c r="T476" s="99"/>
      <c r="U476" s="7"/>
      <c r="V476" s="41">
        <f>Table432[[#This Row],[BALANCE]]-Table432[[#This Row],[RECIVED AMOUNT2]]</f>
        <v>0</v>
      </c>
      <c r="W476" s="211"/>
      <c r="X476" s="2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</row>
    <row r="477" spans="1:121" s="11" customFormat="1" ht="19.95" customHeight="1">
      <c r="A477" s="86">
        <v>45843</v>
      </c>
      <c r="B477" s="7" t="s">
        <v>712</v>
      </c>
      <c r="C477" s="7" t="s">
        <v>674</v>
      </c>
      <c r="D477" s="7" t="s">
        <v>675</v>
      </c>
      <c r="E477" s="7" t="s">
        <v>684</v>
      </c>
      <c r="F477" s="5" t="s">
        <v>26</v>
      </c>
      <c r="G477" s="85">
        <v>998531</v>
      </c>
      <c r="H477" s="23">
        <v>0.18</v>
      </c>
      <c r="I477" s="95">
        <v>1800</v>
      </c>
      <c r="J477" s="95">
        <f t="shared" si="31"/>
        <v>162</v>
      </c>
      <c r="K477" s="95">
        <f t="shared" si="29"/>
        <v>162</v>
      </c>
      <c r="L477" s="7"/>
      <c r="M477" s="94">
        <f>Table432[[#This Row],[Taxable Amount]]+Table432[[#This Row],[SGST]]+Table432[[#This Row],[CGST]]</f>
        <v>2124</v>
      </c>
      <c r="N477" s="155">
        <f t="shared" si="32"/>
        <v>18</v>
      </c>
      <c r="O477" s="182"/>
      <c r="P477" s="110">
        <v>2106</v>
      </c>
      <c r="Q477" s="97">
        <v>45915</v>
      </c>
      <c r="R477" s="118" t="s">
        <v>708</v>
      </c>
      <c r="S477" s="138">
        <f>Table432[[#This Row],[Invoice Amount]]-Table432[[#This Row],[TDS]]-Table432[[#This Row],[RTN]]-Table432[[#This Row],[RECIVED AMOUNT]]</f>
        <v>0</v>
      </c>
      <c r="T477" s="99"/>
      <c r="U477" s="7"/>
      <c r="V477" s="41">
        <f>Table432[[#This Row],[BALANCE]]-Table432[[#This Row],[RECIVED AMOUNT2]]</f>
        <v>0</v>
      </c>
      <c r="W477" s="211"/>
      <c r="X477" s="2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</row>
    <row r="478" spans="1:121" s="11" customFormat="1" ht="19.95" customHeight="1">
      <c r="A478" s="86">
        <v>45843</v>
      </c>
      <c r="B478" s="7" t="s">
        <v>713</v>
      </c>
      <c r="C478" s="7" t="s">
        <v>674</v>
      </c>
      <c r="D478" s="7" t="s">
        <v>675</v>
      </c>
      <c r="E478" s="7" t="s">
        <v>714</v>
      </c>
      <c r="F478" s="5" t="s">
        <v>26</v>
      </c>
      <c r="G478" s="85">
        <v>998531</v>
      </c>
      <c r="H478" s="23">
        <v>0.18</v>
      </c>
      <c r="I478" s="95">
        <v>3050</v>
      </c>
      <c r="J478" s="95">
        <f t="shared" si="31"/>
        <v>274.5</v>
      </c>
      <c r="K478" s="95">
        <f t="shared" si="29"/>
        <v>274.5</v>
      </c>
      <c r="L478" s="7"/>
      <c r="M478" s="94">
        <f>Table432[[#This Row],[Taxable Amount]]+Table432[[#This Row],[SGST]]+Table432[[#This Row],[CGST]]</f>
        <v>3599</v>
      </c>
      <c r="N478" s="155">
        <f t="shared" si="32"/>
        <v>30.5</v>
      </c>
      <c r="O478" s="182"/>
      <c r="P478" s="110">
        <v>3568</v>
      </c>
      <c r="Q478" s="97">
        <v>45915</v>
      </c>
      <c r="R478" s="118" t="s">
        <v>708</v>
      </c>
      <c r="S478" s="138">
        <f>Table432[[#This Row],[Invoice Amount]]-Table432[[#This Row],[TDS]]-Table432[[#This Row],[RTN]]-Table432[[#This Row],[RECIVED AMOUNT]]</f>
        <v>0.5</v>
      </c>
      <c r="T478" s="99"/>
      <c r="U478" s="7"/>
      <c r="V478" s="41">
        <f>Table432[[#This Row],[BALANCE]]-Table432[[#This Row],[RECIVED AMOUNT2]]</f>
        <v>0.5</v>
      </c>
      <c r="W478" s="211"/>
      <c r="X478" s="2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</row>
    <row r="479" spans="1:121" s="11" customFormat="1" ht="19.95" customHeight="1">
      <c r="A479" s="86">
        <v>45843</v>
      </c>
      <c r="B479" s="7" t="s">
        <v>715</v>
      </c>
      <c r="C479" s="7" t="s">
        <v>674</v>
      </c>
      <c r="D479" s="7" t="s">
        <v>675</v>
      </c>
      <c r="E479" s="7" t="s">
        <v>716</v>
      </c>
      <c r="F479" s="5" t="s">
        <v>26</v>
      </c>
      <c r="G479" s="85">
        <v>998531</v>
      </c>
      <c r="H479" s="23">
        <v>0.18</v>
      </c>
      <c r="I479" s="95">
        <v>3250</v>
      </c>
      <c r="J479" s="95">
        <f t="shared" si="31"/>
        <v>292.5</v>
      </c>
      <c r="K479" s="95">
        <f t="shared" si="29"/>
        <v>292.5</v>
      </c>
      <c r="L479" s="7"/>
      <c r="M479" s="94">
        <f>Table432[[#This Row],[Taxable Amount]]+Table432[[#This Row],[SGST]]+Table432[[#This Row],[CGST]]</f>
        <v>3835</v>
      </c>
      <c r="N479" s="155">
        <f t="shared" si="32"/>
        <v>32.5</v>
      </c>
      <c r="O479" s="182"/>
      <c r="P479" s="110">
        <v>3802</v>
      </c>
      <c r="Q479" s="97">
        <v>45915</v>
      </c>
      <c r="R479" s="118" t="s">
        <v>708</v>
      </c>
      <c r="S479" s="138">
        <f>Table432[[#This Row],[Invoice Amount]]-Table432[[#This Row],[TDS]]-Table432[[#This Row],[RTN]]-Table432[[#This Row],[RECIVED AMOUNT]]</f>
        <v>0.5</v>
      </c>
      <c r="T479" s="99"/>
      <c r="U479" s="7"/>
      <c r="V479" s="41">
        <f>Table432[[#This Row],[BALANCE]]-Table432[[#This Row],[RECIVED AMOUNT2]]</f>
        <v>0.5</v>
      </c>
      <c r="W479" s="211"/>
      <c r="X479" s="2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</row>
    <row r="480" spans="1:121" s="11" customFormat="1" ht="19.95" customHeight="1">
      <c r="A480" s="86">
        <v>45843</v>
      </c>
      <c r="B480" s="7" t="s">
        <v>717</v>
      </c>
      <c r="C480" s="7" t="s">
        <v>674</v>
      </c>
      <c r="D480" s="7" t="s">
        <v>675</v>
      </c>
      <c r="E480" s="7" t="s">
        <v>718</v>
      </c>
      <c r="F480" s="5" t="s">
        <v>26</v>
      </c>
      <c r="G480" s="85">
        <v>998531</v>
      </c>
      <c r="H480" s="23">
        <v>0.18</v>
      </c>
      <c r="I480" s="95">
        <v>6150</v>
      </c>
      <c r="J480" s="95">
        <f t="shared" si="31"/>
        <v>553.5</v>
      </c>
      <c r="K480" s="95">
        <f t="shared" si="29"/>
        <v>553.5</v>
      </c>
      <c r="L480" s="7"/>
      <c r="M480" s="94">
        <f>Table432[[#This Row],[Taxable Amount]]+Table432[[#This Row],[SGST]]+Table432[[#This Row],[CGST]]</f>
        <v>7257</v>
      </c>
      <c r="N480" s="155">
        <f t="shared" si="32"/>
        <v>61.5</v>
      </c>
      <c r="O480" s="182"/>
      <c r="P480" s="110">
        <v>7195</v>
      </c>
      <c r="Q480" s="97">
        <v>45915</v>
      </c>
      <c r="R480" s="118" t="s">
        <v>708</v>
      </c>
      <c r="S480" s="138">
        <f>Table432[[#This Row],[Invoice Amount]]-Table432[[#This Row],[TDS]]-Table432[[#This Row],[RTN]]-Table432[[#This Row],[RECIVED AMOUNT]]</f>
        <v>0.5</v>
      </c>
      <c r="T480" s="99"/>
      <c r="U480" s="7"/>
      <c r="V480" s="41">
        <f>Table432[[#This Row],[BALANCE]]-Table432[[#This Row],[RECIVED AMOUNT2]]</f>
        <v>0.5</v>
      </c>
      <c r="W480" s="211"/>
      <c r="X480" s="2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</row>
    <row r="481" spans="1:121" s="11" customFormat="1" ht="19.95" customHeight="1">
      <c r="A481" s="86">
        <v>45845</v>
      </c>
      <c r="B481" s="7" t="s">
        <v>719</v>
      </c>
      <c r="C481" s="7" t="s">
        <v>720</v>
      </c>
      <c r="D481" s="7" t="s">
        <v>721</v>
      </c>
      <c r="E481" s="7" t="s">
        <v>722</v>
      </c>
      <c r="F481" s="5" t="s">
        <v>26</v>
      </c>
      <c r="G481" s="85">
        <v>998531</v>
      </c>
      <c r="H481" s="23">
        <v>0.18</v>
      </c>
      <c r="I481" s="95">
        <v>15200</v>
      </c>
      <c r="J481" s="95">
        <f t="shared" si="31"/>
        <v>1368</v>
      </c>
      <c r="K481" s="95">
        <f t="shared" si="29"/>
        <v>1368</v>
      </c>
      <c r="L481" s="69"/>
      <c r="M481" s="94">
        <f>Table432[[#This Row],[Taxable Amount]]+Table432[[#This Row],[SGST]]+Table432[[#This Row],[CGST]]</f>
        <v>17936</v>
      </c>
      <c r="N481" s="110"/>
      <c r="O481" s="182">
        <v>0</v>
      </c>
      <c r="P481" s="119">
        <f>Table432[[#This Row],[Taxable Amount]]+Table432[[#This Row],[SGST]]+Table432[[#This Row],[CGST]]</f>
        <v>17936</v>
      </c>
      <c r="Q481" s="97">
        <v>45863</v>
      </c>
      <c r="R481" s="118" t="s">
        <v>708</v>
      </c>
      <c r="S481" s="138">
        <f>Table432[[#This Row],[Invoice Amount]]-Table432[[#This Row],[TDS]]-Table432[[#This Row],[RTN]]-Table432[[#This Row],[RECIVED AMOUNT]]</f>
        <v>0</v>
      </c>
      <c r="T481" s="99"/>
      <c r="U481" s="7"/>
      <c r="V481" s="41">
        <f>Table432[[#This Row],[BALANCE]]-Table432[[#This Row],[RECIVED AMOUNT2]]</f>
        <v>0</v>
      </c>
      <c r="W481" s="211"/>
      <c r="X481" s="2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</row>
    <row r="482" spans="1:121" s="10" customFormat="1" ht="19.95" customHeight="1">
      <c r="A482" s="86">
        <v>45846</v>
      </c>
      <c r="B482" s="7" t="s">
        <v>723</v>
      </c>
      <c r="C482" s="7" t="s">
        <v>567</v>
      </c>
      <c r="D482" s="7" t="s">
        <v>568</v>
      </c>
      <c r="E482" s="7" t="s">
        <v>232</v>
      </c>
      <c r="F482" s="5" t="s">
        <v>26</v>
      </c>
      <c r="G482" s="85">
        <v>998531</v>
      </c>
      <c r="H482" s="23">
        <v>0.18</v>
      </c>
      <c r="I482" s="69">
        <v>1000</v>
      </c>
      <c r="J482" s="69">
        <f t="shared" si="31"/>
        <v>90</v>
      </c>
      <c r="K482" s="69">
        <f t="shared" si="29"/>
        <v>90</v>
      </c>
      <c r="L482" s="70"/>
      <c r="M482" s="94">
        <f>Table432[[#This Row],[Taxable Amount]]+Table432[[#This Row],[SGST]]+Table432[[#This Row],[CGST]]</f>
        <v>1180</v>
      </c>
      <c r="N482" s="155"/>
      <c r="O482" s="158"/>
      <c r="P482" s="102">
        <v>1180</v>
      </c>
      <c r="Q482" s="97">
        <v>45933</v>
      </c>
      <c r="R482" s="118" t="s">
        <v>708</v>
      </c>
      <c r="S482" s="138">
        <f>Table432[[#This Row],[Invoice Amount]]-Table432[[#This Row],[TDS]]-Table432[[#This Row],[RTN]]-Table432[[#This Row],[RECIVED AMOUNT]]</f>
        <v>0</v>
      </c>
      <c r="T482" s="99"/>
      <c r="U482" s="7"/>
      <c r="V482" s="41">
        <f>Table432[[#This Row],[BALANCE]]-Table432[[#This Row],[RECIVED AMOUNT2]]</f>
        <v>0</v>
      </c>
      <c r="W482" s="211"/>
      <c r="X482" s="211"/>
    </row>
    <row r="483" spans="1:121" s="10" customFormat="1" ht="19.95" customHeight="1">
      <c r="A483" s="86">
        <v>45860</v>
      </c>
      <c r="B483" s="7" t="s">
        <v>724</v>
      </c>
      <c r="C483" s="7" t="s">
        <v>258</v>
      </c>
      <c r="D483" s="7" t="s">
        <v>259</v>
      </c>
      <c r="E483" s="7" t="s">
        <v>260</v>
      </c>
      <c r="F483" s="5" t="s">
        <v>26</v>
      </c>
      <c r="G483" s="85">
        <v>998531</v>
      </c>
      <c r="H483" s="23">
        <v>0.18</v>
      </c>
      <c r="I483" s="69">
        <v>7000</v>
      </c>
      <c r="J483" s="69">
        <f t="shared" si="31"/>
        <v>630</v>
      </c>
      <c r="K483" s="69">
        <f t="shared" si="29"/>
        <v>630</v>
      </c>
      <c r="L483" s="70"/>
      <c r="M483" s="94">
        <f>Table432[[#This Row],[Taxable Amount]]+Table432[[#This Row],[SGST]]+Table432[[#This Row],[CGST]]</f>
        <v>8260</v>
      </c>
      <c r="N483" s="155">
        <f>Table432[[#This Row],[Taxable Amount]]*1%</f>
        <v>70</v>
      </c>
      <c r="O483" s="157">
        <v>0</v>
      </c>
      <c r="P483" s="102"/>
      <c r="Q483" s="59">
        <v>46036</v>
      </c>
      <c r="R483" s="118" t="s">
        <v>708</v>
      </c>
      <c r="S483" s="138">
        <f>Table432[[#This Row],[Invoice Amount]]-Table432[[#This Row],[TDS]]-Table432[[#This Row],[RTN]]-Table432[[#This Row],[RECIVED AMOUNT]]</f>
        <v>8190</v>
      </c>
      <c r="T483" s="99"/>
      <c r="U483" s="7"/>
      <c r="V483" s="41">
        <f>Table432[[#This Row],[BALANCE]]-Table432[[#This Row],[RECIVED AMOUNT2]]</f>
        <v>8190</v>
      </c>
      <c r="W483" s="211"/>
      <c r="X483" s="211"/>
    </row>
    <row r="484" spans="1:121" s="10" customFormat="1" ht="19.95" customHeight="1">
      <c r="A484" s="86">
        <v>45861</v>
      </c>
      <c r="B484" s="7" t="s">
        <v>725</v>
      </c>
      <c r="C484" s="3" t="s">
        <v>963</v>
      </c>
      <c r="D484" s="7" t="s">
        <v>143</v>
      </c>
      <c r="E484" s="7" t="s">
        <v>515</v>
      </c>
      <c r="F484" s="5" t="s">
        <v>26</v>
      </c>
      <c r="G484" s="85">
        <v>998531</v>
      </c>
      <c r="H484" s="23">
        <v>0.18</v>
      </c>
      <c r="I484" s="69">
        <v>3750</v>
      </c>
      <c r="J484" s="69">
        <f t="shared" si="31"/>
        <v>337.5</v>
      </c>
      <c r="K484" s="69">
        <f t="shared" si="29"/>
        <v>337.5</v>
      </c>
      <c r="L484" s="70"/>
      <c r="M484" s="94">
        <f>Table432[[#This Row],[Taxable Amount]]+Table432[[#This Row],[SGST]]+Table432[[#This Row],[CGST]]</f>
        <v>4425</v>
      </c>
      <c r="N484" s="155">
        <f>Table432[[#This Row],[Taxable Amount]]*1%</f>
        <v>37.5</v>
      </c>
      <c r="O484" s="158"/>
      <c r="P484" s="102"/>
      <c r="Q484" s="97">
        <v>46135</v>
      </c>
      <c r="R484" s="118" t="s">
        <v>708</v>
      </c>
      <c r="S484" s="138">
        <f>Table432[[#This Row],[Invoice Amount]]-Table432[[#This Row],[TDS]]-Table432[[#This Row],[RTN]]-Table432[[#This Row],[RECIVED AMOUNT]]</f>
        <v>4387.5</v>
      </c>
      <c r="T484" s="99"/>
      <c r="U484" s="7"/>
      <c r="V484" s="41">
        <f>Table432[[#This Row],[BALANCE]]-Table432[[#This Row],[RECIVED AMOUNT2]]</f>
        <v>4387.5</v>
      </c>
      <c r="W484" s="211"/>
      <c r="X484" s="211"/>
    </row>
    <row r="485" spans="1:121" s="10" customFormat="1" ht="19.95" customHeight="1">
      <c r="A485" s="86">
        <v>45863</v>
      </c>
      <c r="B485" s="7" t="s">
        <v>726</v>
      </c>
      <c r="C485" s="7" t="s">
        <v>234</v>
      </c>
      <c r="D485" s="7" t="s">
        <v>235</v>
      </c>
      <c r="E485" s="7" t="s">
        <v>236</v>
      </c>
      <c r="F485" s="5" t="s">
        <v>26</v>
      </c>
      <c r="G485" s="85">
        <v>998531</v>
      </c>
      <c r="H485" s="23">
        <v>0.18</v>
      </c>
      <c r="I485" s="69">
        <v>7000</v>
      </c>
      <c r="J485" s="69">
        <f t="shared" si="31"/>
        <v>630</v>
      </c>
      <c r="K485" s="69">
        <f t="shared" si="29"/>
        <v>630</v>
      </c>
      <c r="L485" s="70"/>
      <c r="M485" s="94">
        <f>Table432[[#This Row],[Taxable Amount]]+Table432[[#This Row],[SGST]]+Table432[[#This Row],[CGST]]</f>
        <v>8260</v>
      </c>
      <c r="N485" s="155">
        <v>0</v>
      </c>
      <c r="O485" s="158"/>
      <c r="P485" s="102">
        <v>8260</v>
      </c>
      <c r="Q485" s="97">
        <v>45999</v>
      </c>
      <c r="R485" s="118" t="s">
        <v>708</v>
      </c>
      <c r="S485" s="138">
        <f>Table432[[#This Row],[Invoice Amount]]-Table432[[#This Row],[TDS]]-Table432[[#This Row],[RTN]]-Table432[[#This Row],[RECIVED AMOUNT]]</f>
        <v>0</v>
      </c>
      <c r="T485" s="99"/>
      <c r="U485" s="7"/>
      <c r="V485" s="41">
        <f>Table432[[#This Row],[BALANCE]]-Table432[[#This Row],[RECIVED AMOUNT2]]</f>
        <v>0</v>
      </c>
      <c r="W485" s="211"/>
      <c r="X485" s="211"/>
    </row>
    <row r="486" spans="1:121" s="481" customFormat="1" ht="19.95" customHeight="1">
      <c r="A486" s="493">
        <v>45869</v>
      </c>
      <c r="B486" s="482" t="s">
        <v>727</v>
      </c>
      <c r="C486" s="482" t="s">
        <v>319</v>
      </c>
      <c r="D486" s="482" t="s">
        <v>320</v>
      </c>
      <c r="E486" s="482" t="s">
        <v>85</v>
      </c>
      <c r="F486" s="486" t="s">
        <v>26</v>
      </c>
      <c r="G486" s="494">
        <v>998531</v>
      </c>
      <c r="H486" s="470">
        <v>0.18</v>
      </c>
      <c r="I486" s="487">
        <v>31500</v>
      </c>
      <c r="J486" s="487">
        <f t="shared" si="31"/>
        <v>2835</v>
      </c>
      <c r="K486" s="487">
        <f t="shared" si="29"/>
        <v>2835</v>
      </c>
      <c r="L486" s="480"/>
      <c r="M486" s="495">
        <f>Table432[[#This Row],[Taxable Amount]]+Table432[[#This Row],[SGST]]+Table432[[#This Row],[CGST]]</f>
        <v>37170</v>
      </c>
      <c r="N486" s="496">
        <f>Table432[[#This Row],[Taxable Amount]]*1%</f>
        <v>315</v>
      </c>
      <c r="O486" s="489"/>
      <c r="P486" s="490">
        <v>36855</v>
      </c>
      <c r="Q486" s="491">
        <v>45938</v>
      </c>
      <c r="R486" s="492" t="s">
        <v>708</v>
      </c>
      <c r="S486" s="479">
        <f>Table432[[#This Row],[Invoice Amount]]-Table432[[#This Row],[TDS]]-Table432[[#This Row],[RTN]]-Table432[[#This Row],[RECIVED AMOUNT]]</f>
        <v>0</v>
      </c>
      <c r="T486" s="498"/>
      <c r="U486" s="482"/>
      <c r="V486" s="480">
        <f>Table432[[#This Row],[BALANCE]]-Table432[[#This Row],[RECIVED AMOUNT2]]</f>
        <v>0</v>
      </c>
      <c r="W486" s="499"/>
      <c r="X486" s="499"/>
    </row>
    <row r="487" spans="1:121" s="10" customFormat="1" ht="19.95" customHeight="1">
      <c r="A487" s="86">
        <v>45869</v>
      </c>
      <c r="B487" s="7" t="s">
        <v>728</v>
      </c>
      <c r="C487" s="7" t="s">
        <v>637</v>
      </c>
      <c r="D487" s="21" t="s">
        <v>638</v>
      </c>
      <c r="E487" s="7" t="s">
        <v>629</v>
      </c>
      <c r="F487" s="5" t="s">
        <v>26</v>
      </c>
      <c r="G487" s="85">
        <v>998531</v>
      </c>
      <c r="H487" s="23">
        <v>0.18</v>
      </c>
      <c r="I487" s="69">
        <v>12400</v>
      </c>
      <c r="J487" s="69">
        <f t="shared" si="31"/>
        <v>1116</v>
      </c>
      <c r="K487" s="69">
        <f t="shared" si="29"/>
        <v>1116</v>
      </c>
      <c r="L487" s="70"/>
      <c r="M487" s="94">
        <f>Table432[[#This Row],[Taxable Amount]]+Table432[[#This Row],[SGST]]+Table432[[#This Row],[CGST]]</f>
        <v>14632</v>
      </c>
      <c r="N487" s="155">
        <f>Table432[[#This Row],[Taxable Amount]]*1%</f>
        <v>124</v>
      </c>
      <c r="O487" s="158">
        <v>310</v>
      </c>
      <c r="P487" s="281">
        <v>11966</v>
      </c>
      <c r="Q487" s="97">
        <v>45918</v>
      </c>
      <c r="R487" s="118" t="s">
        <v>708</v>
      </c>
      <c r="S487" s="138">
        <f>Table432[[#This Row],[Invoice Amount]]-Table432[[#This Row],[TDS]]-Table432[[#This Row],[RTN]]-Table432[[#This Row],[RECIVED AMOUNT]]</f>
        <v>2232</v>
      </c>
      <c r="T487" s="99"/>
      <c r="U487" s="109"/>
      <c r="V487" s="41">
        <f>Table432[[#This Row],[BALANCE]]-Table432[[#This Row],[RECIVED AMOUNT2]]</f>
        <v>2232</v>
      </c>
      <c r="W487" s="211"/>
      <c r="X487" s="211"/>
    </row>
    <row r="488" spans="1:121" s="247" customFormat="1" ht="19.95" customHeight="1">
      <c r="A488" s="269">
        <v>45869</v>
      </c>
      <c r="B488" s="234" t="s">
        <v>729</v>
      </c>
      <c r="C488" s="234" t="s">
        <v>42</v>
      </c>
      <c r="D488" s="234" t="s">
        <v>730</v>
      </c>
      <c r="E488" s="234" t="s">
        <v>632</v>
      </c>
      <c r="F488" s="250"/>
      <c r="G488" s="272">
        <v>998531</v>
      </c>
      <c r="H488" s="237">
        <v>0.18</v>
      </c>
      <c r="I488" s="260">
        <v>19150</v>
      </c>
      <c r="J488" s="260">
        <f t="shared" si="31"/>
        <v>1723.5</v>
      </c>
      <c r="K488" s="260">
        <f t="shared" si="29"/>
        <v>1723.5</v>
      </c>
      <c r="L488" s="246"/>
      <c r="M488" s="273">
        <f>Table432[[#This Row],[Taxable Amount]]+Table432[[#This Row],[SGST]]+Table432[[#This Row],[CGST]]</f>
        <v>22597</v>
      </c>
      <c r="N488" s="274">
        <f>Table432[[#This Row],[Taxable Amount]]*1%</f>
        <v>191.5</v>
      </c>
      <c r="O488" s="262">
        <v>479</v>
      </c>
      <c r="P488" s="263">
        <v>22405</v>
      </c>
      <c r="Q488" s="264">
        <v>45883</v>
      </c>
      <c r="R488" s="265" t="s">
        <v>708</v>
      </c>
      <c r="S488" s="245">
        <f>Table432[[#This Row],[Invoice Amount]]-Table432[[#This Row],[TDS]]-Table432[[#This Row],[RTN]]-Table432[[#This Row],[RECIVED AMOUNT]]</f>
        <v>-478.5</v>
      </c>
      <c r="T488" s="267"/>
      <c r="U488" s="234"/>
      <c r="V488" s="246">
        <f>Table432[[#This Row],[BALANCE]]-Table432[[#This Row],[RECIVED AMOUNT2]]</f>
        <v>-478.5</v>
      </c>
      <c r="W488" s="268"/>
      <c r="X488" s="268"/>
    </row>
    <row r="489" spans="1:121" s="247" customFormat="1" ht="19.95" customHeight="1">
      <c r="A489" s="269">
        <v>45869</v>
      </c>
      <c r="B489" s="234" t="s">
        <v>731</v>
      </c>
      <c r="C489" s="270" t="s">
        <v>42</v>
      </c>
      <c r="D489" s="234" t="s">
        <v>730</v>
      </c>
      <c r="E489" s="234" t="s">
        <v>101</v>
      </c>
      <c r="F489" s="250" t="s">
        <v>26</v>
      </c>
      <c r="G489" s="272">
        <v>998531</v>
      </c>
      <c r="H489" s="237">
        <v>0.18</v>
      </c>
      <c r="I489" s="260">
        <v>5050</v>
      </c>
      <c r="J489" s="260">
        <f t="shared" si="31"/>
        <v>454.5</v>
      </c>
      <c r="K489" s="260">
        <f t="shared" si="29"/>
        <v>454.5</v>
      </c>
      <c r="L489" s="246"/>
      <c r="M489" s="273">
        <f>Table432[[#This Row],[Taxable Amount]]+Table432[[#This Row],[SGST]]+Table432[[#This Row],[CGST]]</f>
        <v>5959</v>
      </c>
      <c r="N489" s="274">
        <f>Table432[[#This Row],[Taxable Amount]]*1%</f>
        <v>50.5</v>
      </c>
      <c r="O489" s="262">
        <v>126</v>
      </c>
      <c r="P489" s="263">
        <v>5907</v>
      </c>
      <c r="Q489" s="264">
        <v>45877</v>
      </c>
      <c r="R489" s="265" t="s">
        <v>708</v>
      </c>
      <c r="S489" s="245">
        <f>Table432[[#This Row],[Invoice Amount]]-Table432[[#This Row],[TDS]]-Table432[[#This Row],[RTN]]-Table432[[#This Row],[RECIVED AMOUNT]]</f>
        <v>-124.5</v>
      </c>
      <c r="T489" s="267"/>
      <c r="U489" s="234"/>
      <c r="V489" s="246">
        <f>Table432[[#This Row],[BALANCE]]-Table432[[#This Row],[RECIVED AMOUNT2]]</f>
        <v>-124.5</v>
      </c>
      <c r="W489" s="268"/>
      <c r="X489" s="268"/>
    </row>
    <row r="490" spans="1:121" s="247" customFormat="1" ht="19.95" customHeight="1">
      <c r="A490" s="269">
        <v>45869</v>
      </c>
      <c r="B490" s="234" t="s">
        <v>732</v>
      </c>
      <c r="C490" s="270" t="s">
        <v>42</v>
      </c>
      <c r="D490" s="234" t="s">
        <v>730</v>
      </c>
      <c r="E490" s="234" t="s">
        <v>44</v>
      </c>
      <c r="F490" s="250" t="s">
        <v>26</v>
      </c>
      <c r="G490" s="272">
        <v>998531</v>
      </c>
      <c r="H490" s="237">
        <v>0.18</v>
      </c>
      <c r="I490" s="260">
        <v>19900</v>
      </c>
      <c r="J490" s="260">
        <f t="shared" si="31"/>
        <v>1791</v>
      </c>
      <c r="K490" s="260">
        <f t="shared" si="29"/>
        <v>1791</v>
      </c>
      <c r="L490" s="246"/>
      <c r="M490" s="273">
        <f>Table432[[#This Row],[Taxable Amount]]+Table432[[#This Row],[SGST]]+Table432[[#This Row],[CGST]]</f>
        <v>23482</v>
      </c>
      <c r="N490" s="274">
        <f>Table432[[#This Row],[Taxable Amount]]*1%</f>
        <v>199</v>
      </c>
      <c r="O490" s="262">
        <v>498</v>
      </c>
      <c r="P490" s="263">
        <v>22785</v>
      </c>
      <c r="Q490" s="264">
        <v>45877</v>
      </c>
      <c r="R490" s="265" t="s">
        <v>708</v>
      </c>
      <c r="S490" s="245">
        <f>Table432[[#This Row],[Invoice Amount]]-Table432[[#This Row],[TDS]]-Table432[[#This Row],[RTN]]-Table432[[#This Row],[RECIVED AMOUNT]]</f>
        <v>0</v>
      </c>
      <c r="T490" s="267"/>
      <c r="U490" s="234"/>
      <c r="V490" s="246">
        <f>Table432[[#This Row],[BALANCE]]-Table432[[#This Row],[RECIVED AMOUNT2]]</f>
        <v>0</v>
      </c>
      <c r="W490" s="268"/>
      <c r="X490" s="268"/>
    </row>
    <row r="491" spans="1:121" s="247" customFormat="1" ht="19.95" customHeight="1">
      <c r="A491" s="269">
        <v>45869</v>
      </c>
      <c r="B491" s="234" t="s">
        <v>733</v>
      </c>
      <c r="C491" s="270" t="s">
        <v>42</v>
      </c>
      <c r="D491" s="234" t="s">
        <v>730</v>
      </c>
      <c r="E491" s="271" t="s">
        <v>163</v>
      </c>
      <c r="F491" s="250" t="s">
        <v>26</v>
      </c>
      <c r="G491" s="272">
        <v>998531</v>
      </c>
      <c r="H491" s="237">
        <v>0.18</v>
      </c>
      <c r="I491" s="260">
        <v>21200</v>
      </c>
      <c r="J491" s="260">
        <f t="shared" si="31"/>
        <v>1908</v>
      </c>
      <c r="K491" s="260">
        <f t="shared" si="29"/>
        <v>1908</v>
      </c>
      <c r="L491" s="246"/>
      <c r="M491" s="273">
        <f>Table432[[#This Row],[Taxable Amount]]+Table432[[#This Row],[SGST]]+Table432[[#This Row],[CGST]]</f>
        <v>25016</v>
      </c>
      <c r="N491" s="274">
        <f>Table432[[#This Row],[Taxable Amount]]*1%</f>
        <v>212</v>
      </c>
      <c r="O491" s="262">
        <v>530</v>
      </c>
      <c r="P491" s="263">
        <v>24274</v>
      </c>
      <c r="Q491" s="264">
        <v>45895</v>
      </c>
      <c r="R491" s="265" t="s">
        <v>708</v>
      </c>
      <c r="S491" s="245">
        <f>Table432[[#This Row],[Invoice Amount]]-Table432[[#This Row],[TDS]]-Table432[[#This Row],[RTN]]-Table432[[#This Row],[RECIVED AMOUNT]]</f>
        <v>0</v>
      </c>
      <c r="T491" s="267"/>
      <c r="U491" s="234"/>
      <c r="V491" s="246">
        <f>Table432[[#This Row],[BALANCE]]-Table432[[#This Row],[RECIVED AMOUNT2]]</f>
        <v>0</v>
      </c>
      <c r="W491" s="268"/>
      <c r="X491" s="268"/>
    </row>
    <row r="492" spans="1:121" s="10" customFormat="1" ht="19.95" customHeight="1">
      <c r="A492" s="86">
        <v>45869</v>
      </c>
      <c r="B492" s="7" t="s">
        <v>734</v>
      </c>
      <c r="C492" s="21" t="s">
        <v>116</v>
      </c>
      <c r="D492" s="7" t="s">
        <v>117</v>
      </c>
      <c r="E492" s="7" t="s">
        <v>59</v>
      </c>
      <c r="F492" s="5" t="s">
        <v>26</v>
      </c>
      <c r="G492" s="85">
        <v>998531</v>
      </c>
      <c r="H492" s="23">
        <v>0.18</v>
      </c>
      <c r="I492" s="69">
        <v>17300</v>
      </c>
      <c r="J492" s="69">
        <f t="shared" si="31"/>
        <v>1557</v>
      </c>
      <c r="K492" s="69">
        <f t="shared" si="29"/>
        <v>1557</v>
      </c>
      <c r="L492" s="70"/>
      <c r="M492" s="94">
        <f>Table432[[#This Row],[Taxable Amount]]+Table432[[#This Row],[SGST]]+Table432[[#This Row],[CGST]]</f>
        <v>20414</v>
      </c>
      <c r="N492" s="155">
        <f>Table432[[#This Row],[Taxable Amount]]*1%</f>
        <v>173</v>
      </c>
      <c r="O492" s="157">
        <v>0</v>
      </c>
      <c r="P492" s="148">
        <v>20241</v>
      </c>
      <c r="Q492" s="97">
        <v>45918</v>
      </c>
      <c r="R492" s="118" t="s">
        <v>708</v>
      </c>
      <c r="S492" s="138">
        <f>Table432[[#This Row],[Invoice Amount]]-Table432[[#This Row],[TDS]]-Table432[[#This Row],[RTN]]-Table432[[#This Row],[RECIVED AMOUNT]]</f>
        <v>0</v>
      </c>
      <c r="T492" s="99"/>
      <c r="U492" s="7"/>
      <c r="V492" s="41">
        <f>Table432[[#This Row],[BALANCE]]-Table432[[#This Row],[RECIVED AMOUNT2]]</f>
        <v>0</v>
      </c>
      <c r="W492" s="211"/>
      <c r="X492" s="211"/>
    </row>
    <row r="493" spans="1:121" s="10" customFormat="1" ht="19.95" customHeight="1">
      <c r="A493" s="86">
        <v>45869</v>
      </c>
      <c r="B493" s="7" t="s">
        <v>735</v>
      </c>
      <c r="C493" s="7" t="s">
        <v>390</v>
      </c>
      <c r="D493" s="7" t="s">
        <v>391</v>
      </c>
      <c r="E493" s="7" t="s">
        <v>260</v>
      </c>
      <c r="F493" s="5" t="s">
        <v>26</v>
      </c>
      <c r="G493" s="85">
        <v>998531</v>
      </c>
      <c r="H493" s="23">
        <v>0.18</v>
      </c>
      <c r="I493" s="69">
        <v>1205.1600000000001</v>
      </c>
      <c r="J493" s="69">
        <f t="shared" si="31"/>
        <v>108.46440000000001</v>
      </c>
      <c r="K493" s="69">
        <f t="shared" si="29"/>
        <v>108.46440000000001</v>
      </c>
      <c r="L493" s="70"/>
      <c r="M493" s="94">
        <f>Table432[[#This Row],[Taxable Amount]]+Table432[[#This Row],[SGST]]+Table432[[#This Row],[CGST]]</f>
        <v>1422.0888000000002</v>
      </c>
      <c r="N493" s="155">
        <f>Table432[[#This Row],[Taxable Amount]]*1%</f>
        <v>12.051600000000001</v>
      </c>
      <c r="O493" s="158"/>
      <c r="P493" s="102"/>
      <c r="Q493" s="97">
        <v>45967</v>
      </c>
      <c r="R493" s="118" t="s">
        <v>708</v>
      </c>
      <c r="S493" s="138">
        <f>Table432[[#This Row],[Invoice Amount]]-Table432[[#This Row],[TDS]]-Table432[[#This Row],[RTN]]-Table432[[#This Row],[RECIVED AMOUNT]]</f>
        <v>1410.0372000000002</v>
      </c>
      <c r="T493" s="99"/>
      <c r="U493" s="7"/>
      <c r="V493" s="41">
        <f>Table432[[#This Row],[BALANCE]]-Table432[[#This Row],[RECIVED AMOUNT2]]</f>
        <v>1410.0372000000002</v>
      </c>
      <c r="W493" s="211"/>
      <c r="X493" s="211"/>
    </row>
    <row r="494" spans="1:121" s="10" customFormat="1" ht="19.95" customHeight="1">
      <c r="A494" s="86">
        <v>45869</v>
      </c>
      <c r="B494" s="7" t="s">
        <v>736</v>
      </c>
      <c r="C494" s="7" t="s">
        <v>390</v>
      </c>
      <c r="D494" s="7" t="s">
        <v>391</v>
      </c>
      <c r="E494" s="7" t="s">
        <v>260</v>
      </c>
      <c r="F494" s="5" t="s">
        <v>26</v>
      </c>
      <c r="G494" s="85">
        <v>998531</v>
      </c>
      <c r="H494" s="23">
        <v>0.18</v>
      </c>
      <c r="I494" s="69">
        <v>1448.35</v>
      </c>
      <c r="J494" s="69">
        <f t="shared" si="31"/>
        <v>130.35149999999999</v>
      </c>
      <c r="K494" s="69">
        <f t="shared" si="29"/>
        <v>130.35149999999999</v>
      </c>
      <c r="L494" s="70"/>
      <c r="M494" s="94">
        <f>Table432[[#This Row],[Taxable Amount]]+Table432[[#This Row],[SGST]]+Table432[[#This Row],[CGST]]</f>
        <v>1709.0529999999999</v>
      </c>
      <c r="N494" s="155">
        <f>Table432[[#This Row],[Taxable Amount]]*1%</f>
        <v>14.483499999999999</v>
      </c>
      <c r="O494" s="158"/>
      <c r="P494" s="102"/>
      <c r="Q494" s="97">
        <v>45967</v>
      </c>
      <c r="R494" s="118" t="s">
        <v>708</v>
      </c>
      <c r="S494" s="138">
        <f>Table432[[#This Row],[Invoice Amount]]-Table432[[#This Row],[TDS]]-Table432[[#This Row],[RTN]]-Table432[[#This Row],[RECIVED AMOUNT]]</f>
        <v>1694.5694999999998</v>
      </c>
      <c r="T494" s="99"/>
      <c r="U494" s="7"/>
      <c r="V494" s="41">
        <f>Table432[[#This Row],[BALANCE]]-Table432[[#This Row],[RECIVED AMOUNT2]]</f>
        <v>1694.5694999999998</v>
      </c>
      <c r="W494" s="211"/>
      <c r="X494" s="211"/>
    </row>
    <row r="495" spans="1:121" s="10" customFormat="1" ht="19.95" customHeight="1">
      <c r="A495" s="86">
        <v>45869</v>
      </c>
      <c r="B495" s="7" t="s">
        <v>737</v>
      </c>
      <c r="C495" s="7" t="s">
        <v>390</v>
      </c>
      <c r="D495" s="7" t="s">
        <v>391</v>
      </c>
      <c r="E495" s="7" t="s">
        <v>260</v>
      </c>
      <c r="F495" s="5" t="s">
        <v>26</v>
      </c>
      <c r="G495" s="85">
        <v>998531</v>
      </c>
      <c r="H495" s="23">
        <v>0.18</v>
      </c>
      <c r="I495" s="69">
        <v>2008.6</v>
      </c>
      <c r="J495" s="69">
        <f t="shared" si="31"/>
        <v>180.77399999999997</v>
      </c>
      <c r="K495" s="69">
        <f t="shared" si="29"/>
        <v>180.77399999999997</v>
      </c>
      <c r="L495" s="70"/>
      <c r="M495" s="94">
        <f>Table432[[#This Row],[Taxable Amount]]+Table432[[#This Row],[SGST]]+Table432[[#This Row],[CGST]]</f>
        <v>2370.1479999999997</v>
      </c>
      <c r="N495" s="155">
        <f>Table432[[#This Row],[Taxable Amount]]*1%</f>
        <v>20.085999999999999</v>
      </c>
      <c r="O495" s="158"/>
      <c r="P495" s="102"/>
      <c r="Q495" s="97">
        <v>45967</v>
      </c>
      <c r="R495" s="118" t="s">
        <v>708</v>
      </c>
      <c r="S495" s="138">
        <f>Table432[[#This Row],[Invoice Amount]]-Table432[[#This Row],[TDS]]-Table432[[#This Row],[RTN]]-Table432[[#This Row],[RECIVED AMOUNT]]</f>
        <v>2350.0619999999999</v>
      </c>
      <c r="T495" s="99"/>
      <c r="U495" s="7"/>
      <c r="V495" s="41">
        <f>Table432[[#This Row],[BALANCE]]-Table432[[#This Row],[RECIVED AMOUNT2]]</f>
        <v>2350.0619999999999</v>
      </c>
      <c r="W495" s="211"/>
      <c r="X495" s="211"/>
    </row>
    <row r="496" spans="1:121" s="10" customFormat="1" ht="19.95" customHeight="1">
      <c r="A496" s="86">
        <v>45869</v>
      </c>
      <c r="B496" s="7" t="s">
        <v>738</v>
      </c>
      <c r="C496" s="7" t="s">
        <v>390</v>
      </c>
      <c r="D496" s="7" t="s">
        <v>391</v>
      </c>
      <c r="E496" s="7" t="s">
        <v>260</v>
      </c>
      <c r="F496" s="5" t="s">
        <v>26</v>
      </c>
      <c r="G496" s="85">
        <v>998531</v>
      </c>
      <c r="H496" s="23">
        <v>0.18</v>
      </c>
      <c r="I496" s="69">
        <v>1035.8399999999999</v>
      </c>
      <c r="J496" s="69">
        <f t="shared" si="31"/>
        <v>93.2256</v>
      </c>
      <c r="K496" s="69">
        <f t="shared" si="29"/>
        <v>93.2256</v>
      </c>
      <c r="L496" s="70"/>
      <c r="M496" s="94">
        <f>Table432[[#This Row],[Taxable Amount]]+Table432[[#This Row],[SGST]]+Table432[[#This Row],[CGST]]</f>
        <v>1222.2911999999999</v>
      </c>
      <c r="N496" s="155">
        <f>Table432[[#This Row],[Taxable Amount]]*1%</f>
        <v>10.3584</v>
      </c>
      <c r="O496" s="158"/>
      <c r="P496" s="102"/>
      <c r="Q496" s="97">
        <v>45967</v>
      </c>
      <c r="R496" s="118" t="s">
        <v>708</v>
      </c>
      <c r="S496" s="138">
        <f>Table432[[#This Row],[Invoice Amount]]-Table432[[#This Row],[TDS]]-Table432[[#This Row],[RTN]]-Table432[[#This Row],[RECIVED AMOUNT]]</f>
        <v>1211.9327999999998</v>
      </c>
      <c r="T496" s="99"/>
      <c r="U496" s="7"/>
      <c r="V496" s="41">
        <f>Table432[[#This Row],[BALANCE]]-Table432[[#This Row],[RECIVED AMOUNT2]]</f>
        <v>1211.9327999999998</v>
      </c>
      <c r="W496" s="211"/>
      <c r="X496" s="211"/>
    </row>
    <row r="497" spans="1:24" s="10" customFormat="1" ht="19.95" customHeight="1">
      <c r="A497" s="86">
        <v>45869</v>
      </c>
      <c r="B497" s="7" t="s">
        <v>739</v>
      </c>
      <c r="C497" s="7" t="s">
        <v>390</v>
      </c>
      <c r="D497" s="7" t="s">
        <v>391</v>
      </c>
      <c r="E497" s="7" t="s">
        <v>260</v>
      </c>
      <c r="F497" s="5" t="s">
        <v>26</v>
      </c>
      <c r="G497" s="85">
        <v>998531</v>
      </c>
      <c r="H497" s="23">
        <v>0.18</v>
      </c>
      <c r="I497" s="69">
        <v>972.76</v>
      </c>
      <c r="J497" s="69">
        <f t="shared" si="31"/>
        <v>87.548400000000001</v>
      </c>
      <c r="K497" s="69">
        <f t="shared" si="29"/>
        <v>87.548400000000001</v>
      </c>
      <c r="L497" s="70"/>
      <c r="M497" s="94">
        <f>Table432[[#This Row],[Taxable Amount]]+Table432[[#This Row],[SGST]]+Table432[[#This Row],[CGST]]</f>
        <v>1147.8567999999998</v>
      </c>
      <c r="N497" s="155">
        <f>Table432[[#This Row],[Taxable Amount]]*1%</f>
        <v>9.7276000000000007</v>
      </c>
      <c r="O497" s="158"/>
      <c r="P497" s="102"/>
      <c r="Q497" s="97">
        <v>45967</v>
      </c>
      <c r="R497" s="118" t="s">
        <v>708</v>
      </c>
      <c r="S497" s="138">
        <f>Table432[[#This Row],[Invoice Amount]]-Table432[[#This Row],[TDS]]-Table432[[#This Row],[RTN]]-Table432[[#This Row],[RECIVED AMOUNT]]</f>
        <v>1138.1291999999999</v>
      </c>
      <c r="T497" s="99"/>
      <c r="U497" s="7"/>
      <c r="V497" s="41">
        <f>Table432[[#This Row],[BALANCE]]-Table432[[#This Row],[RECIVED AMOUNT2]]</f>
        <v>1138.1291999999999</v>
      </c>
      <c r="W497" s="211"/>
      <c r="X497" s="211"/>
    </row>
    <row r="498" spans="1:24" s="10" customFormat="1" ht="19.95" customHeight="1">
      <c r="A498" s="86">
        <v>45869</v>
      </c>
      <c r="B498" s="7" t="s">
        <v>740</v>
      </c>
      <c r="C498" s="7" t="s">
        <v>390</v>
      </c>
      <c r="D498" s="7" t="s">
        <v>391</v>
      </c>
      <c r="E498" s="7" t="s">
        <v>260</v>
      </c>
      <c r="F498" s="5" t="s">
        <v>26</v>
      </c>
      <c r="G498" s="85">
        <v>998531</v>
      </c>
      <c r="H498" s="23">
        <v>0.18</v>
      </c>
      <c r="I498" s="69">
        <v>930.43</v>
      </c>
      <c r="J498" s="69">
        <f t="shared" si="31"/>
        <v>83.738699999999994</v>
      </c>
      <c r="K498" s="69">
        <f t="shared" si="29"/>
        <v>83.738699999999994</v>
      </c>
      <c r="L498" s="70"/>
      <c r="M498" s="94">
        <f>Table432[[#This Row],[Taxable Amount]]+Table432[[#This Row],[SGST]]+Table432[[#This Row],[CGST]]</f>
        <v>1097.9074000000001</v>
      </c>
      <c r="N498" s="155">
        <f>Table432[[#This Row],[Taxable Amount]]*1%</f>
        <v>9.3042999999999996</v>
      </c>
      <c r="O498" s="158"/>
      <c r="P498" s="102"/>
      <c r="Q498" s="97">
        <v>45967</v>
      </c>
      <c r="R498" s="118" t="s">
        <v>708</v>
      </c>
      <c r="S498" s="138">
        <f>Table432[[#This Row],[Invoice Amount]]-Table432[[#This Row],[TDS]]-Table432[[#This Row],[RTN]]-Table432[[#This Row],[RECIVED AMOUNT]]</f>
        <v>1088.6031</v>
      </c>
      <c r="T498" s="99"/>
      <c r="U498" s="7"/>
      <c r="V498" s="41">
        <f>Table432[[#This Row],[BALANCE]]-Table432[[#This Row],[RECIVED AMOUNT2]]</f>
        <v>1088.6031</v>
      </c>
      <c r="W498" s="211"/>
      <c r="X498" s="211"/>
    </row>
    <row r="499" spans="1:24" s="10" customFormat="1" ht="19.95" customHeight="1">
      <c r="A499" s="86">
        <v>45869</v>
      </c>
      <c r="B499" s="7" t="s">
        <v>741</v>
      </c>
      <c r="C499" s="7" t="s">
        <v>390</v>
      </c>
      <c r="D499" s="7" t="s">
        <v>391</v>
      </c>
      <c r="E499" s="7" t="s">
        <v>260</v>
      </c>
      <c r="F499" s="5" t="s">
        <v>26</v>
      </c>
      <c r="G499" s="85">
        <v>998531</v>
      </c>
      <c r="H499" s="23">
        <v>0.18</v>
      </c>
      <c r="I499" s="69">
        <v>698.86</v>
      </c>
      <c r="J499" s="69">
        <f t="shared" si="31"/>
        <v>62.897399999999998</v>
      </c>
      <c r="K499" s="69">
        <f t="shared" si="29"/>
        <v>62.897399999999998</v>
      </c>
      <c r="L499" s="70"/>
      <c r="M499" s="94">
        <f>Table432[[#This Row],[Taxable Amount]]+Table432[[#This Row],[SGST]]+Table432[[#This Row],[CGST]]</f>
        <v>824.65479999999991</v>
      </c>
      <c r="N499" s="155">
        <f>Table432[[#This Row],[Taxable Amount]]*1%</f>
        <v>6.9885999999999999</v>
      </c>
      <c r="O499" s="158"/>
      <c r="P499" s="102">
        <v>9712</v>
      </c>
      <c r="Q499" s="97">
        <v>45967</v>
      </c>
      <c r="R499" s="118" t="s">
        <v>708</v>
      </c>
      <c r="S499" s="138">
        <f>Table432[[#This Row],[Invoice Amount]]-Table432[[#This Row],[TDS]]-Table432[[#This Row],[RTN]]-Table432[[#This Row],[RECIVED AMOUNT]]</f>
        <v>-8894.3338000000003</v>
      </c>
      <c r="T499" s="99"/>
      <c r="U499" s="7"/>
      <c r="V499" s="41">
        <f>Table432[[#This Row],[BALANCE]]-Table432[[#This Row],[RECIVED AMOUNT2]]</f>
        <v>-8894.3338000000003</v>
      </c>
      <c r="W499" s="211"/>
      <c r="X499" s="211"/>
    </row>
    <row r="500" spans="1:24" s="10" customFormat="1" ht="19.95" customHeight="1">
      <c r="A500" s="86">
        <v>45869</v>
      </c>
      <c r="B500" s="7" t="s">
        <v>742</v>
      </c>
      <c r="C500" s="7" t="s">
        <v>290</v>
      </c>
      <c r="D500" s="7" t="s">
        <v>291</v>
      </c>
      <c r="E500" s="7" t="s">
        <v>25</v>
      </c>
      <c r="F500" s="5" t="s">
        <v>26</v>
      </c>
      <c r="G500" s="85">
        <v>998531</v>
      </c>
      <c r="H500" s="23">
        <v>0.18</v>
      </c>
      <c r="I500" s="69">
        <v>3000</v>
      </c>
      <c r="J500" s="69">
        <f t="shared" si="31"/>
        <v>270</v>
      </c>
      <c r="K500" s="69">
        <f t="shared" si="29"/>
        <v>270</v>
      </c>
      <c r="L500" s="70"/>
      <c r="M500" s="94">
        <f>Table432[[#This Row],[Taxable Amount]]+Table432[[#This Row],[SGST]]+Table432[[#This Row],[CGST]]</f>
        <v>3540</v>
      </c>
      <c r="N500" s="155">
        <f>Table432[[#This Row],[Taxable Amount]]*0%</f>
        <v>0</v>
      </c>
      <c r="O500" s="158"/>
      <c r="P500" s="119">
        <f>Table432[[#This Row],[Taxable Amount]]+Table432[[#This Row],[SGST]]+Table432[[#This Row],[CGST]]</f>
        <v>3540</v>
      </c>
      <c r="Q500" s="97">
        <v>45881</v>
      </c>
      <c r="R500" s="118" t="s">
        <v>708</v>
      </c>
      <c r="S500" s="138">
        <f>Table432[[#This Row],[Invoice Amount]]-Table432[[#This Row],[TDS]]-Table432[[#This Row],[RTN]]-Table432[[#This Row],[RECIVED AMOUNT]]</f>
        <v>0</v>
      </c>
      <c r="T500" s="99"/>
      <c r="U500" s="7"/>
      <c r="V500" s="41">
        <f>Table432[[#This Row],[BALANCE]]-Table432[[#This Row],[RECIVED AMOUNT2]]</f>
        <v>0</v>
      </c>
      <c r="W500" s="211"/>
      <c r="X500" s="211"/>
    </row>
    <row r="501" spans="1:24" s="10" customFormat="1" ht="19.95" customHeight="1">
      <c r="A501" s="86">
        <v>45869</v>
      </c>
      <c r="B501" s="7" t="s">
        <v>743</v>
      </c>
      <c r="C501" s="3" t="s">
        <v>955</v>
      </c>
      <c r="D501" s="7" t="s">
        <v>205</v>
      </c>
      <c r="E501" s="7" t="s">
        <v>67</v>
      </c>
      <c r="F501" s="5" t="s">
        <v>26</v>
      </c>
      <c r="G501" s="85">
        <v>998531</v>
      </c>
      <c r="H501" s="23">
        <v>0.18</v>
      </c>
      <c r="I501" s="69">
        <v>10000</v>
      </c>
      <c r="J501" s="69">
        <f t="shared" si="31"/>
        <v>900</v>
      </c>
      <c r="K501" s="69">
        <f t="shared" si="29"/>
        <v>900</v>
      </c>
      <c r="L501" s="70"/>
      <c r="M501" s="94">
        <f>Table432[[#This Row],[Taxable Amount]]+Table432[[#This Row],[SGST]]+Table432[[#This Row],[CGST]]</f>
        <v>11800</v>
      </c>
      <c r="N501" s="155">
        <f>Table432[[#This Row],[Taxable Amount]]*1%</f>
        <v>100</v>
      </c>
      <c r="O501" s="158"/>
      <c r="P501" s="156">
        <v>11700</v>
      </c>
      <c r="Q501" s="97">
        <v>45943</v>
      </c>
      <c r="R501" s="118" t="s">
        <v>708</v>
      </c>
      <c r="S501" s="138">
        <f>Table432[[#This Row],[Invoice Amount]]-Table432[[#This Row],[TDS]]-Table432[[#This Row],[RTN]]-Table432[[#This Row],[RECIVED AMOUNT]]</f>
        <v>0</v>
      </c>
      <c r="T501" s="99"/>
      <c r="U501" s="7"/>
      <c r="V501" s="41">
        <f>Table432[[#This Row],[BALANCE]]-Table432[[#This Row],[RECIVED AMOUNT2]]</f>
        <v>0</v>
      </c>
      <c r="W501" s="211"/>
      <c r="X501" s="211"/>
    </row>
    <row r="502" spans="1:24" s="10" customFormat="1" ht="19.95" customHeight="1">
      <c r="A502" s="92">
        <v>45869</v>
      </c>
      <c r="B502" s="7" t="s">
        <v>744</v>
      </c>
      <c r="C502" s="7" t="s">
        <v>372</v>
      </c>
      <c r="D502" s="7" t="s">
        <v>373</v>
      </c>
      <c r="E502" s="7" t="s">
        <v>374</v>
      </c>
      <c r="F502" s="5" t="s">
        <v>26</v>
      </c>
      <c r="G502" s="5">
        <v>998531</v>
      </c>
      <c r="H502" s="23">
        <v>0.18</v>
      </c>
      <c r="I502" s="69">
        <v>1250</v>
      </c>
      <c r="J502" s="69">
        <f t="shared" si="31"/>
        <v>112.5</v>
      </c>
      <c r="K502" s="69">
        <f t="shared" si="29"/>
        <v>112.5</v>
      </c>
      <c r="L502" s="69"/>
      <c r="M502" s="69">
        <f>Table432[[#This Row],[Taxable Amount]]+Table432[[#This Row],[SGST]]+Table432[[#This Row],[CGST]]</f>
        <v>1475</v>
      </c>
      <c r="N502" s="110">
        <v>0</v>
      </c>
      <c r="O502" s="182">
        <v>0</v>
      </c>
      <c r="P502" s="147">
        <f>Table432[[#This Row],[Taxable Amount]]+Table432[[#This Row],[SGST]]+Table432[[#This Row],[CGST]]</f>
        <v>1475</v>
      </c>
      <c r="Q502" s="97">
        <v>45915</v>
      </c>
      <c r="R502" s="118" t="s">
        <v>708</v>
      </c>
      <c r="S502" s="138">
        <f>Table432[[#This Row],[Invoice Amount]]-Table432[[#This Row],[TDS]]-Table432[[#This Row],[RTN]]-Table432[[#This Row],[RECIVED AMOUNT]]</f>
        <v>0</v>
      </c>
      <c r="T502" s="99"/>
      <c r="U502" s="7"/>
      <c r="V502" s="41">
        <f>Table432[[#This Row],[BALANCE]]-Table432[[#This Row],[RECIVED AMOUNT2]]</f>
        <v>0</v>
      </c>
      <c r="W502" s="211"/>
      <c r="X502" s="211"/>
    </row>
    <row r="503" spans="1:24" s="481" customFormat="1" ht="19.95" customHeight="1">
      <c r="A503" s="485">
        <v>45869</v>
      </c>
      <c r="B503" s="482" t="s">
        <v>745</v>
      </c>
      <c r="C503" s="482" t="s">
        <v>319</v>
      </c>
      <c r="D503" s="482" t="s">
        <v>320</v>
      </c>
      <c r="E503" s="482" t="s">
        <v>59</v>
      </c>
      <c r="F503" s="486" t="s">
        <v>26</v>
      </c>
      <c r="G503" s="486">
        <v>998531</v>
      </c>
      <c r="H503" s="470">
        <v>0.18</v>
      </c>
      <c r="I503" s="487">
        <v>38750</v>
      </c>
      <c r="J503" s="487">
        <f t="shared" si="31"/>
        <v>3487.5</v>
      </c>
      <c r="K503" s="487">
        <f t="shared" si="29"/>
        <v>3487.5</v>
      </c>
      <c r="L503" s="487"/>
      <c r="M503" s="487">
        <f>Table432[[#This Row],[Taxable Amount]]+Table432[[#This Row],[SGST]]+Table432[[#This Row],[CGST]]</f>
        <v>45725</v>
      </c>
      <c r="N503" s="488">
        <f>Table432[[#This Row],[Taxable Amount]]*1%</f>
        <v>387.5</v>
      </c>
      <c r="O503" s="512"/>
      <c r="P503" s="490">
        <v>45337</v>
      </c>
      <c r="Q503" s="491">
        <v>45895</v>
      </c>
      <c r="R503" s="492" t="s">
        <v>708</v>
      </c>
      <c r="S503" s="479">
        <f>Table432[[#This Row],[Invoice Amount]]-Table432[[#This Row],[TDS]]-Table432[[#This Row],[RTN]]-Table432[[#This Row],[RECIVED AMOUNT]]</f>
        <v>0.5</v>
      </c>
      <c r="T503" s="498"/>
      <c r="U503" s="482"/>
      <c r="V503" s="480">
        <f>Table432[[#This Row],[BALANCE]]-Table432[[#This Row],[RECIVED AMOUNT2]]</f>
        <v>0.5</v>
      </c>
      <c r="W503" s="499"/>
      <c r="X503" s="499"/>
    </row>
    <row r="504" spans="1:24" s="10" customFormat="1" ht="19.95" customHeight="1">
      <c r="A504" s="92">
        <v>45869</v>
      </c>
      <c r="B504" s="7" t="s">
        <v>746</v>
      </c>
      <c r="C504" s="7" t="s">
        <v>567</v>
      </c>
      <c r="D504" s="7" t="s">
        <v>568</v>
      </c>
      <c r="E504" s="7" t="s">
        <v>232</v>
      </c>
      <c r="F504" s="5" t="s">
        <v>26</v>
      </c>
      <c r="G504" s="5">
        <v>998531</v>
      </c>
      <c r="H504" s="23">
        <v>0.18</v>
      </c>
      <c r="I504" s="69">
        <v>1000</v>
      </c>
      <c r="J504" s="69">
        <f t="shared" si="31"/>
        <v>90</v>
      </c>
      <c r="K504" s="69">
        <f t="shared" si="29"/>
        <v>90</v>
      </c>
      <c r="L504" s="69"/>
      <c r="M504" s="69">
        <f>Table432[[#This Row],[Taxable Amount]]+Table432[[#This Row],[SGST]]+Table432[[#This Row],[CGST]]</f>
        <v>1180</v>
      </c>
      <c r="N504" s="110"/>
      <c r="O504" s="182"/>
      <c r="P504" s="102">
        <v>1180</v>
      </c>
      <c r="Q504" s="97">
        <v>45934</v>
      </c>
      <c r="R504" s="118" t="s">
        <v>708</v>
      </c>
      <c r="S504" s="138">
        <f>Table432[[#This Row],[Invoice Amount]]-Table432[[#This Row],[TDS]]-Table432[[#This Row],[RTN]]-Table432[[#This Row],[RECIVED AMOUNT]]</f>
        <v>0</v>
      </c>
      <c r="T504" s="99"/>
      <c r="U504" s="7"/>
      <c r="V504" s="41">
        <f>Table432[[#This Row],[BALANCE]]-Table432[[#This Row],[RECIVED AMOUNT2]]</f>
        <v>0</v>
      </c>
      <c r="W504" s="211"/>
      <c r="X504" s="211"/>
    </row>
    <row r="505" spans="1:24" s="10" customFormat="1" ht="19.95" customHeight="1">
      <c r="A505" s="92">
        <v>45869</v>
      </c>
      <c r="B505" s="7" t="s">
        <v>747</v>
      </c>
      <c r="C505" s="7" t="s">
        <v>720</v>
      </c>
      <c r="D505" s="7" t="s">
        <v>721</v>
      </c>
      <c r="E505" s="7" t="s">
        <v>722</v>
      </c>
      <c r="F505" s="5" t="s">
        <v>26</v>
      </c>
      <c r="G505" s="5">
        <v>998531</v>
      </c>
      <c r="H505" s="23">
        <v>0.18</v>
      </c>
      <c r="I505" s="69">
        <v>15500</v>
      </c>
      <c r="J505" s="69">
        <f t="shared" si="31"/>
        <v>1395</v>
      </c>
      <c r="K505" s="69">
        <f t="shared" si="29"/>
        <v>1395</v>
      </c>
      <c r="L505" s="69"/>
      <c r="M505" s="69">
        <f>Table432[[#This Row],[Taxable Amount]]+Table432[[#This Row],[SGST]]+Table432[[#This Row],[CGST]]</f>
        <v>18290</v>
      </c>
      <c r="N505" s="110"/>
      <c r="O505" s="182"/>
      <c r="P505" s="119">
        <f>Table432[[#This Row],[Taxable Amount]]+Table432[[#This Row],[SGST]]+Table432[[#This Row],[CGST]]</f>
        <v>18290</v>
      </c>
      <c r="Q505" s="97">
        <v>45878</v>
      </c>
      <c r="R505" s="118" t="s">
        <v>708</v>
      </c>
      <c r="S505" s="138">
        <f>Table432[[#This Row],[Invoice Amount]]-Table432[[#This Row],[TDS]]-Table432[[#This Row],[RTN]]-Table432[[#This Row],[RECIVED AMOUNT]]</f>
        <v>0</v>
      </c>
      <c r="T505" s="99"/>
      <c r="U505" s="7"/>
      <c r="V505" s="41">
        <f>Table432[[#This Row],[BALANCE]]-Table432[[#This Row],[RECIVED AMOUNT2]]</f>
        <v>0</v>
      </c>
      <c r="W505" s="211"/>
      <c r="X505" s="211"/>
    </row>
    <row r="506" spans="1:24" s="10" customFormat="1" ht="19.95" customHeight="1">
      <c r="A506" s="92">
        <v>45869</v>
      </c>
      <c r="B506" s="7" t="s">
        <v>748</v>
      </c>
      <c r="C506" s="7" t="s">
        <v>23</v>
      </c>
      <c r="D506" s="7" t="s">
        <v>24</v>
      </c>
      <c r="E506" s="7" t="s">
        <v>62</v>
      </c>
      <c r="F506" s="7" t="s">
        <v>560</v>
      </c>
      <c r="G506" s="5">
        <v>998531</v>
      </c>
      <c r="H506" s="23">
        <v>0.18</v>
      </c>
      <c r="I506" s="69">
        <v>7525</v>
      </c>
      <c r="J506" s="69">
        <f t="shared" si="31"/>
        <v>677.25</v>
      </c>
      <c r="K506" s="69">
        <f t="shared" si="29"/>
        <v>677.25</v>
      </c>
      <c r="L506" s="69"/>
      <c r="M506" s="69">
        <f>Table432[[#This Row],[Taxable Amount]]+Table432[[#This Row],[SGST]]+Table432[[#This Row],[CGST]]</f>
        <v>8879.5</v>
      </c>
      <c r="N506" s="110">
        <f>Table432[[#This Row],[Taxable Amount]]*1%</f>
        <v>75.25</v>
      </c>
      <c r="O506" s="182"/>
      <c r="P506" s="102"/>
      <c r="Q506" s="134">
        <v>46039</v>
      </c>
      <c r="R506" s="118" t="s">
        <v>708</v>
      </c>
      <c r="S506" s="138">
        <f>Table432[[#This Row],[Invoice Amount]]-Table432[[#This Row],[TDS]]-Table432[[#This Row],[RTN]]-Table432[[#This Row],[RECIVED AMOUNT]]</f>
        <v>8804.25</v>
      </c>
      <c r="T506" s="99"/>
      <c r="U506" s="7"/>
      <c r="V506" s="41">
        <f>Table432[[#This Row],[BALANCE]]-Table432[[#This Row],[RECIVED AMOUNT2]]</f>
        <v>8804.25</v>
      </c>
      <c r="W506" s="211"/>
      <c r="X506" s="211"/>
    </row>
    <row r="507" spans="1:24" s="10" customFormat="1" ht="19.95" customHeight="1">
      <c r="A507" s="92">
        <v>45869</v>
      </c>
      <c r="B507" s="7" t="s">
        <v>749</v>
      </c>
      <c r="C507" s="7" t="s">
        <v>720</v>
      </c>
      <c r="D507" s="7" t="s">
        <v>721</v>
      </c>
      <c r="E507" s="7" t="s">
        <v>750</v>
      </c>
      <c r="F507" s="5" t="s">
        <v>26</v>
      </c>
      <c r="G507" s="5">
        <v>998531</v>
      </c>
      <c r="H507" s="23">
        <v>0.18</v>
      </c>
      <c r="I507" s="69">
        <v>9720</v>
      </c>
      <c r="J507" s="69">
        <f t="shared" si="31"/>
        <v>874.8</v>
      </c>
      <c r="K507" s="69">
        <f t="shared" si="29"/>
        <v>874.8</v>
      </c>
      <c r="L507" s="69"/>
      <c r="M507" s="69">
        <f>Table432[[#This Row],[Taxable Amount]]+Table432[[#This Row],[SGST]]+Table432[[#This Row],[CGST]]</f>
        <v>11469.599999999999</v>
      </c>
      <c r="N507" s="110"/>
      <c r="O507" s="182"/>
      <c r="P507" s="119">
        <v>11505</v>
      </c>
      <c r="Q507" s="97">
        <v>45899</v>
      </c>
      <c r="R507" s="118" t="s">
        <v>708</v>
      </c>
      <c r="S507" s="138">
        <f>Table432[[#This Row],[Invoice Amount]]-Table432[[#This Row],[TDS]]-Table432[[#This Row],[RTN]]-Table432[[#This Row],[RECIVED AMOUNT]]</f>
        <v>-35.400000000001455</v>
      </c>
      <c r="T507" s="99"/>
      <c r="U507" s="7"/>
      <c r="V507" s="41">
        <f>Table432[[#This Row],[BALANCE]]-Table432[[#This Row],[RECIVED AMOUNT2]]</f>
        <v>-35.400000000001455</v>
      </c>
      <c r="W507" s="211"/>
      <c r="X507" s="211"/>
    </row>
    <row r="508" spans="1:24" s="10" customFormat="1" ht="19.95" customHeight="1">
      <c r="A508" s="2">
        <v>45870</v>
      </c>
      <c r="B508" s="3" t="s">
        <v>751</v>
      </c>
      <c r="C508" s="3" t="s">
        <v>173</v>
      </c>
      <c r="D508" s="3" t="s">
        <v>174</v>
      </c>
      <c r="E508" s="3" t="s">
        <v>62</v>
      </c>
      <c r="F508" s="4" t="s">
        <v>26</v>
      </c>
      <c r="G508" s="5">
        <v>998531</v>
      </c>
      <c r="H508" s="23">
        <v>0.18</v>
      </c>
      <c r="I508" s="9">
        <v>8800</v>
      </c>
      <c r="J508" s="9">
        <f t="shared" si="31"/>
        <v>792</v>
      </c>
      <c r="K508" s="9">
        <f t="shared" si="29"/>
        <v>792</v>
      </c>
      <c r="L508" s="9"/>
      <c r="M508" s="9">
        <f>Table432[[#This Row],[Taxable Amount]]+Table432[[#This Row],[SGST]]+Table432[[#This Row],[CGST]]</f>
        <v>10384</v>
      </c>
      <c r="N508" s="67">
        <f>Table432[[#This Row],[Taxable Amount]]*1%</f>
        <v>88</v>
      </c>
      <c r="O508" s="150"/>
      <c r="P508" s="156">
        <v>10296</v>
      </c>
      <c r="Q508" s="59">
        <v>45934</v>
      </c>
      <c r="R508" s="120" t="s">
        <v>752</v>
      </c>
      <c r="S508" s="138">
        <f>Table432[[#This Row],[Invoice Amount]]-Table432[[#This Row],[TDS]]-Table432[[#This Row],[RTN]]-Table432[[#This Row],[RECIVED AMOUNT]]</f>
        <v>0</v>
      </c>
      <c r="T508" s="55"/>
      <c r="U508" s="3"/>
      <c r="V508" s="41">
        <f>Table432[[#This Row],[BALANCE]]-Table432[[#This Row],[RECIVED AMOUNT2]]</f>
        <v>0</v>
      </c>
      <c r="W508" s="211"/>
      <c r="X508" s="211"/>
    </row>
    <row r="509" spans="1:24" ht="19.95" customHeight="1">
      <c r="A509" s="2">
        <v>45874</v>
      </c>
      <c r="B509" s="3" t="s">
        <v>753</v>
      </c>
      <c r="C509" s="3" t="s">
        <v>674</v>
      </c>
      <c r="D509" s="3" t="s">
        <v>675</v>
      </c>
      <c r="E509" s="3" t="s">
        <v>676</v>
      </c>
      <c r="F509" s="4" t="s">
        <v>26</v>
      </c>
      <c r="G509" s="4">
        <v>998531</v>
      </c>
      <c r="H509" s="23">
        <v>0.18</v>
      </c>
      <c r="I509" s="9">
        <v>8900</v>
      </c>
      <c r="J509" s="9">
        <f t="shared" si="31"/>
        <v>801</v>
      </c>
      <c r="K509" s="9">
        <f t="shared" si="29"/>
        <v>801</v>
      </c>
      <c r="L509" s="9"/>
      <c r="M509" s="9">
        <f>Table432[[#This Row],[Taxable Amount]]+Table432[[#This Row],[SGST]]+Table432[[#This Row],[CGST]]</f>
        <v>10502</v>
      </c>
      <c r="N509" s="67">
        <f>Table432[[#This Row],[Taxable Amount]]*1%</f>
        <v>89</v>
      </c>
      <c r="O509" s="150"/>
      <c r="P509" s="57">
        <v>10413</v>
      </c>
      <c r="Q509" s="59">
        <v>46020</v>
      </c>
      <c r="R509" s="117" t="s">
        <v>752</v>
      </c>
      <c r="S509" s="138">
        <f>Table432[[#This Row],[Invoice Amount]]-Table432[[#This Row],[TDS]]-Table432[[#This Row],[RTN]]-Table432[[#This Row],[RECIVED AMOUNT]]</f>
        <v>0</v>
      </c>
      <c r="T509" s="55"/>
      <c r="U509" s="3"/>
      <c r="V509" s="41">
        <f>Table432[[#This Row],[BALANCE]]-Table432[[#This Row],[RECIVED AMOUNT2]]</f>
        <v>0</v>
      </c>
      <c r="W509" s="50"/>
      <c r="X509" s="50"/>
    </row>
    <row r="510" spans="1:24" ht="19.95" customHeight="1">
      <c r="A510" s="2">
        <v>45874</v>
      </c>
      <c r="B510" s="3" t="s">
        <v>754</v>
      </c>
      <c r="C510" s="3" t="s">
        <v>674</v>
      </c>
      <c r="D510" s="3" t="s">
        <v>675</v>
      </c>
      <c r="E510" s="3" t="s">
        <v>678</v>
      </c>
      <c r="F510" s="4" t="s">
        <v>26</v>
      </c>
      <c r="G510" s="4">
        <v>998531</v>
      </c>
      <c r="H510" s="23">
        <v>0.18</v>
      </c>
      <c r="I510" s="9">
        <v>2950</v>
      </c>
      <c r="J510" s="9">
        <f t="shared" si="31"/>
        <v>265.5</v>
      </c>
      <c r="K510" s="9">
        <f t="shared" si="29"/>
        <v>265.5</v>
      </c>
      <c r="L510" s="9"/>
      <c r="M510" s="9">
        <f>Table432[[#This Row],[Taxable Amount]]+Table432[[#This Row],[SGST]]+Table432[[#This Row],[CGST]]</f>
        <v>3481</v>
      </c>
      <c r="N510" s="67">
        <f>Table432[[#This Row],[Taxable Amount]]*1%</f>
        <v>29.5</v>
      </c>
      <c r="O510" s="150"/>
      <c r="P510" s="57">
        <v>3451</v>
      </c>
      <c r="Q510" s="59">
        <v>46020</v>
      </c>
      <c r="R510" s="117" t="s">
        <v>752</v>
      </c>
      <c r="S510" s="138">
        <f>Table432[[#This Row],[Invoice Amount]]-Table432[[#This Row],[TDS]]-Table432[[#This Row],[RTN]]-Table432[[#This Row],[RECIVED AMOUNT]]</f>
        <v>0.5</v>
      </c>
      <c r="T510" s="55"/>
      <c r="U510" s="3"/>
      <c r="V510" s="41">
        <f>Table432[[#This Row],[BALANCE]]-Table432[[#This Row],[RECIVED AMOUNT2]]</f>
        <v>0.5</v>
      </c>
      <c r="W510" s="50"/>
      <c r="X510" s="50"/>
    </row>
    <row r="511" spans="1:24" ht="19.95" customHeight="1">
      <c r="A511" s="2">
        <v>45874</v>
      </c>
      <c r="B511" s="3" t="s">
        <v>755</v>
      </c>
      <c r="C511" s="3" t="s">
        <v>674</v>
      </c>
      <c r="D511" s="3" t="s">
        <v>675</v>
      </c>
      <c r="E511" s="3" t="s">
        <v>680</v>
      </c>
      <c r="F511" s="4" t="s">
        <v>26</v>
      </c>
      <c r="G511" s="4">
        <v>998531</v>
      </c>
      <c r="H511" s="23">
        <v>0.18</v>
      </c>
      <c r="I511" s="9">
        <v>5200</v>
      </c>
      <c r="J511" s="9">
        <f t="shared" si="31"/>
        <v>468</v>
      </c>
      <c r="K511" s="9">
        <f t="shared" si="29"/>
        <v>468</v>
      </c>
      <c r="L511" s="9"/>
      <c r="M511" s="9">
        <f>Table432[[#This Row],[Taxable Amount]]+Table432[[#This Row],[SGST]]+Table432[[#This Row],[CGST]]</f>
        <v>6136</v>
      </c>
      <c r="N511" s="67">
        <f>Table432[[#This Row],[Taxable Amount]]*1%</f>
        <v>52</v>
      </c>
      <c r="O511" s="150"/>
      <c r="P511" s="57">
        <v>6084</v>
      </c>
      <c r="Q511" s="59">
        <v>46101</v>
      </c>
      <c r="R511" s="117" t="s">
        <v>752</v>
      </c>
      <c r="S511" s="138">
        <f>Table432[[#This Row],[Invoice Amount]]-Table432[[#This Row],[TDS]]-Table432[[#This Row],[RTN]]-Table432[[#This Row],[RECIVED AMOUNT]]</f>
        <v>0</v>
      </c>
      <c r="T511" s="55"/>
      <c r="U511" s="3"/>
      <c r="V511" s="41">
        <f>Table432[[#This Row],[BALANCE]]-Table432[[#This Row],[RECIVED AMOUNT2]]</f>
        <v>0</v>
      </c>
      <c r="W511" s="50"/>
      <c r="X511" s="50"/>
    </row>
    <row r="512" spans="1:24" ht="19.95" customHeight="1">
      <c r="A512" s="2">
        <v>45874</v>
      </c>
      <c r="B512" s="3" t="s">
        <v>756</v>
      </c>
      <c r="C512" s="3" t="s">
        <v>674</v>
      </c>
      <c r="D512" s="3" t="s">
        <v>675</v>
      </c>
      <c r="E512" s="3" t="s">
        <v>684</v>
      </c>
      <c r="F512" s="4" t="s">
        <v>26</v>
      </c>
      <c r="G512" s="4">
        <v>998531</v>
      </c>
      <c r="H512" s="23">
        <v>0.18</v>
      </c>
      <c r="I512" s="9">
        <v>3000</v>
      </c>
      <c r="J512" s="9">
        <f t="shared" si="31"/>
        <v>270</v>
      </c>
      <c r="K512" s="9">
        <f t="shared" si="29"/>
        <v>270</v>
      </c>
      <c r="L512" s="9"/>
      <c r="M512" s="9">
        <f>Table432[[#This Row],[Taxable Amount]]+Table432[[#This Row],[SGST]]+Table432[[#This Row],[CGST]]</f>
        <v>3540</v>
      </c>
      <c r="N512" s="67">
        <f>Table432[[#This Row],[Taxable Amount]]*1%</f>
        <v>30</v>
      </c>
      <c r="O512" s="150"/>
      <c r="P512" s="57">
        <v>3510</v>
      </c>
      <c r="Q512" s="59">
        <v>46020</v>
      </c>
      <c r="R512" s="117" t="s">
        <v>752</v>
      </c>
      <c r="S512" s="138">
        <f>Table432[[#This Row],[Invoice Amount]]-Table432[[#This Row],[TDS]]-Table432[[#This Row],[RTN]]-Table432[[#This Row],[RECIVED AMOUNT]]</f>
        <v>0</v>
      </c>
      <c r="T512" s="55"/>
      <c r="U512" s="3"/>
      <c r="V512" s="41">
        <f>Table432[[#This Row],[BALANCE]]-Table432[[#This Row],[RECIVED AMOUNT2]]</f>
        <v>0</v>
      </c>
      <c r="W512" s="50"/>
      <c r="X512" s="50"/>
    </row>
    <row r="513" spans="1:24" ht="19.95" customHeight="1">
      <c r="A513" s="2">
        <v>45874</v>
      </c>
      <c r="B513" s="3" t="s">
        <v>757</v>
      </c>
      <c r="C513" s="3" t="s">
        <v>674</v>
      </c>
      <c r="D513" s="3" t="s">
        <v>675</v>
      </c>
      <c r="E513" s="3" t="s">
        <v>714</v>
      </c>
      <c r="F513" s="4" t="s">
        <v>26</v>
      </c>
      <c r="G513" s="4">
        <v>998531</v>
      </c>
      <c r="H513" s="23">
        <v>0.18</v>
      </c>
      <c r="I513" s="9">
        <v>2650</v>
      </c>
      <c r="J513" s="9">
        <f t="shared" si="31"/>
        <v>238.5</v>
      </c>
      <c r="K513" s="9">
        <f t="shared" si="29"/>
        <v>238.5</v>
      </c>
      <c r="L513" s="9"/>
      <c r="M513" s="9">
        <f>Table432[[#This Row],[Taxable Amount]]+Table432[[#This Row],[SGST]]+Table432[[#This Row],[CGST]]</f>
        <v>3127</v>
      </c>
      <c r="N513" s="67">
        <f>Table432[[#This Row],[Taxable Amount]]*1%</f>
        <v>26.5</v>
      </c>
      <c r="O513" s="150"/>
      <c r="P513" s="57">
        <v>3100</v>
      </c>
      <c r="Q513" s="59">
        <v>46020</v>
      </c>
      <c r="R513" s="117" t="s">
        <v>752</v>
      </c>
      <c r="S513" s="138">
        <f>Table432[[#This Row],[Invoice Amount]]-Table432[[#This Row],[TDS]]-Table432[[#This Row],[RTN]]-Table432[[#This Row],[RECIVED AMOUNT]]</f>
        <v>0.5</v>
      </c>
      <c r="T513" s="55"/>
      <c r="U513" s="3"/>
      <c r="V513" s="41">
        <f>Table432[[#This Row],[BALANCE]]-Table432[[#This Row],[RECIVED AMOUNT2]]</f>
        <v>0.5</v>
      </c>
      <c r="W513" s="50"/>
      <c r="X513" s="50"/>
    </row>
    <row r="514" spans="1:24" ht="19.95" customHeight="1">
      <c r="A514" s="2">
        <v>45874</v>
      </c>
      <c r="B514" s="3" t="s">
        <v>758</v>
      </c>
      <c r="C514" s="3" t="s">
        <v>674</v>
      </c>
      <c r="D514" s="3" t="s">
        <v>675</v>
      </c>
      <c r="E514" s="3" t="s">
        <v>716</v>
      </c>
      <c r="F514" s="4" t="s">
        <v>26</v>
      </c>
      <c r="G514" s="4">
        <v>998531</v>
      </c>
      <c r="H514" s="23">
        <v>0.18</v>
      </c>
      <c r="I514" s="9">
        <v>1500</v>
      </c>
      <c r="J514" s="9">
        <f t="shared" si="31"/>
        <v>135</v>
      </c>
      <c r="K514" s="9">
        <f t="shared" si="29"/>
        <v>135</v>
      </c>
      <c r="L514" s="9"/>
      <c r="M514" s="9">
        <f>Table432[[#This Row],[Taxable Amount]]+Table432[[#This Row],[SGST]]+Table432[[#This Row],[CGST]]</f>
        <v>1770</v>
      </c>
      <c r="N514" s="67">
        <f>Table432[[#This Row],[Taxable Amount]]*1%</f>
        <v>15</v>
      </c>
      <c r="O514" s="150"/>
      <c r="P514" s="57">
        <v>1755</v>
      </c>
      <c r="Q514" s="59">
        <v>46020</v>
      </c>
      <c r="R514" s="117" t="s">
        <v>752</v>
      </c>
      <c r="S514" s="138">
        <f>Table432[[#This Row],[Invoice Amount]]-Table432[[#This Row],[TDS]]-Table432[[#This Row],[RTN]]-Table432[[#This Row],[RECIVED AMOUNT]]</f>
        <v>0</v>
      </c>
      <c r="T514" s="55"/>
      <c r="U514" s="3"/>
      <c r="V514" s="41">
        <f>Table432[[#This Row],[BALANCE]]-Table432[[#This Row],[RECIVED AMOUNT2]]</f>
        <v>0</v>
      </c>
      <c r="W514" s="50"/>
      <c r="X514" s="50"/>
    </row>
    <row r="515" spans="1:24" ht="19.95" customHeight="1">
      <c r="A515" s="2">
        <v>45874</v>
      </c>
      <c r="B515" s="3" t="s">
        <v>759</v>
      </c>
      <c r="C515" s="3" t="s">
        <v>674</v>
      </c>
      <c r="D515" s="3" t="s">
        <v>675</v>
      </c>
      <c r="E515" s="3" t="s">
        <v>718</v>
      </c>
      <c r="F515" s="4" t="s">
        <v>26</v>
      </c>
      <c r="G515" s="4">
        <v>998531</v>
      </c>
      <c r="H515" s="23">
        <v>0.18</v>
      </c>
      <c r="I515" s="9">
        <v>10450</v>
      </c>
      <c r="J515" s="9">
        <f t="shared" si="31"/>
        <v>940.5</v>
      </c>
      <c r="K515" s="9">
        <f t="shared" ref="K515:K577" si="33">I515*9/100</f>
        <v>940.5</v>
      </c>
      <c r="L515" s="9"/>
      <c r="M515" s="9">
        <f>Table432[[#This Row],[Taxable Amount]]+Table432[[#This Row],[SGST]]+Table432[[#This Row],[CGST]]</f>
        <v>12331</v>
      </c>
      <c r="N515" s="67">
        <f>Table432[[#This Row],[Taxable Amount]]*1%</f>
        <v>104.5</v>
      </c>
      <c r="O515" s="150"/>
      <c r="P515" s="57">
        <v>12226</v>
      </c>
      <c r="Q515" s="59">
        <v>46020</v>
      </c>
      <c r="R515" s="117" t="s">
        <v>752</v>
      </c>
      <c r="S515" s="138">
        <f>Table432[[#This Row],[Invoice Amount]]-Table432[[#This Row],[TDS]]-Table432[[#This Row],[RTN]]-Table432[[#This Row],[RECIVED AMOUNT]]</f>
        <v>0.5</v>
      </c>
      <c r="T515" s="55"/>
      <c r="U515" s="3"/>
      <c r="V515" s="41">
        <f>Table432[[#This Row],[BALANCE]]-Table432[[#This Row],[RECIVED AMOUNT2]]</f>
        <v>0.5</v>
      </c>
      <c r="W515" s="50"/>
      <c r="X515" s="50"/>
    </row>
    <row r="516" spans="1:24" ht="19.95" customHeight="1">
      <c r="A516" s="2">
        <v>45874</v>
      </c>
      <c r="B516" s="3" t="s">
        <v>760</v>
      </c>
      <c r="C516" s="3" t="s">
        <v>963</v>
      </c>
      <c r="D516" s="7" t="s">
        <v>143</v>
      </c>
      <c r="E516" s="7" t="s">
        <v>515</v>
      </c>
      <c r="F516" s="4" t="s">
        <v>560</v>
      </c>
      <c r="G516" s="4">
        <v>998531</v>
      </c>
      <c r="H516" s="23">
        <v>0.18</v>
      </c>
      <c r="I516" s="9">
        <v>2550</v>
      </c>
      <c r="J516" s="9">
        <f t="shared" si="31"/>
        <v>229.5</v>
      </c>
      <c r="K516" s="9">
        <f t="shared" si="33"/>
        <v>229.5</v>
      </c>
      <c r="L516" s="9"/>
      <c r="M516" s="9">
        <f>Table432[[#This Row],[Taxable Amount]]+Table432[[#This Row],[SGST]]+Table432[[#This Row],[CGST]]</f>
        <v>3009</v>
      </c>
      <c r="N516" s="67">
        <f>Table432[[#This Row],[Taxable Amount]]*1%</f>
        <v>25.5</v>
      </c>
      <c r="O516" s="150"/>
      <c r="P516" s="57"/>
      <c r="Q516" s="97">
        <v>46135</v>
      </c>
      <c r="R516" s="117" t="s">
        <v>752</v>
      </c>
      <c r="S516" s="138">
        <f>Table432[[#This Row],[Invoice Amount]]-Table432[[#This Row],[TDS]]-Table432[[#This Row],[RTN]]-Table432[[#This Row],[RECIVED AMOUNT]]</f>
        <v>2983.5</v>
      </c>
      <c r="T516" s="55"/>
      <c r="U516" s="3"/>
      <c r="V516" s="41">
        <f>Table432[[#This Row],[BALANCE]]-Table432[[#This Row],[RECIVED AMOUNT2]]</f>
        <v>2983.5</v>
      </c>
      <c r="W516" s="50"/>
      <c r="X516" s="50"/>
    </row>
    <row r="517" spans="1:24" ht="19.95" customHeight="1">
      <c r="A517" s="2">
        <v>45874</v>
      </c>
      <c r="B517" s="3" t="s">
        <v>761</v>
      </c>
      <c r="C517" s="3" t="s">
        <v>762</v>
      </c>
      <c r="D517" s="3" t="s">
        <v>763</v>
      </c>
      <c r="E517" s="3" t="s">
        <v>85</v>
      </c>
      <c r="F517" s="4" t="s">
        <v>26</v>
      </c>
      <c r="G517" s="4">
        <v>998531</v>
      </c>
      <c r="H517" s="23">
        <v>0.18</v>
      </c>
      <c r="I517" s="9">
        <v>3000</v>
      </c>
      <c r="J517" s="9">
        <f t="shared" si="31"/>
        <v>270</v>
      </c>
      <c r="K517" s="9">
        <f t="shared" si="33"/>
        <v>270</v>
      </c>
      <c r="L517" s="9"/>
      <c r="M517" s="9">
        <f>Table432[[#This Row],[Taxable Amount]]+Table432[[#This Row],[SGST]]+Table432[[#This Row],[CGST]]</f>
        <v>3540</v>
      </c>
      <c r="N517" s="67"/>
      <c r="O517" s="150"/>
      <c r="P517" s="57">
        <v>3540</v>
      </c>
      <c r="Q517" s="59">
        <v>45987</v>
      </c>
      <c r="R517" s="117" t="s">
        <v>752</v>
      </c>
      <c r="S517" s="138">
        <f>Table432[[#This Row],[Invoice Amount]]-Table432[[#This Row],[TDS]]-Table432[[#This Row],[RTN]]-Table432[[#This Row],[RECIVED AMOUNT]]</f>
        <v>0</v>
      </c>
      <c r="T517" s="55"/>
      <c r="U517" s="3"/>
      <c r="V517" s="41">
        <f>Table432[[#This Row],[BALANCE]]-Table432[[#This Row],[RECIVED AMOUNT2]]</f>
        <v>0</v>
      </c>
      <c r="W517" s="50"/>
      <c r="X517" s="50"/>
    </row>
    <row r="518" spans="1:24" ht="19.95" customHeight="1">
      <c r="A518" s="2">
        <v>45874</v>
      </c>
      <c r="B518" s="3" t="s">
        <v>764</v>
      </c>
      <c r="C518" s="3" t="s">
        <v>765</v>
      </c>
      <c r="D518" s="3" t="s">
        <v>766</v>
      </c>
      <c r="E518" s="3" t="s">
        <v>89</v>
      </c>
      <c r="F518" s="4" t="s">
        <v>26</v>
      </c>
      <c r="G518" s="4">
        <v>998531</v>
      </c>
      <c r="H518" s="23">
        <v>0.18</v>
      </c>
      <c r="I518" s="9">
        <v>2700</v>
      </c>
      <c r="J518" s="9">
        <f t="shared" si="31"/>
        <v>243</v>
      </c>
      <c r="K518" s="9">
        <f t="shared" si="33"/>
        <v>243</v>
      </c>
      <c r="L518" s="9"/>
      <c r="M518" s="9">
        <f>Table432[[#This Row],[Taxable Amount]]+Table432[[#This Row],[SGST]]+Table432[[#This Row],[CGST]]</f>
        <v>3186</v>
      </c>
      <c r="N518" s="147">
        <v>0</v>
      </c>
      <c r="O518" s="150"/>
      <c r="P518" s="57">
        <v>3186</v>
      </c>
      <c r="Q518" s="59">
        <v>45875</v>
      </c>
      <c r="R518" s="117" t="s">
        <v>752</v>
      </c>
      <c r="S518" s="138">
        <f>Table432[[#This Row],[Invoice Amount]]-Table432[[#This Row],[TDS]]-Table432[[#This Row],[RTN]]-Table432[[#This Row],[RECIVED AMOUNT]]</f>
        <v>0</v>
      </c>
      <c r="T518" s="55"/>
      <c r="U518" s="3"/>
      <c r="V518" s="41">
        <f>Table432[[#This Row],[BALANCE]]-Table432[[#This Row],[RECIVED AMOUNT2]]</f>
        <v>0</v>
      </c>
      <c r="W518" s="50"/>
      <c r="X518" s="50"/>
    </row>
    <row r="519" spans="1:24" ht="19.95" customHeight="1">
      <c r="A519" s="2">
        <v>45875</v>
      </c>
      <c r="B519" s="3" t="s">
        <v>767</v>
      </c>
      <c r="C519" s="3" t="s">
        <v>298</v>
      </c>
      <c r="D519" s="3" t="s">
        <v>768</v>
      </c>
      <c r="E519" s="3" t="s">
        <v>236</v>
      </c>
      <c r="F519" s="4" t="s">
        <v>26</v>
      </c>
      <c r="G519" s="5">
        <v>998531</v>
      </c>
      <c r="H519" s="23">
        <v>0.18</v>
      </c>
      <c r="I519" s="9">
        <v>7000</v>
      </c>
      <c r="J519" s="9">
        <f t="shared" si="31"/>
        <v>630</v>
      </c>
      <c r="K519" s="9">
        <f t="shared" si="33"/>
        <v>630</v>
      </c>
      <c r="L519" s="9"/>
      <c r="M519" s="9">
        <f>Table432[[#This Row],[Taxable Amount]]+Table432[[#This Row],[SGST]]+Table432[[#This Row],[CGST]]</f>
        <v>8260</v>
      </c>
      <c r="N519" s="67"/>
      <c r="O519" s="150"/>
      <c r="P519" s="57">
        <v>8260</v>
      </c>
      <c r="Q519" s="59">
        <v>45925</v>
      </c>
      <c r="R519" s="117" t="s">
        <v>752</v>
      </c>
      <c r="S519" s="138">
        <f>Table432[[#This Row],[Invoice Amount]]-Table432[[#This Row],[TDS]]-Table432[[#This Row],[RTN]]-Table432[[#This Row],[RECIVED AMOUNT]]</f>
        <v>0</v>
      </c>
      <c r="T519" s="55"/>
      <c r="U519" s="3"/>
      <c r="V519" s="41">
        <f>Table432[[#This Row],[BALANCE]]-Table432[[#This Row],[RECIVED AMOUNT2]]</f>
        <v>0</v>
      </c>
      <c r="W519" s="50"/>
      <c r="X519" s="50"/>
    </row>
    <row r="520" spans="1:24" ht="19.95" customHeight="1">
      <c r="A520" s="2">
        <v>45882</v>
      </c>
      <c r="B520" s="3" t="s">
        <v>769</v>
      </c>
      <c r="C520" s="3" t="s">
        <v>444</v>
      </c>
      <c r="D520" s="3" t="s">
        <v>445</v>
      </c>
      <c r="E520" s="3" t="s">
        <v>89</v>
      </c>
      <c r="F520" s="4" t="s">
        <v>37</v>
      </c>
      <c r="G520" s="5">
        <v>998531</v>
      </c>
      <c r="H520" s="23">
        <v>0.18</v>
      </c>
      <c r="I520" s="9">
        <v>5463.6</v>
      </c>
      <c r="J520" s="9">
        <f t="shared" si="31"/>
        <v>491.72399999999999</v>
      </c>
      <c r="K520" s="9">
        <f t="shared" si="33"/>
        <v>491.72399999999999</v>
      </c>
      <c r="L520" s="9"/>
      <c r="M520" s="9">
        <f>Table432[[#This Row],[Taxable Amount]]+Table432[[#This Row],[SGST]]+Table432[[#This Row],[CGST]]</f>
        <v>6447.0480000000007</v>
      </c>
      <c r="N520" s="71">
        <v>0</v>
      </c>
      <c r="O520" s="150"/>
      <c r="P520" s="57"/>
      <c r="Q520" s="57"/>
      <c r="R520" s="117" t="s">
        <v>752</v>
      </c>
      <c r="S520" s="138">
        <f>Table432[[#This Row],[Invoice Amount]]-Table432[[#This Row],[TDS]]-Table432[[#This Row],[RTN]]-Table432[[#This Row],[RECIVED AMOUNT]]</f>
        <v>6447.0480000000007</v>
      </c>
      <c r="T520" s="55"/>
      <c r="U520" s="3"/>
      <c r="V520" s="41">
        <f>Table432[[#This Row],[BALANCE]]-Table432[[#This Row],[RECIVED AMOUNT2]]</f>
        <v>6447.0480000000007</v>
      </c>
      <c r="W520" s="50"/>
      <c r="X520" s="50"/>
    </row>
    <row r="521" spans="1:24" ht="19.95" customHeight="1">
      <c r="A521" s="2">
        <v>45887</v>
      </c>
      <c r="B521" s="3" t="s">
        <v>770</v>
      </c>
      <c r="C521" s="3" t="s">
        <v>234</v>
      </c>
      <c r="D521" s="3" t="s">
        <v>235</v>
      </c>
      <c r="E521" s="3" t="s">
        <v>236</v>
      </c>
      <c r="F521" s="4" t="s">
        <v>26</v>
      </c>
      <c r="G521" s="4">
        <v>998531</v>
      </c>
      <c r="H521" s="23">
        <v>0.18</v>
      </c>
      <c r="I521" s="9">
        <v>3000</v>
      </c>
      <c r="J521" s="9">
        <f t="shared" si="31"/>
        <v>270</v>
      </c>
      <c r="K521" s="9">
        <f t="shared" si="33"/>
        <v>270</v>
      </c>
      <c r="L521" s="9"/>
      <c r="M521" s="9">
        <f>Table432[[#This Row],[Taxable Amount]]+Table432[[#This Row],[SGST]]+Table432[[#This Row],[CGST]]</f>
        <v>3540</v>
      </c>
      <c r="N521" s="67">
        <v>0</v>
      </c>
      <c r="O521" s="150"/>
      <c r="P521" s="57">
        <v>3540</v>
      </c>
      <c r="Q521" s="59">
        <v>45999</v>
      </c>
      <c r="R521" s="117" t="s">
        <v>752</v>
      </c>
      <c r="S521" s="138">
        <f>Table432[[#This Row],[Invoice Amount]]-Table432[[#This Row],[TDS]]-Table432[[#This Row],[RTN]]-Table432[[#This Row],[RECIVED AMOUNT]]</f>
        <v>0</v>
      </c>
      <c r="T521" s="55"/>
      <c r="U521" s="3"/>
      <c r="V521" s="41">
        <f>Table432[[#This Row],[BALANCE]]-Table432[[#This Row],[RECIVED AMOUNT2]]</f>
        <v>0</v>
      </c>
      <c r="W521" s="50"/>
      <c r="X521" s="50"/>
    </row>
    <row r="522" spans="1:24" ht="19.95" customHeight="1">
      <c r="A522" s="2">
        <v>45890</v>
      </c>
      <c r="B522" s="3" t="s">
        <v>771</v>
      </c>
      <c r="C522" s="3" t="s">
        <v>258</v>
      </c>
      <c r="D522" s="3" t="s">
        <v>259</v>
      </c>
      <c r="E522" s="3" t="s">
        <v>260</v>
      </c>
      <c r="F522" s="4" t="s">
        <v>26</v>
      </c>
      <c r="G522" s="4">
        <v>998531</v>
      </c>
      <c r="H522" s="23">
        <v>0.18</v>
      </c>
      <c r="I522" s="9">
        <v>4400</v>
      </c>
      <c r="J522" s="9">
        <f t="shared" si="31"/>
        <v>396</v>
      </c>
      <c r="K522" s="9">
        <f t="shared" si="33"/>
        <v>396</v>
      </c>
      <c r="L522" s="9"/>
      <c r="M522" s="9">
        <f>Table432[[#This Row],[Taxable Amount]]+Table432[[#This Row],[SGST]]+Table432[[#This Row],[CGST]]</f>
        <v>5192</v>
      </c>
      <c r="N522" s="67">
        <f>Table432[[#This Row],[Taxable Amount]]*1%</f>
        <v>44</v>
      </c>
      <c r="O522" s="157">
        <v>0</v>
      </c>
      <c r="P522" s="57"/>
      <c r="Q522" s="59">
        <v>46036</v>
      </c>
      <c r="R522" s="117" t="s">
        <v>752</v>
      </c>
      <c r="S522" s="138">
        <f>Table432[[#This Row],[Invoice Amount]]-Table432[[#This Row],[TDS]]-Table432[[#This Row],[RTN]]-Table432[[#This Row],[RECIVED AMOUNT]]</f>
        <v>5148</v>
      </c>
      <c r="T522" s="55"/>
      <c r="U522" s="3"/>
      <c r="V522" s="41">
        <f>Table432[[#This Row],[BALANCE]]-Table432[[#This Row],[RECIVED AMOUNT2]]</f>
        <v>5148</v>
      </c>
      <c r="W522" s="50"/>
      <c r="X522" s="50"/>
    </row>
    <row r="523" spans="1:24" ht="19.95" customHeight="1">
      <c r="A523" s="2">
        <v>45894</v>
      </c>
      <c r="B523" s="3" t="s">
        <v>772</v>
      </c>
      <c r="C523" s="21" t="s">
        <v>470</v>
      </c>
      <c r="D523" s="3" t="s">
        <v>471</v>
      </c>
      <c r="E523" s="3" t="s">
        <v>1105</v>
      </c>
      <c r="F523" s="4" t="s">
        <v>37</v>
      </c>
      <c r="G523" s="4">
        <v>998531</v>
      </c>
      <c r="H523" s="23">
        <v>0.18</v>
      </c>
      <c r="I523" s="9">
        <v>44800</v>
      </c>
      <c r="J523" s="9">
        <f t="shared" si="31"/>
        <v>4032</v>
      </c>
      <c r="K523" s="9">
        <f t="shared" si="33"/>
        <v>4032</v>
      </c>
      <c r="L523" s="9"/>
      <c r="M523" s="9">
        <f>Table432[[#This Row],[Taxable Amount]]+Table432[[#This Row],[SGST]]+Table432[[#This Row],[CGST]]</f>
        <v>52864</v>
      </c>
      <c r="N523" s="67">
        <f>Table432[[#This Row],[Taxable Amount]]*1%</f>
        <v>448</v>
      </c>
      <c r="O523" s="150"/>
      <c r="P523" s="57">
        <v>51968</v>
      </c>
      <c r="Q523" s="59">
        <v>46024</v>
      </c>
      <c r="R523" s="117" t="s">
        <v>752</v>
      </c>
      <c r="S523" s="138">
        <f>Table432[[#This Row],[Invoice Amount]]-Table432[[#This Row],[TDS]]-Table432[[#This Row],[RTN]]-Table432[[#This Row],[RECIVED AMOUNT]]</f>
        <v>448</v>
      </c>
      <c r="T523" s="55"/>
      <c r="U523" s="3"/>
      <c r="V523" s="41">
        <f>Table432[[#This Row],[BALANCE]]-Table432[[#This Row],[RECIVED AMOUNT2]]</f>
        <v>448</v>
      </c>
      <c r="W523" s="50"/>
      <c r="X523" s="50"/>
    </row>
    <row r="524" spans="1:24" ht="19.95" customHeight="1">
      <c r="A524" s="2">
        <v>45894</v>
      </c>
      <c r="B524" s="3" t="s">
        <v>773</v>
      </c>
      <c r="C524" s="3" t="s">
        <v>637</v>
      </c>
      <c r="D524" s="3" t="s">
        <v>638</v>
      </c>
      <c r="E524" s="3" t="s">
        <v>629</v>
      </c>
      <c r="F524" s="4" t="s">
        <v>26</v>
      </c>
      <c r="G524" s="22">
        <v>998531</v>
      </c>
      <c r="H524" s="23">
        <v>0.18</v>
      </c>
      <c r="I524" s="9">
        <v>12400</v>
      </c>
      <c r="J524" s="9">
        <f t="shared" si="31"/>
        <v>1116</v>
      </c>
      <c r="K524" s="9">
        <f t="shared" si="33"/>
        <v>1116</v>
      </c>
      <c r="L524" s="9"/>
      <c r="M524" s="9">
        <f>Table432[[#This Row],[Taxable Amount]]+Table432[[#This Row],[SGST]]+Table432[[#This Row],[CGST]]</f>
        <v>14632</v>
      </c>
      <c r="N524" s="67">
        <f>Table432[[#This Row],[Taxable Amount]]*1%</f>
        <v>124</v>
      </c>
      <c r="O524" s="150">
        <v>310</v>
      </c>
      <c r="P524" s="283">
        <v>11966</v>
      </c>
      <c r="Q524" s="59">
        <v>45947</v>
      </c>
      <c r="R524" s="117" t="s">
        <v>752</v>
      </c>
      <c r="S524" s="138">
        <f>Table432[[#This Row],[Invoice Amount]]-Table432[[#This Row],[TDS]]-Table432[[#This Row],[RTN]]-Table432[[#This Row],[RECIVED AMOUNT]]</f>
        <v>2232</v>
      </c>
      <c r="T524" s="55"/>
      <c r="U524" s="74"/>
      <c r="V524" s="41">
        <f>Table432[[#This Row],[BALANCE]]-Table432[[#This Row],[RECIVED AMOUNT2]]</f>
        <v>2232</v>
      </c>
      <c r="W524" s="50"/>
      <c r="X524" s="50"/>
    </row>
    <row r="525" spans="1:24" s="247" customFormat="1" ht="19.95" customHeight="1">
      <c r="A525" s="259">
        <v>45894</v>
      </c>
      <c r="B525" s="234" t="s">
        <v>774</v>
      </c>
      <c r="C525" s="234" t="s">
        <v>42</v>
      </c>
      <c r="D525" s="234" t="s">
        <v>730</v>
      </c>
      <c r="E525" s="234" t="s">
        <v>632</v>
      </c>
      <c r="F525" s="250" t="s">
        <v>26</v>
      </c>
      <c r="G525" s="250">
        <v>998531</v>
      </c>
      <c r="H525" s="237">
        <v>0.18</v>
      </c>
      <c r="I525" s="260">
        <v>9855</v>
      </c>
      <c r="J525" s="260">
        <f t="shared" si="31"/>
        <v>886.95</v>
      </c>
      <c r="K525" s="260">
        <f t="shared" si="33"/>
        <v>886.95</v>
      </c>
      <c r="L525" s="260"/>
      <c r="M525" s="260">
        <f>Table432[[#This Row],[Taxable Amount]]+Table432[[#This Row],[SGST]]+Table432[[#This Row],[CGST]]</f>
        <v>11628.900000000001</v>
      </c>
      <c r="N525" s="261">
        <f>Table432[[#This Row],[Taxable Amount]]*1%</f>
        <v>98.55</v>
      </c>
      <c r="O525" s="266">
        <v>246</v>
      </c>
      <c r="P525" s="263">
        <v>17438</v>
      </c>
      <c r="Q525" s="264">
        <v>45920</v>
      </c>
      <c r="R525" s="265" t="s">
        <v>752</v>
      </c>
      <c r="S525" s="245">
        <f>Table432[[#This Row],[Invoice Amount]]-Table432[[#This Row],[TDS]]-Table432[[#This Row],[RTN]]-Table432[[#This Row],[RECIVED AMOUNT]]</f>
        <v>-6153.6499999999978</v>
      </c>
      <c r="T525" s="267"/>
      <c r="U525" s="284"/>
      <c r="V525" s="246">
        <f>Table432[[#This Row],[BALANCE]]-Table432[[#This Row],[RECIVED AMOUNT2]]</f>
        <v>-6153.6499999999978</v>
      </c>
      <c r="W525" s="268"/>
      <c r="X525" s="268"/>
    </row>
    <row r="526" spans="1:24" s="247" customFormat="1" ht="19.95" customHeight="1">
      <c r="A526" s="259">
        <v>45894</v>
      </c>
      <c r="B526" s="234" t="s">
        <v>775</v>
      </c>
      <c r="C526" s="234" t="s">
        <v>42</v>
      </c>
      <c r="D526" s="234" t="s">
        <v>730</v>
      </c>
      <c r="E526" s="234" t="s">
        <v>101</v>
      </c>
      <c r="F526" s="250" t="s">
        <v>26</v>
      </c>
      <c r="G526" s="250">
        <v>998531</v>
      </c>
      <c r="H526" s="237">
        <v>0.18</v>
      </c>
      <c r="I526" s="260">
        <v>5050</v>
      </c>
      <c r="J526" s="260">
        <f t="shared" si="31"/>
        <v>454.5</v>
      </c>
      <c r="K526" s="260">
        <f t="shared" si="33"/>
        <v>454.5</v>
      </c>
      <c r="L526" s="260"/>
      <c r="M526" s="260">
        <f>Table432[[#This Row],[Taxable Amount]]+Table432[[#This Row],[SGST]]+Table432[[#This Row],[CGST]]</f>
        <v>5959</v>
      </c>
      <c r="N526" s="261">
        <f>Table432[[#This Row],[Taxable Amount]]*1%</f>
        <v>50.5</v>
      </c>
      <c r="O526" s="266">
        <v>126</v>
      </c>
      <c r="P526" s="263"/>
      <c r="Q526" s="264">
        <v>45920</v>
      </c>
      <c r="R526" s="265" t="s">
        <v>752</v>
      </c>
      <c r="S526" s="245">
        <f>Table432[[#This Row],[Invoice Amount]]-Table432[[#This Row],[TDS]]-Table432[[#This Row],[RTN]]-Table432[[#This Row],[RECIVED AMOUNT]]</f>
        <v>5782.5</v>
      </c>
      <c r="T526" s="267"/>
      <c r="U526" s="234"/>
      <c r="V526" s="246">
        <f>Table432[[#This Row],[BALANCE]]-Table432[[#This Row],[RECIVED AMOUNT2]]</f>
        <v>5782.5</v>
      </c>
      <c r="W526" s="268"/>
      <c r="X526" s="268"/>
    </row>
    <row r="527" spans="1:24" s="247" customFormat="1" ht="19.95" customHeight="1">
      <c r="A527" s="259">
        <v>45894</v>
      </c>
      <c r="B527" s="234" t="s">
        <v>776</v>
      </c>
      <c r="C527" s="234" t="s">
        <v>42</v>
      </c>
      <c r="D527" s="234" t="s">
        <v>730</v>
      </c>
      <c r="E527" s="234" t="s">
        <v>44</v>
      </c>
      <c r="F527" s="250" t="s">
        <v>26</v>
      </c>
      <c r="G527" s="250">
        <v>998531</v>
      </c>
      <c r="H527" s="237">
        <v>0.18</v>
      </c>
      <c r="I527" s="260">
        <v>12400</v>
      </c>
      <c r="J527" s="260">
        <f t="shared" si="31"/>
        <v>1116</v>
      </c>
      <c r="K527" s="260">
        <f t="shared" si="33"/>
        <v>1116</v>
      </c>
      <c r="L527" s="260"/>
      <c r="M527" s="260">
        <f>Table432[[#This Row],[Taxable Amount]]+Table432[[#This Row],[SGST]]+Table432[[#This Row],[CGST]]</f>
        <v>14632</v>
      </c>
      <c r="N527" s="261">
        <f>Table432[[#This Row],[Taxable Amount]]*1%</f>
        <v>124</v>
      </c>
      <c r="O527" s="266">
        <v>310</v>
      </c>
      <c r="P527" s="263">
        <v>9939</v>
      </c>
      <c r="Q527" s="264">
        <v>45912</v>
      </c>
      <c r="R527" s="265" t="s">
        <v>752</v>
      </c>
      <c r="S527" s="245">
        <f>Table432[[#This Row],[Invoice Amount]]-Table432[[#This Row],[TDS]]-Table432[[#This Row],[RTN]]-Table432[[#This Row],[RECIVED AMOUNT]]</f>
        <v>4259</v>
      </c>
      <c r="T527" s="267">
        <v>4259</v>
      </c>
      <c r="U527" s="284">
        <v>45924</v>
      </c>
      <c r="V527" s="246">
        <f>Table432[[#This Row],[BALANCE]]-Table432[[#This Row],[RECIVED AMOUNT2]]</f>
        <v>0</v>
      </c>
      <c r="W527" s="268"/>
      <c r="X527" s="268"/>
    </row>
    <row r="528" spans="1:24" s="247" customFormat="1" ht="19.95" customHeight="1">
      <c r="A528" s="259">
        <v>45894</v>
      </c>
      <c r="B528" s="234" t="s">
        <v>777</v>
      </c>
      <c r="C528" s="234" t="s">
        <v>42</v>
      </c>
      <c r="D528" s="234" t="s">
        <v>730</v>
      </c>
      <c r="E528" s="234" t="s">
        <v>163</v>
      </c>
      <c r="F528" s="250" t="s">
        <v>26</v>
      </c>
      <c r="G528" s="250">
        <v>998531</v>
      </c>
      <c r="H528" s="237">
        <v>0.18</v>
      </c>
      <c r="I528" s="260">
        <v>19000</v>
      </c>
      <c r="J528" s="260">
        <f t="shared" si="31"/>
        <v>1710</v>
      </c>
      <c r="K528" s="260">
        <f t="shared" si="33"/>
        <v>1710</v>
      </c>
      <c r="L528" s="260"/>
      <c r="M528" s="260">
        <f>Table432[[#This Row],[Taxable Amount]]+Table432[[#This Row],[SGST]]+Table432[[#This Row],[CGST]]</f>
        <v>22420</v>
      </c>
      <c r="N528" s="261">
        <f>Table432[[#This Row],[Taxable Amount]]*1%</f>
        <v>190</v>
      </c>
      <c r="O528" s="266">
        <v>475</v>
      </c>
      <c r="P528" s="263">
        <v>21755</v>
      </c>
      <c r="Q528" s="264">
        <v>45926</v>
      </c>
      <c r="R528" s="265" t="s">
        <v>752</v>
      </c>
      <c r="S528" s="245">
        <f>Table432[[#This Row],[Invoice Amount]]-Table432[[#This Row],[TDS]]-Table432[[#This Row],[RTN]]-Table432[[#This Row],[RECIVED AMOUNT]]</f>
        <v>0</v>
      </c>
      <c r="T528" s="267"/>
      <c r="U528" s="234"/>
      <c r="V528" s="246">
        <f>Table432[[#This Row],[BALANCE]]-Table432[[#This Row],[RECIVED AMOUNT2]]</f>
        <v>0</v>
      </c>
      <c r="W528" s="268"/>
      <c r="X528" s="268"/>
    </row>
    <row r="529" spans="1:22" s="481" customFormat="1" ht="19.95" customHeight="1">
      <c r="A529" s="485">
        <v>45900</v>
      </c>
      <c r="B529" s="482" t="s">
        <v>778</v>
      </c>
      <c r="C529" s="482" t="s">
        <v>319</v>
      </c>
      <c r="D529" s="482" t="s">
        <v>320</v>
      </c>
      <c r="E529" s="482" t="s">
        <v>85</v>
      </c>
      <c r="F529" s="486" t="s">
        <v>26</v>
      </c>
      <c r="G529" s="486">
        <v>998531</v>
      </c>
      <c r="H529" s="470">
        <v>0.18</v>
      </c>
      <c r="I529" s="487">
        <v>17000</v>
      </c>
      <c r="J529" s="487">
        <f t="shared" si="31"/>
        <v>1530</v>
      </c>
      <c r="K529" s="487">
        <f t="shared" si="33"/>
        <v>1530</v>
      </c>
      <c r="L529" s="487"/>
      <c r="M529" s="487">
        <f>Table432[[#This Row],[Taxable Amount]]+Table432[[#This Row],[SGST]]+Table432[[#This Row],[CGST]]</f>
        <v>20060</v>
      </c>
      <c r="N529" s="488">
        <f>Table432[[#This Row],[Taxable Amount]]*1%</f>
        <v>170</v>
      </c>
      <c r="O529" s="512"/>
      <c r="P529" s="490">
        <v>19890</v>
      </c>
      <c r="Q529" s="491">
        <v>45939</v>
      </c>
      <c r="R529" s="492" t="s">
        <v>752</v>
      </c>
      <c r="S529" s="479">
        <f>Table432[[#This Row],[Invoice Amount]]-Table432[[#This Row],[TDS]]-Table432[[#This Row],[RTN]]-Table432[[#This Row],[RECIVED AMOUNT]]</f>
        <v>0</v>
      </c>
      <c r="T529" s="482"/>
      <c r="U529" s="482"/>
      <c r="V529" s="480">
        <f>Table432[[#This Row],[BALANCE]]-Table432[[#This Row],[RECIVED AMOUNT2]]</f>
        <v>0</v>
      </c>
    </row>
    <row r="530" spans="1:22" s="10" customFormat="1" ht="19.95" customHeight="1">
      <c r="A530" s="92">
        <v>45900</v>
      </c>
      <c r="B530" s="7" t="s">
        <v>779</v>
      </c>
      <c r="C530" s="7" t="s">
        <v>319</v>
      </c>
      <c r="D530" s="7" t="s">
        <v>320</v>
      </c>
      <c r="E530" s="7" t="s">
        <v>59</v>
      </c>
      <c r="F530" s="5" t="s">
        <v>26</v>
      </c>
      <c r="G530" s="5">
        <v>998531</v>
      </c>
      <c r="H530" s="221">
        <v>0.18</v>
      </c>
      <c r="I530" s="69">
        <v>25450</v>
      </c>
      <c r="J530" s="69">
        <f t="shared" si="31"/>
        <v>2290.5</v>
      </c>
      <c r="K530" s="69">
        <f t="shared" si="33"/>
        <v>2290.5</v>
      </c>
      <c r="L530" s="69"/>
      <c r="M530" s="69">
        <f>Table432[[#This Row],[Taxable Amount]]+Table432[[#This Row],[SGST]]+Table432[[#This Row],[CGST]]</f>
        <v>30031</v>
      </c>
      <c r="N530" s="110">
        <f>Table432[[#This Row],[Taxable Amount]]*1%</f>
        <v>254.5</v>
      </c>
      <c r="O530" s="182"/>
      <c r="P530" s="102"/>
      <c r="Q530" s="97"/>
      <c r="R530" s="118" t="s">
        <v>752</v>
      </c>
      <c r="S530" s="93">
        <f>Table432[[#This Row],[Invoice Amount]]-Table432[[#This Row],[TDS]]-Table432[[#This Row],[RTN]]-Table432[[#This Row],[RECIVED AMOUNT]]</f>
        <v>29776.5</v>
      </c>
      <c r="T530" s="7"/>
      <c r="U530" s="7"/>
      <c r="V530" s="70">
        <f>Table432[[#This Row],[BALANCE]]-Table432[[#This Row],[RECIVED AMOUNT2]]</f>
        <v>29776.5</v>
      </c>
    </row>
    <row r="531" spans="1:22" s="325" customFormat="1" ht="19.95" customHeight="1">
      <c r="A531" s="339">
        <v>45900</v>
      </c>
      <c r="B531" s="327" t="s">
        <v>780</v>
      </c>
      <c r="C531" s="327" t="s">
        <v>319</v>
      </c>
      <c r="D531" s="327" t="s">
        <v>320</v>
      </c>
      <c r="E531" s="327" t="s">
        <v>89</v>
      </c>
      <c r="F531" s="332" t="s">
        <v>26</v>
      </c>
      <c r="G531" s="332">
        <v>998531</v>
      </c>
      <c r="H531" s="317">
        <v>0.18</v>
      </c>
      <c r="I531" s="340">
        <v>4800</v>
      </c>
      <c r="J531" s="340">
        <f t="shared" ref="J531:J586" si="34">I531*9/100</f>
        <v>432</v>
      </c>
      <c r="K531" s="340">
        <f t="shared" si="33"/>
        <v>432</v>
      </c>
      <c r="L531" s="340"/>
      <c r="M531" s="340">
        <f>Table432[[#This Row],[Taxable Amount]]+Table432[[#This Row],[SGST]]+Table432[[#This Row],[CGST]]</f>
        <v>5664</v>
      </c>
      <c r="N531" s="341">
        <f>Table432[[#This Row],[Taxable Amount]]*1%</f>
        <v>48</v>
      </c>
      <c r="O531" s="342"/>
      <c r="P531" s="343"/>
      <c r="Q531" s="343"/>
      <c r="R531" s="344" t="s">
        <v>580</v>
      </c>
      <c r="S531" s="323">
        <f>Table432[[#This Row],[Invoice Amount]]-Table432[[#This Row],[TDS]]-Table432[[#This Row],[RTN]]-Table432[[#This Row],[RECIVED AMOUNT]]</f>
        <v>5616</v>
      </c>
      <c r="T531" s="327"/>
      <c r="U531" s="327"/>
      <c r="V531" s="324">
        <f>Table432[[#This Row],[BALANCE]]-Table432[[#This Row],[RECIVED AMOUNT2]]</f>
        <v>5616</v>
      </c>
    </row>
    <row r="532" spans="1:22" s="19" customFormat="1" ht="19.95" customHeight="1">
      <c r="A532" s="2">
        <v>45900</v>
      </c>
      <c r="B532" s="3" t="s">
        <v>781</v>
      </c>
      <c r="C532" s="21" t="s">
        <v>116</v>
      </c>
      <c r="D532" s="3" t="s">
        <v>117</v>
      </c>
      <c r="E532" s="3" t="s">
        <v>59</v>
      </c>
      <c r="F532" s="4" t="s">
        <v>26</v>
      </c>
      <c r="G532" s="4">
        <v>998531</v>
      </c>
      <c r="H532" s="23">
        <v>0.18</v>
      </c>
      <c r="I532" s="9">
        <v>17300</v>
      </c>
      <c r="J532" s="9">
        <f t="shared" si="34"/>
        <v>1557</v>
      </c>
      <c r="K532" s="9">
        <f t="shared" si="33"/>
        <v>1557</v>
      </c>
      <c r="L532" s="9"/>
      <c r="M532" s="9">
        <f>Table432[[#This Row],[Taxable Amount]]+Table432[[#This Row],[SGST]]+Table432[[#This Row],[CGST]]</f>
        <v>20414</v>
      </c>
      <c r="N532" s="67">
        <f>Table432[[#This Row],[Taxable Amount]]*1%</f>
        <v>173</v>
      </c>
      <c r="O532" s="157">
        <v>0</v>
      </c>
      <c r="P532" s="148">
        <v>20241</v>
      </c>
      <c r="Q532" s="59">
        <v>45929</v>
      </c>
      <c r="R532" s="117" t="s">
        <v>752</v>
      </c>
      <c r="S532" s="138">
        <f>Table432[[#This Row],[Invoice Amount]]-Table432[[#This Row],[TDS]]-Table432[[#This Row],[RTN]]-Table432[[#This Row],[RECIVED AMOUNT]]</f>
        <v>0</v>
      </c>
      <c r="T532" s="3"/>
      <c r="U532" s="3"/>
      <c r="V532" s="41">
        <f>Table432[[#This Row],[BALANCE]]-Table432[[#This Row],[RECIVED AMOUNT2]]</f>
        <v>0</v>
      </c>
    </row>
    <row r="533" spans="1:22" ht="19.95" customHeight="1">
      <c r="A533" s="2">
        <v>45900</v>
      </c>
      <c r="B533" s="3" t="s">
        <v>783</v>
      </c>
      <c r="C533" s="3" t="s">
        <v>390</v>
      </c>
      <c r="D533" s="3" t="s">
        <v>391</v>
      </c>
      <c r="E533" s="3" t="s">
        <v>260</v>
      </c>
      <c r="F533" s="4" t="s">
        <v>26</v>
      </c>
      <c r="G533" s="4">
        <v>998531</v>
      </c>
      <c r="H533" s="23">
        <v>0.18</v>
      </c>
      <c r="I533" s="9">
        <v>1205.1600000000001</v>
      </c>
      <c r="J533" s="9">
        <f t="shared" si="34"/>
        <v>108.46440000000001</v>
      </c>
      <c r="K533" s="9">
        <f t="shared" si="33"/>
        <v>108.46440000000001</v>
      </c>
      <c r="L533" s="9"/>
      <c r="M533" s="9">
        <f>Table432[[#This Row],[Taxable Amount]]+Table432[[#This Row],[SGST]]+Table432[[#This Row],[CGST]]</f>
        <v>1422.0888000000002</v>
      </c>
      <c r="N533" s="67">
        <f>Table432[[#This Row],[Taxable Amount]]*1%</f>
        <v>12.051600000000001</v>
      </c>
      <c r="O533" s="150"/>
      <c r="P533" s="57"/>
      <c r="Q533" s="59">
        <v>45994</v>
      </c>
      <c r="R533" s="117" t="s">
        <v>752</v>
      </c>
      <c r="S533" s="138">
        <f>Table432[[#This Row],[Invoice Amount]]-Table432[[#This Row],[TDS]]-Table432[[#This Row],[RTN]]-Table432[[#This Row],[RECIVED AMOUNT]]</f>
        <v>1410.0372000000002</v>
      </c>
      <c r="T533" s="3"/>
      <c r="U533" s="3"/>
      <c r="V533" s="41">
        <f>Table432[[#This Row],[BALANCE]]-Table432[[#This Row],[RECIVED AMOUNT2]]</f>
        <v>1410.0372000000002</v>
      </c>
    </row>
    <row r="534" spans="1:22" ht="19.95" customHeight="1">
      <c r="A534" s="2">
        <v>45900</v>
      </c>
      <c r="B534" s="3" t="s">
        <v>784</v>
      </c>
      <c r="C534" s="3" t="s">
        <v>390</v>
      </c>
      <c r="D534" s="3" t="s">
        <v>391</v>
      </c>
      <c r="E534" s="3" t="s">
        <v>260</v>
      </c>
      <c r="F534" s="4" t="s">
        <v>26</v>
      </c>
      <c r="G534" s="4">
        <v>998531</v>
      </c>
      <c r="H534" s="23">
        <v>0.18</v>
      </c>
      <c r="I534" s="9">
        <v>1448.35</v>
      </c>
      <c r="J534" s="9">
        <f t="shared" si="34"/>
        <v>130.35149999999999</v>
      </c>
      <c r="K534" s="9">
        <f t="shared" si="33"/>
        <v>130.35149999999999</v>
      </c>
      <c r="L534" s="9"/>
      <c r="M534" s="9">
        <f>Table432[[#This Row],[Taxable Amount]]+Table432[[#This Row],[SGST]]+Table432[[#This Row],[CGST]]</f>
        <v>1709.0529999999999</v>
      </c>
      <c r="N534" s="67">
        <f>Table432[[#This Row],[Taxable Amount]]*1%</f>
        <v>14.483499999999999</v>
      </c>
      <c r="O534" s="150"/>
      <c r="P534" s="57"/>
      <c r="Q534" s="59">
        <v>45994</v>
      </c>
      <c r="R534" s="117" t="s">
        <v>752</v>
      </c>
      <c r="S534" s="138">
        <f>Table432[[#This Row],[Invoice Amount]]-Table432[[#This Row],[TDS]]-Table432[[#This Row],[RTN]]-Table432[[#This Row],[RECIVED AMOUNT]]</f>
        <v>1694.5694999999998</v>
      </c>
      <c r="T534" s="3"/>
      <c r="U534" s="3"/>
      <c r="V534" s="41">
        <f>Table432[[#This Row],[BALANCE]]-Table432[[#This Row],[RECIVED AMOUNT2]]</f>
        <v>1694.5694999999998</v>
      </c>
    </row>
    <row r="535" spans="1:22" ht="19.95" customHeight="1">
      <c r="A535" s="2">
        <v>45900</v>
      </c>
      <c r="B535" s="3" t="s">
        <v>785</v>
      </c>
      <c r="C535" s="3" t="s">
        <v>390</v>
      </c>
      <c r="D535" s="3" t="s">
        <v>391</v>
      </c>
      <c r="E535" s="3" t="s">
        <v>260</v>
      </c>
      <c r="F535" s="4" t="s">
        <v>26</v>
      </c>
      <c r="G535" s="4">
        <v>998531</v>
      </c>
      <c r="H535" s="23">
        <v>0.18</v>
      </c>
      <c r="I535" s="9">
        <v>2008.6</v>
      </c>
      <c r="J535" s="9">
        <f t="shared" si="34"/>
        <v>180.77399999999997</v>
      </c>
      <c r="K535" s="9">
        <f t="shared" si="33"/>
        <v>180.77399999999997</v>
      </c>
      <c r="L535" s="9"/>
      <c r="M535" s="9">
        <f>Table432[[#This Row],[Taxable Amount]]+Table432[[#This Row],[SGST]]+Table432[[#This Row],[CGST]]</f>
        <v>2370.1479999999997</v>
      </c>
      <c r="N535" s="67">
        <f>Table432[[#This Row],[Taxable Amount]]*1%</f>
        <v>20.085999999999999</v>
      </c>
      <c r="O535" s="150"/>
      <c r="P535" s="57"/>
      <c r="Q535" s="59">
        <v>45994</v>
      </c>
      <c r="R535" s="117" t="s">
        <v>752</v>
      </c>
      <c r="S535" s="138">
        <f>Table432[[#This Row],[Invoice Amount]]-Table432[[#This Row],[TDS]]-Table432[[#This Row],[RTN]]-Table432[[#This Row],[RECIVED AMOUNT]]</f>
        <v>2350.0619999999999</v>
      </c>
      <c r="T535" s="3"/>
      <c r="U535" s="3"/>
      <c r="V535" s="41">
        <f>Table432[[#This Row],[BALANCE]]-Table432[[#This Row],[RECIVED AMOUNT2]]</f>
        <v>2350.0619999999999</v>
      </c>
    </row>
    <row r="536" spans="1:22" ht="19.95" customHeight="1">
      <c r="A536" s="2">
        <v>45900</v>
      </c>
      <c r="B536" s="3" t="s">
        <v>786</v>
      </c>
      <c r="C536" s="3" t="s">
        <v>390</v>
      </c>
      <c r="D536" s="3" t="s">
        <v>391</v>
      </c>
      <c r="E536" s="3" t="s">
        <v>260</v>
      </c>
      <c r="F536" s="4" t="s">
        <v>26</v>
      </c>
      <c r="G536" s="4">
        <v>998531</v>
      </c>
      <c r="H536" s="23">
        <v>0.18</v>
      </c>
      <c r="I536" s="9">
        <v>1035.8399999999999</v>
      </c>
      <c r="J536" s="9">
        <f t="shared" si="34"/>
        <v>93.2256</v>
      </c>
      <c r="K536" s="9">
        <f t="shared" si="33"/>
        <v>93.2256</v>
      </c>
      <c r="L536" s="9"/>
      <c r="M536" s="9">
        <f>Table432[[#This Row],[Taxable Amount]]+Table432[[#This Row],[SGST]]+Table432[[#This Row],[CGST]]</f>
        <v>1222.2911999999999</v>
      </c>
      <c r="N536" s="67">
        <f>Table432[[#This Row],[Taxable Amount]]*1%</f>
        <v>10.3584</v>
      </c>
      <c r="O536" s="150"/>
      <c r="P536" s="57"/>
      <c r="Q536" s="59">
        <v>45994</v>
      </c>
      <c r="R536" s="117" t="s">
        <v>752</v>
      </c>
      <c r="S536" s="138">
        <f>Table432[[#This Row],[Invoice Amount]]-Table432[[#This Row],[TDS]]-Table432[[#This Row],[RTN]]-Table432[[#This Row],[RECIVED AMOUNT]]</f>
        <v>1211.9327999999998</v>
      </c>
      <c r="T536" s="3"/>
      <c r="U536" s="3"/>
      <c r="V536" s="41">
        <f>Table432[[#This Row],[BALANCE]]-Table432[[#This Row],[RECIVED AMOUNT2]]</f>
        <v>1211.9327999999998</v>
      </c>
    </row>
    <row r="537" spans="1:22" ht="19.95" customHeight="1">
      <c r="A537" s="2">
        <v>45900</v>
      </c>
      <c r="B537" s="3" t="s">
        <v>787</v>
      </c>
      <c r="C537" s="3" t="s">
        <v>390</v>
      </c>
      <c r="D537" s="3" t="s">
        <v>391</v>
      </c>
      <c r="E537" s="3" t="s">
        <v>260</v>
      </c>
      <c r="F537" s="4" t="s">
        <v>26</v>
      </c>
      <c r="G537" s="4">
        <v>998531</v>
      </c>
      <c r="H537" s="23">
        <v>0.18</v>
      </c>
      <c r="I537" s="9">
        <v>972.76</v>
      </c>
      <c r="J537" s="9">
        <f t="shared" si="34"/>
        <v>87.548400000000001</v>
      </c>
      <c r="K537" s="9">
        <f t="shared" si="33"/>
        <v>87.548400000000001</v>
      </c>
      <c r="L537" s="9"/>
      <c r="M537" s="9">
        <f>Table432[[#This Row],[Taxable Amount]]+Table432[[#This Row],[SGST]]+Table432[[#This Row],[CGST]]</f>
        <v>1147.8567999999998</v>
      </c>
      <c r="N537" s="67">
        <f>Table432[[#This Row],[Taxable Amount]]*1%</f>
        <v>9.7276000000000007</v>
      </c>
      <c r="O537" s="150"/>
      <c r="P537" s="57"/>
      <c r="Q537" s="59">
        <v>45994</v>
      </c>
      <c r="R537" s="117" t="s">
        <v>752</v>
      </c>
      <c r="S537" s="138">
        <f>Table432[[#This Row],[Invoice Amount]]-Table432[[#This Row],[TDS]]-Table432[[#This Row],[RTN]]-Table432[[#This Row],[RECIVED AMOUNT]]</f>
        <v>1138.1291999999999</v>
      </c>
      <c r="T537" s="3"/>
      <c r="U537" s="3"/>
      <c r="V537" s="41">
        <f>Table432[[#This Row],[BALANCE]]-Table432[[#This Row],[RECIVED AMOUNT2]]</f>
        <v>1138.1291999999999</v>
      </c>
    </row>
    <row r="538" spans="1:22" ht="19.95" customHeight="1">
      <c r="A538" s="2">
        <v>45900</v>
      </c>
      <c r="B538" s="3" t="s">
        <v>788</v>
      </c>
      <c r="C538" s="3" t="s">
        <v>390</v>
      </c>
      <c r="D538" s="3" t="s">
        <v>391</v>
      </c>
      <c r="E538" s="3" t="s">
        <v>260</v>
      </c>
      <c r="F538" s="4" t="s">
        <v>26</v>
      </c>
      <c r="G538" s="4">
        <v>998531</v>
      </c>
      <c r="H538" s="23">
        <v>0.18</v>
      </c>
      <c r="I538" s="9">
        <v>930.43</v>
      </c>
      <c r="J538" s="9">
        <f t="shared" si="34"/>
        <v>83.738699999999994</v>
      </c>
      <c r="K538" s="9">
        <f t="shared" si="33"/>
        <v>83.738699999999994</v>
      </c>
      <c r="L538" s="9"/>
      <c r="M538" s="9">
        <f>Table432[[#This Row],[Taxable Amount]]+Table432[[#This Row],[SGST]]+Table432[[#This Row],[CGST]]</f>
        <v>1097.9074000000001</v>
      </c>
      <c r="N538" s="67">
        <f>Table432[[#This Row],[Taxable Amount]]*1%</f>
        <v>9.3042999999999996</v>
      </c>
      <c r="O538" s="150"/>
      <c r="P538" s="57"/>
      <c r="Q538" s="59">
        <v>45994</v>
      </c>
      <c r="R538" s="117" t="s">
        <v>752</v>
      </c>
      <c r="S538" s="138">
        <f>Table432[[#This Row],[Invoice Amount]]-Table432[[#This Row],[TDS]]-Table432[[#This Row],[RTN]]-Table432[[#This Row],[RECIVED AMOUNT]]</f>
        <v>1088.6031</v>
      </c>
      <c r="T538" s="3"/>
      <c r="U538" s="3"/>
      <c r="V538" s="41">
        <f>Table432[[#This Row],[BALANCE]]-Table432[[#This Row],[RECIVED AMOUNT2]]</f>
        <v>1088.6031</v>
      </c>
    </row>
    <row r="539" spans="1:22" ht="19.95" customHeight="1">
      <c r="A539" s="2">
        <v>45900</v>
      </c>
      <c r="B539" s="3" t="s">
        <v>789</v>
      </c>
      <c r="C539" s="3" t="s">
        <v>390</v>
      </c>
      <c r="D539" s="3" t="s">
        <v>391</v>
      </c>
      <c r="E539" s="3" t="s">
        <v>260</v>
      </c>
      <c r="F539" s="4" t="s">
        <v>26</v>
      </c>
      <c r="G539" s="4">
        <v>998531</v>
      </c>
      <c r="H539" s="23">
        <v>0.18</v>
      </c>
      <c r="I539" s="9">
        <v>698.86</v>
      </c>
      <c r="J539" s="9">
        <f t="shared" si="34"/>
        <v>62.897399999999998</v>
      </c>
      <c r="K539" s="9">
        <f t="shared" si="33"/>
        <v>62.897399999999998</v>
      </c>
      <c r="L539" s="9"/>
      <c r="M539" s="9">
        <f>Table432[[#This Row],[Taxable Amount]]+Table432[[#This Row],[SGST]]+Table432[[#This Row],[CGST]]</f>
        <v>824.65479999999991</v>
      </c>
      <c r="N539" s="67">
        <f>Table432[[#This Row],[Taxable Amount]]*1%</f>
        <v>6.9885999999999999</v>
      </c>
      <c r="O539" s="150"/>
      <c r="P539" s="57">
        <v>9712</v>
      </c>
      <c r="Q539" s="59">
        <v>45994</v>
      </c>
      <c r="R539" s="117" t="s">
        <v>752</v>
      </c>
      <c r="S539" s="138">
        <f>Table432[[#This Row],[Invoice Amount]]-Table432[[#This Row],[TDS]]-Table432[[#This Row],[RTN]]-Table432[[#This Row],[RECIVED AMOUNT]]</f>
        <v>-8894.3338000000003</v>
      </c>
      <c r="T539" s="3"/>
      <c r="U539" s="3"/>
      <c r="V539" s="41">
        <f>Table432[[#This Row],[BALANCE]]-Table432[[#This Row],[RECIVED AMOUNT2]]</f>
        <v>-8894.3338000000003</v>
      </c>
    </row>
    <row r="540" spans="1:22" ht="19.95" customHeight="1">
      <c r="A540" s="2">
        <v>45900</v>
      </c>
      <c r="B540" s="3" t="s">
        <v>790</v>
      </c>
      <c r="C540" s="3" t="s">
        <v>290</v>
      </c>
      <c r="D540" s="3" t="s">
        <v>291</v>
      </c>
      <c r="E540" s="3" t="s">
        <v>25</v>
      </c>
      <c r="F540" s="4" t="s">
        <v>26</v>
      </c>
      <c r="G540" s="4">
        <v>998531</v>
      </c>
      <c r="H540" s="23">
        <v>0.18</v>
      </c>
      <c r="I540" s="9">
        <v>3000</v>
      </c>
      <c r="J540" s="9">
        <f t="shared" si="34"/>
        <v>270</v>
      </c>
      <c r="K540" s="9">
        <f t="shared" si="33"/>
        <v>270</v>
      </c>
      <c r="L540" s="9"/>
      <c r="M540" s="9">
        <f>Table432[[#This Row],[Taxable Amount]]+Table432[[#This Row],[SGST]]+Table432[[#This Row],[CGST]]</f>
        <v>3540</v>
      </c>
      <c r="N540" s="110">
        <f>Table432[[#This Row],[Taxable Amount]]*0%</f>
        <v>0</v>
      </c>
      <c r="O540" s="150"/>
      <c r="P540" s="119">
        <f>Table432[[#This Row],[Taxable Amount]]+Table432[[#This Row],[SGST]]+Table432[[#This Row],[CGST]]</f>
        <v>3540</v>
      </c>
      <c r="Q540" s="59">
        <v>45924</v>
      </c>
      <c r="R540" s="117" t="s">
        <v>752</v>
      </c>
      <c r="S540" s="138">
        <f>Table432[[#This Row],[Invoice Amount]]-Table432[[#This Row],[TDS]]-Table432[[#This Row],[RTN]]-Table432[[#This Row],[RECIVED AMOUNT]]</f>
        <v>0</v>
      </c>
      <c r="T540" s="3"/>
      <c r="U540" s="3"/>
      <c r="V540" s="41">
        <f>Table432[[#This Row],[BALANCE]]-Table432[[#This Row],[RECIVED AMOUNT2]]</f>
        <v>0</v>
      </c>
    </row>
    <row r="541" spans="1:22" ht="19.95" customHeight="1">
      <c r="A541" s="2">
        <v>45900</v>
      </c>
      <c r="B541" s="3" t="s">
        <v>791</v>
      </c>
      <c r="C541" s="3" t="s">
        <v>955</v>
      </c>
      <c r="D541" s="3" t="s">
        <v>205</v>
      </c>
      <c r="E541" s="3" t="s">
        <v>67</v>
      </c>
      <c r="F541" s="4" t="s">
        <v>26</v>
      </c>
      <c r="G541" s="4">
        <v>998531</v>
      </c>
      <c r="H541" s="23">
        <v>0.18</v>
      </c>
      <c r="I541" s="9">
        <v>10000</v>
      </c>
      <c r="J541" s="9">
        <f t="shared" si="34"/>
        <v>900</v>
      </c>
      <c r="K541" s="9">
        <f t="shared" si="33"/>
        <v>900</v>
      </c>
      <c r="L541" s="9"/>
      <c r="M541" s="9">
        <f>Table432[[#This Row],[Taxable Amount]]+Table432[[#This Row],[SGST]]+Table432[[#This Row],[CGST]]</f>
        <v>11800</v>
      </c>
      <c r="N541" s="71">
        <f>Table432[[#This Row],[Taxable Amount]]*1%</f>
        <v>100</v>
      </c>
      <c r="O541" s="150"/>
      <c r="P541" s="57">
        <v>11700</v>
      </c>
      <c r="Q541" s="59">
        <v>45958</v>
      </c>
      <c r="R541" s="117" t="s">
        <v>752</v>
      </c>
      <c r="S541" s="138">
        <f>Table432[[#This Row],[Invoice Amount]]-Table432[[#This Row],[TDS]]-Table432[[#This Row],[RTN]]-Table432[[#This Row],[RECIVED AMOUNT]]</f>
        <v>0</v>
      </c>
      <c r="T541" s="3"/>
      <c r="U541" s="3"/>
      <c r="V541" s="41">
        <f>Table432[[#This Row],[BALANCE]]-Table432[[#This Row],[RECIVED AMOUNT2]]</f>
        <v>0</v>
      </c>
    </row>
    <row r="542" spans="1:22" ht="19.95" customHeight="1">
      <c r="A542" s="2">
        <v>45900</v>
      </c>
      <c r="B542" s="3" t="s">
        <v>793</v>
      </c>
      <c r="C542" s="3" t="s">
        <v>372</v>
      </c>
      <c r="D542" s="3" t="s">
        <v>794</v>
      </c>
      <c r="E542" s="3" t="s">
        <v>374</v>
      </c>
      <c r="F542" s="4" t="s">
        <v>26</v>
      </c>
      <c r="G542" s="4">
        <v>998531</v>
      </c>
      <c r="H542" s="23">
        <v>0.18</v>
      </c>
      <c r="I542" s="9">
        <v>1250</v>
      </c>
      <c r="J542" s="9">
        <f t="shared" si="34"/>
        <v>112.5</v>
      </c>
      <c r="K542" s="9">
        <f t="shared" si="33"/>
        <v>112.5</v>
      </c>
      <c r="L542" s="9"/>
      <c r="M542" s="9">
        <f>Table432[[#This Row],[Taxable Amount]]+Table432[[#This Row],[SGST]]+Table432[[#This Row],[CGST]]</f>
        <v>1475</v>
      </c>
      <c r="N542" s="67"/>
      <c r="O542" s="182">
        <v>0</v>
      </c>
      <c r="P542" s="147">
        <f>Table432[[#This Row],[Taxable Amount]]+Table432[[#This Row],[SGST]]+Table432[[#This Row],[CGST]]</f>
        <v>1475</v>
      </c>
      <c r="Q542" s="59">
        <v>45927</v>
      </c>
      <c r="R542" s="117" t="s">
        <v>752</v>
      </c>
      <c r="S542" s="138">
        <f>Table432[[#This Row],[Invoice Amount]]-Table432[[#This Row],[TDS]]-Table432[[#This Row],[RTN]]-Table432[[#This Row],[RECIVED AMOUNT]]</f>
        <v>0</v>
      </c>
      <c r="T542" s="3"/>
      <c r="U542" s="3"/>
      <c r="V542" s="41">
        <f>Table432[[#This Row],[BALANCE]]-Table432[[#This Row],[RECIVED AMOUNT2]]</f>
        <v>0</v>
      </c>
    </row>
    <row r="543" spans="1:22" ht="19.95" customHeight="1">
      <c r="A543" s="2">
        <v>45900</v>
      </c>
      <c r="B543" s="3" t="s">
        <v>795</v>
      </c>
      <c r="C543" s="3" t="s">
        <v>567</v>
      </c>
      <c r="D543" s="7" t="s">
        <v>568</v>
      </c>
      <c r="E543" s="7" t="s">
        <v>232</v>
      </c>
      <c r="F543" s="5" t="s">
        <v>26</v>
      </c>
      <c r="G543" s="5">
        <v>998531</v>
      </c>
      <c r="H543" s="23">
        <v>0.18</v>
      </c>
      <c r="I543" s="9">
        <v>1000</v>
      </c>
      <c r="J543" s="9">
        <f t="shared" si="34"/>
        <v>90</v>
      </c>
      <c r="K543" s="9">
        <f t="shared" si="33"/>
        <v>90</v>
      </c>
      <c r="L543" s="9"/>
      <c r="M543" s="9">
        <f>Table432[[#This Row],[Taxable Amount]]+Table432[[#This Row],[SGST]]+Table432[[#This Row],[CGST]]</f>
        <v>1180</v>
      </c>
      <c r="N543" s="67"/>
      <c r="O543" s="150"/>
      <c r="P543" s="57">
        <v>1180</v>
      </c>
      <c r="Q543" s="59">
        <v>45981</v>
      </c>
      <c r="R543" s="117" t="s">
        <v>752</v>
      </c>
      <c r="S543" s="138">
        <f>Table432[[#This Row],[Invoice Amount]]-Table432[[#This Row],[TDS]]-Table432[[#This Row],[RTN]]-Table432[[#This Row],[RECIVED AMOUNT]]</f>
        <v>0</v>
      </c>
      <c r="T543" s="3"/>
      <c r="U543" s="3"/>
      <c r="V543" s="41">
        <f>Table432[[#This Row],[BALANCE]]-Table432[[#This Row],[RECIVED AMOUNT2]]</f>
        <v>0</v>
      </c>
    </row>
    <row r="544" spans="1:22" ht="19.95" customHeight="1">
      <c r="A544" s="2">
        <v>45900</v>
      </c>
      <c r="B544" s="3" t="s">
        <v>796</v>
      </c>
      <c r="C544" s="3" t="s">
        <v>720</v>
      </c>
      <c r="D544" s="3" t="s">
        <v>721</v>
      </c>
      <c r="E544" s="3" t="s">
        <v>722</v>
      </c>
      <c r="F544" s="4" t="s">
        <v>26</v>
      </c>
      <c r="G544" s="22">
        <v>998531</v>
      </c>
      <c r="H544" s="23">
        <v>0.18</v>
      </c>
      <c r="I544" s="9">
        <v>9600</v>
      </c>
      <c r="J544" s="9">
        <f t="shared" si="34"/>
        <v>864</v>
      </c>
      <c r="K544" s="9">
        <f t="shared" si="33"/>
        <v>864</v>
      </c>
      <c r="L544" s="9"/>
      <c r="M544" s="9">
        <f>Table432[[#This Row],[Taxable Amount]]+Table432[[#This Row],[SGST]]+Table432[[#This Row],[CGST]]</f>
        <v>11328</v>
      </c>
      <c r="N544" s="67"/>
      <c r="O544" s="150"/>
      <c r="P544" s="57">
        <v>11338</v>
      </c>
      <c r="Q544" s="59">
        <v>45909</v>
      </c>
      <c r="R544" s="117" t="s">
        <v>752</v>
      </c>
      <c r="S544" s="138">
        <f>Table432[[#This Row],[Invoice Amount]]-Table432[[#This Row],[TDS]]-Table432[[#This Row],[RTN]]-Table432[[#This Row],[RECIVED AMOUNT]]</f>
        <v>-10</v>
      </c>
      <c r="T544" s="3"/>
      <c r="U544" s="3"/>
      <c r="V544" s="41">
        <f>Table432[[#This Row],[BALANCE]]-Table432[[#This Row],[RECIVED AMOUNT2]]</f>
        <v>-10</v>
      </c>
    </row>
    <row r="545" spans="1:22" ht="19.95" customHeight="1">
      <c r="A545" s="2">
        <v>45900</v>
      </c>
      <c r="B545" s="3" t="s">
        <v>797</v>
      </c>
      <c r="C545" s="3" t="s">
        <v>720</v>
      </c>
      <c r="D545" s="3" t="s">
        <v>721</v>
      </c>
      <c r="E545" s="3" t="s">
        <v>750</v>
      </c>
      <c r="F545" s="4" t="s">
        <v>26</v>
      </c>
      <c r="G545" s="4">
        <v>998531</v>
      </c>
      <c r="H545" s="23">
        <v>0.18</v>
      </c>
      <c r="I545" s="9">
        <v>5000</v>
      </c>
      <c r="J545" s="9">
        <f t="shared" si="34"/>
        <v>450</v>
      </c>
      <c r="K545" s="9">
        <f t="shared" si="33"/>
        <v>450</v>
      </c>
      <c r="L545" s="9"/>
      <c r="M545" s="9">
        <f>Table432[[#This Row],[Taxable Amount]]+Table432[[#This Row],[SGST]]+Table432[[#This Row],[CGST]]</f>
        <v>5900</v>
      </c>
      <c r="N545" s="67"/>
      <c r="O545" s="150"/>
      <c r="P545" s="57">
        <v>5000</v>
      </c>
      <c r="Q545" s="59">
        <v>45918</v>
      </c>
      <c r="R545" s="117" t="s">
        <v>752</v>
      </c>
      <c r="S545" s="138">
        <f>Table432[[#This Row],[Invoice Amount]]-Table432[[#This Row],[TDS]]-Table432[[#This Row],[RTN]]-Table432[[#This Row],[RECIVED AMOUNT]]</f>
        <v>900</v>
      </c>
      <c r="T545" s="3"/>
      <c r="U545" s="3"/>
      <c r="V545" s="41">
        <f>Table432[[#This Row],[BALANCE]]-Table432[[#This Row],[RECIVED AMOUNT2]]</f>
        <v>900</v>
      </c>
    </row>
    <row r="546" spans="1:22" s="325" customFormat="1" ht="19.95" customHeight="1">
      <c r="A546" s="339">
        <v>45900</v>
      </c>
      <c r="B546" s="327" t="s">
        <v>798</v>
      </c>
      <c r="C546" s="327" t="s">
        <v>234</v>
      </c>
      <c r="D546" s="327" t="s">
        <v>235</v>
      </c>
      <c r="E546" s="327" t="s">
        <v>236</v>
      </c>
      <c r="F546" s="332" t="s">
        <v>26</v>
      </c>
      <c r="G546" s="332">
        <v>998531</v>
      </c>
      <c r="H546" s="317">
        <v>0.18</v>
      </c>
      <c r="I546" s="340">
        <v>9400</v>
      </c>
      <c r="J546" s="340">
        <f t="shared" si="34"/>
        <v>846</v>
      </c>
      <c r="K546" s="340">
        <f t="shared" si="33"/>
        <v>846</v>
      </c>
      <c r="L546" s="340"/>
      <c r="M546" s="340">
        <f>Table432[[#This Row],[Taxable Amount]]+Table432[[#This Row],[SGST]]+Table432[[#This Row],[CGST]]</f>
        <v>11092</v>
      </c>
      <c r="N546" s="341">
        <v>0</v>
      </c>
      <c r="O546" s="342"/>
      <c r="P546" s="343"/>
      <c r="Q546" s="343"/>
      <c r="R546" s="344" t="s">
        <v>752</v>
      </c>
      <c r="S546" s="323">
        <f>Table432[[#This Row],[Invoice Amount]]-Table432[[#This Row],[TDS]]-Table432[[#This Row],[RTN]]-Table432[[#This Row],[RECIVED AMOUNT]]</f>
        <v>11092</v>
      </c>
      <c r="T546" s="327"/>
      <c r="U546" s="327"/>
      <c r="V546" s="324">
        <f>Table432[[#This Row],[BALANCE]]-Table432[[#This Row],[RECIVED AMOUNT2]]</f>
        <v>11092</v>
      </c>
    </row>
    <row r="547" spans="1:22" ht="19.95" customHeight="1">
      <c r="A547" s="2">
        <v>45901</v>
      </c>
      <c r="B547" s="3" t="s">
        <v>799</v>
      </c>
      <c r="C547" s="3" t="s">
        <v>800</v>
      </c>
      <c r="D547" s="3" t="s">
        <v>801</v>
      </c>
      <c r="E547" s="3" t="s">
        <v>59</v>
      </c>
      <c r="F547" s="4" t="s">
        <v>26</v>
      </c>
      <c r="G547" s="4">
        <v>998531</v>
      </c>
      <c r="H547" s="23">
        <v>0.18</v>
      </c>
      <c r="I547" s="9">
        <v>11016.94</v>
      </c>
      <c r="J547" s="9">
        <f t="shared" si="34"/>
        <v>991.52460000000008</v>
      </c>
      <c r="K547" s="9">
        <f t="shared" si="33"/>
        <v>991.52460000000008</v>
      </c>
      <c r="L547" s="9"/>
      <c r="M547" s="9">
        <f>Table432[[#This Row],[Taxable Amount]]+Table432[[#This Row],[SGST]]+Table432[[#This Row],[CGST]]</f>
        <v>12999.989200000002</v>
      </c>
      <c r="N547" s="67"/>
      <c r="O547" s="150"/>
      <c r="P547" s="57">
        <v>13000</v>
      </c>
      <c r="Q547" s="59">
        <v>45919</v>
      </c>
      <c r="R547" s="117" t="s">
        <v>879</v>
      </c>
      <c r="S547" s="138">
        <f>Table432[[#This Row],[Invoice Amount]]-Table432[[#This Row],[TDS]]-Table432[[#This Row],[RTN]]-Table432[[#This Row],[RECIVED AMOUNT]]</f>
        <v>-1.0799999998198473E-2</v>
      </c>
      <c r="T547" s="3"/>
      <c r="U547" s="3"/>
      <c r="V547" s="41">
        <f>Table432[[#This Row],[BALANCE]]-Table432[[#This Row],[RECIVED AMOUNT2]]</f>
        <v>-1.0799999998198473E-2</v>
      </c>
    </row>
    <row r="548" spans="1:22" s="325" customFormat="1" ht="19.95" customHeight="1">
      <c r="A548" s="339">
        <v>45901</v>
      </c>
      <c r="B548" s="327" t="s">
        <v>802</v>
      </c>
      <c r="C548" s="327" t="s">
        <v>595</v>
      </c>
      <c r="D548" s="327" t="s">
        <v>596</v>
      </c>
      <c r="E548" s="327" t="s">
        <v>629</v>
      </c>
      <c r="F548" s="332" t="s">
        <v>26</v>
      </c>
      <c r="G548" s="332">
        <v>998531</v>
      </c>
      <c r="H548" s="317">
        <v>0.18</v>
      </c>
      <c r="I548" s="340">
        <v>16000</v>
      </c>
      <c r="J548" s="340">
        <f t="shared" si="34"/>
        <v>1440</v>
      </c>
      <c r="K548" s="340">
        <f t="shared" si="33"/>
        <v>1440</v>
      </c>
      <c r="L548" s="340"/>
      <c r="M548" s="340">
        <f>Table432[[#This Row],[Taxable Amount]]+Table432[[#This Row],[SGST]]+Table432[[#This Row],[CGST]]</f>
        <v>18880</v>
      </c>
      <c r="N548" s="341">
        <f>Table432[[#This Row],[Taxable Amount]]*1%</f>
        <v>160</v>
      </c>
      <c r="O548" s="342"/>
      <c r="P548" s="343"/>
      <c r="Q548" s="343"/>
      <c r="R548" s="344" t="s">
        <v>879</v>
      </c>
      <c r="S548" s="323">
        <f>Table432[[#This Row],[Invoice Amount]]-Table432[[#This Row],[TDS]]-Table432[[#This Row],[RTN]]-Table432[[#This Row],[RECIVED AMOUNT]]</f>
        <v>18720</v>
      </c>
      <c r="T548" s="327"/>
      <c r="U548" s="327"/>
      <c r="V548" s="324">
        <f>Table432[[#This Row],[BALANCE]]-Table432[[#This Row],[RECIVED AMOUNT2]]</f>
        <v>18720</v>
      </c>
    </row>
    <row r="549" spans="1:22" ht="19.95" customHeight="1">
      <c r="A549" s="2">
        <v>45901</v>
      </c>
      <c r="B549" s="3" t="s">
        <v>803</v>
      </c>
      <c r="C549" s="3" t="s">
        <v>173</v>
      </c>
      <c r="D549" s="3" t="s">
        <v>174</v>
      </c>
      <c r="E549" s="3" t="s">
        <v>62</v>
      </c>
      <c r="F549" s="4" t="s">
        <v>26</v>
      </c>
      <c r="G549" s="4">
        <v>998531</v>
      </c>
      <c r="H549" s="23">
        <v>0.18</v>
      </c>
      <c r="I549" s="9">
        <v>8800</v>
      </c>
      <c r="J549" s="9">
        <f t="shared" si="34"/>
        <v>792</v>
      </c>
      <c r="K549" s="9">
        <f t="shared" si="33"/>
        <v>792</v>
      </c>
      <c r="L549" s="9"/>
      <c r="M549" s="9">
        <f>Table432[[#This Row],[Taxable Amount]]+Table432[[#This Row],[SGST]]+Table432[[#This Row],[CGST]]</f>
        <v>10384</v>
      </c>
      <c r="N549" s="67">
        <f>Table432[[#This Row],[Taxable Amount]]*1%</f>
        <v>88</v>
      </c>
      <c r="O549" s="150"/>
      <c r="P549" s="156">
        <v>10296</v>
      </c>
      <c r="Q549" s="59">
        <v>45937</v>
      </c>
      <c r="R549" s="117" t="s">
        <v>879</v>
      </c>
      <c r="S549" s="138">
        <f>Table432[[#This Row],[Invoice Amount]]-Table432[[#This Row],[TDS]]-Table432[[#This Row],[RTN]]-Table432[[#This Row],[RECIVED AMOUNT]]</f>
        <v>0</v>
      </c>
      <c r="T549" s="3"/>
      <c r="U549" s="3"/>
      <c r="V549" s="41">
        <f>Table432[[#This Row],[BALANCE]]-Table432[[#This Row],[RECIVED AMOUNT2]]</f>
        <v>0</v>
      </c>
    </row>
    <row r="550" spans="1:22" ht="19.95" customHeight="1">
      <c r="A550" s="2">
        <v>45905</v>
      </c>
      <c r="B550" s="3" t="s">
        <v>804</v>
      </c>
      <c r="C550" s="3" t="s">
        <v>674</v>
      </c>
      <c r="D550" s="3" t="s">
        <v>675</v>
      </c>
      <c r="E550" s="3" t="s">
        <v>676</v>
      </c>
      <c r="F550" s="4" t="s">
        <v>26</v>
      </c>
      <c r="G550" s="4">
        <v>998531</v>
      </c>
      <c r="H550" s="23">
        <v>0.18</v>
      </c>
      <c r="I550" s="9">
        <v>7400</v>
      </c>
      <c r="J550" s="9">
        <f t="shared" si="34"/>
        <v>666</v>
      </c>
      <c r="K550" s="9">
        <f t="shared" si="33"/>
        <v>666</v>
      </c>
      <c r="L550" s="9"/>
      <c r="M550" s="9">
        <f>Table432[[#This Row],[Taxable Amount]]+Table432[[#This Row],[SGST]]+Table432[[#This Row],[CGST]]</f>
        <v>8732</v>
      </c>
      <c r="N550" s="67">
        <f>Table432[[#This Row],[Taxable Amount]]*1%</f>
        <v>74</v>
      </c>
      <c r="O550" s="150"/>
      <c r="P550" s="57">
        <v>8658</v>
      </c>
      <c r="Q550" s="59">
        <v>45979</v>
      </c>
      <c r="R550" s="117" t="s">
        <v>879</v>
      </c>
      <c r="S550" s="138">
        <f>Table432[[#This Row],[Invoice Amount]]-Table432[[#This Row],[TDS]]-Table432[[#This Row],[RTN]]-Table432[[#This Row],[RECIVED AMOUNT]]</f>
        <v>0</v>
      </c>
      <c r="T550" s="3"/>
      <c r="U550" s="3"/>
      <c r="V550" s="41">
        <f>Table432[[#This Row],[BALANCE]]-Table432[[#This Row],[RECIVED AMOUNT2]]</f>
        <v>0</v>
      </c>
    </row>
    <row r="551" spans="1:22" ht="19.95" customHeight="1">
      <c r="A551" s="2">
        <v>45905</v>
      </c>
      <c r="B551" s="3" t="s">
        <v>805</v>
      </c>
      <c r="C551" s="3" t="s">
        <v>674</v>
      </c>
      <c r="D551" s="3" t="s">
        <v>675</v>
      </c>
      <c r="E551" s="3" t="s">
        <v>678</v>
      </c>
      <c r="F551" s="4" t="s">
        <v>26</v>
      </c>
      <c r="G551" s="4">
        <v>998531</v>
      </c>
      <c r="H551" s="23">
        <v>0.18</v>
      </c>
      <c r="I551" s="9">
        <v>3000</v>
      </c>
      <c r="J551" s="9">
        <f t="shared" si="34"/>
        <v>270</v>
      </c>
      <c r="K551" s="9">
        <f t="shared" si="33"/>
        <v>270</v>
      </c>
      <c r="L551" s="9"/>
      <c r="M551" s="9">
        <f>Table432[[#This Row],[Taxable Amount]]+Table432[[#This Row],[SGST]]+Table432[[#This Row],[CGST]]</f>
        <v>3540</v>
      </c>
      <c r="N551" s="67">
        <f>Table432[[#This Row],[Taxable Amount]]*1%</f>
        <v>30</v>
      </c>
      <c r="O551" s="150"/>
      <c r="P551" s="57">
        <v>3510</v>
      </c>
      <c r="Q551" s="59">
        <v>45979</v>
      </c>
      <c r="R551" s="117" t="s">
        <v>879</v>
      </c>
      <c r="S551" s="138">
        <f>Table432[[#This Row],[Invoice Amount]]-Table432[[#This Row],[TDS]]-Table432[[#This Row],[RTN]]-Table432[[#This Row],[RECIVED AMOUNT]]</f>
        <v>0</v>
      </c>
      <c r="T551" s="3"/>
      <c r="U551" s="3"/>
      <c r="V551" s="41">
        <f>Table432[[#This Row],[BALANCE]]-Table432[[#This Row],[RECIVED AMOUNT2]]</f>
        <v>0</v>
      </c>
    </row>
    <row r="552" spans="1:22" ht="19.95" customHeight="1">
      <c r="A552" s="2">
        <v>45905</v>
      </c>
      <c r="B552" s="3" t="s">
        <v>806</v>
      </c>
      <c r="C552" s="3" t="s">
        <v>674</v>
      </c>
      <c r="D552" s="3" t="s">
        <v>675</v>
      </c>
      <c r="E552" s="3" t="s">
        <v>680</v>
      </c>
      <c r="F552" s="4" t="s">
        <v>26</v>
      </c>
      <c r="G552" s="4">
        <v>998531</v>
      </c>
      <c r="H552" s="23">
        <v>0.18</v>
      </c>
      <c r="I552" s="9">
        <v>5200</v>
      </c>
      <c r="J552" s="9">
        <f t="shared" si="34"/>
        <v>468</v>
      </c>
      <c r="K552" s="9">
        <f t="shared" si="33"/>
        <v>468</v>
      </c>
      <c r="L552" s="9"/>
      <c r="M552" s="9">
        <f>Table432[[#This Row],[Taxable Amount]]+Table432[[#This Row],[SGST]]+Table432[[#This Row],[CGST]]</f>
        <v>6136</v>
      </c>
      <c r="N552" s="67">
        <f>Table432[[#This Row],[Taxable Amount]]*1%</f>
        <v>52</v>
      </c>
      <c r="O552" s="150"/>
      <c r="P552" s="57">
        <v>6084</v>
      </c>
      <c r="Q552" s="59">
        <v>46101</v>
      </c>
      <c r="R552" s="117" t="s">
        <v>879</v>
      </c>
      <c r="S552" s="138">
        <f>Table432[[#This Row],[Invoice Amount]]-Table432[[#This Row],[TDS]]-Table432[[#This Row],[RTN]]-Table432[[#This Row],[RECIVED AMOUNT]]</f>
        <v>0</v>
      </c>
      <c r="T552" s="3"/>
      <c r="U552" s="3"/>
      <c r="V552" s="41">
        <f>Table432[[#This Row],[BALANCE]]-Table432[[#This Row],[RECIVED AMOUNT2]]</f>
        <v>0</v>
      </c>
    </row>
    <row r="553" spans="1:22" ht="19.95" customHeight="1">
      <c r="A553" s="2">
        <v>45905</v>
      </c>
      <c r="B553" s="3" t="s">
        <v>807</v>
      </c>
      <c r="C553" s="3" t="s">
        <v>674</v>
      </c>
      <c r="D553" s="3" t="s">
        <v>675</v>
      </c>
      <c r="E553" s="3" t="s">
        <v>684</v>
      </c>
      <c r="F553" s="4" t="s">
        <v>26</v>
      </c>
      <c r="G553" s="4">
        <v>998531</v>
      </c>
      <c r="H553" s="23">
        <v>0.18</v>
      </c>
      <c r="I553" s="9">
        <v>2650</v>
      </c>
      <c r="J553" s="9">
        <f t="shared" si="34"/>
        <v>238.5</v>
      </c>
      <c r="K553" s="9">
        <f t="shared" si="33"/>
        <v>238.5</v>
      </c>
      <c r="L553" s="9"/>
      <c r="M553" s="9">
        <f>Table432[[#This Row],[Taxable Amount]]+Table432[[#This Row],[SGST]]+Table432[[#This Row],[CGST]]</f>
        <v>3127</v>
      </c>
      <c r="N553" s="67">
        <f>Table432[[#This Row],[Taxable Amount]]*1%</f>
        <v>26.5</v>
      </c>
      <c r="O553" s="150"/>
      <c r="P553" s="57">
        <v>3100</v>
      </c>
      <c r="Q553" s="59">
        <v>46101</v>
      </c>
      <c r="R553" s="117" t="s">
        <v>879</v>
      </c>
      <c r="S553" s="138">
        <f>Table432[[#This Row],[Invoice Amount]]-Table432[[#This Row],[TDS]]-Table432[[#This Row],[RTN]]-Table432[[#This Row],[RECIVED AMOUNT]]</f>
        <v>0.5</v>
      </c>
      <c r="T553" s="3"/>
      <c r="U553" s="3"/>
      <c r="V553" s="41">
        <f>Table432[[#This Row],[BALANCE]]-Table432[[#This Row],[RECIVED AMOUNT2]]</f>
        <v>0.5</v>
      </c>
    </row>
    <row r="554" spans="1:22" ht="19.95" customHeight="1">
      <c r="A554" s="2">
        <v>45905</v>
      </c>
      <c r="B554" s="3" t="s">
        <v>808</v>
      </c>
      <c r="C554" s="3" t="s">
        <v>674</v>
      </c>
      <c r="D554" s="3" t="s">
        <v>675</v>
      </c>
      <c r="E554" s="3" t="s">
        <v>714</v>
      </c>
      <c r="F554" s="4" t="s">
        <v>26</v>
      </c>
      <c r="G554" s="4">
        <v>998531</v>
      </c>
      <c r="H554" s="23">
        <v>0.18</v>
      </c>
      <c r="I554" s="9">
        <v>2250</v>
      </c>
      <c r="J554" s="9">
        <f t="shared" si="34"/>
        <v>202.5</v>
      </c>
      <c r="K554" s="9">
        <f t="shared" si="33"/>
        <v>202.5</v>
      </c>
      <c r="L554" s="9"/>
      <c r="M554" s="9">
        <f>Table432[[#This Row],[Taxable Amount]]+Table432[[#This Row],[SGST]]+Table432[[#This Row],[CGST]]</f>
        <v>2655</v>
      </c>
      <c r="N554" s="67">
        <f>Table432[[#This Row],[Taxable Amount]]*1%</f>
        <v>22.5</v>
      </c>
      <c r="O554" s="150"/>
      <c r="P554" s="57">
        <v>2632</v>
      </c>
      <c r="Q554" s="59">
        <v>46101</v>
      </c>
      <c r="R554" s="117" t="s">
        <v>879</v>
      </c>
      <c r="S554" s="138">
        <f>Table432[[#This Row],[Invoice Amount]]-Table432[[#This Row],[TDS]]-Table432[[#This Row],[RTN]]-Table432[[#This Row],[RECIVED AMOUNT]]</f>
        <v>0.5</v>
      </c>
      <c r="T554" s="3"/>
      <c r="U554" s="3"/>
      <c r="V554" s="41">
        <f>Table432[[#This Row],[BALANCE]]-Table432[[#This Row],[RECIVED AMOUNT2]]</f>
        <v>0.5</v>
      </c>
    </row>
    <row r="555" spans="1:22" ht="19.95" customHeight="1">
      <c r="A555" s="2">
        <v>45905</v>
      </c>
      <c r="B555" s="3" t="s">
        <v>809</v>
      </c>
      <c r="C555" s="3" t="s">
        <v>674</v>
      </c>
      <c r="D555" s="3" t="s">
        <v>675</v>
      </c>
      <c r="E555" s="3" t="s">
        <v>716</v>
      </c>
      <c r="F555" s="4" t="s">
        <v>26</v>
      </c>
      <c r="G555" s="4">
        <v>998531</v>
      </c>
      <c r="H555" s="23">
        <v>0.18</v>
      </c>
      <c r="I555" s="9">
        <v>2350</v>
      </c>
      <c r="J555" s="9">
        <f t="shared" si="34"/>
        <v>211.5</v>
      </c>
      <c r="K555" s="9">
        <f t="shared" si="33"/>
        <v>211.5</v>
      </c>
      <c r="L555" s="9"/>
      <c r="M555" s="9">
        <f>Table432[[#This Row],[Taxable Amount]]+Table432[[#This Row],[SGST]]+Table432[[#This Row],[CGST]]</f>
        <v>2773</v>
      </c>
      <c r="N555" s="67">
        <f>Table432[[#This Row],[Taxable Amount]]*1%</f>
        <v>23.5</v>
      </c>
      <c r="O555" s="150"/>
      <c r="P555" s="57">
        <v>2749</v>
      </c>
      <c r="Q555" s="59">
        <v>46101</v>
      </c>
      <c r="R555" s="117" t="s">
        <v>879</v>
      </c>
      <c r="S555" s="138">
        <f>Table432[[#This Row],[Invoice Amount]]-Table432[[#This Row],[TDS]]-Table432[[#This Row],[RTN]]-Table432[[#This Row],[RECIVED AMOUNT]]</f>
        <v>0.5</v>
      </c>
      <c r="T555" s="3"/>
      <c r="U555" s="3"/>
      <c r="V555" s="41">
        <f>Table432[[#This Row],[BALANCE]]-Table432[[#This Row],[RECIVED AMOUNT2]]</f>
        <v>0.5</v>
      </c>
    </row>
    <row r="556" spans="1:22" ht="19.95" customHeight="1">
      <c r="A556" s="2">
        <v>45905</v>
      </c>
      <c r="B556" s="3" t="s">
        <v>810</v>
      </c>
      <c r="C556" s="3" t="s">
        <v>674</v>
      </c>
      <c r="D556" s="3" t="s">
        <v>675</v>
      </c>
      <c r="E556" s="3" t="s">
        <v>811</v>
      </c>
      <c r="F556" s="4" t="s">
        <v>26</v>
      </c>
      <c r="G556" s="4">
        <v>998531</v>
      </c>
      <c r="H556" s="23">
        <v>0.18</v>
      </c>
      <c r="I556" s="9">
        <v>11400</v>
      </c>
      <c r="J556" s="9">
        <f t="shared" si="34"/>
        <v>1026</v>
      </c>
      <c r="K556" s="9">
        <f t="shared" si="33"/>
        <v>1026</v>
      </c>
      <c r="L556" s="9"/>
      <c r="M556" s="9">
        <f>Table432[[#This Row],[Taxable Amount]]+Table432[[#This Row],[SGST]]+Table432[[#This Row],[CGST]]</f>
        <v>13452</v>
      </c>
      <c r="N556" s="67">
        <f>Table432[[#This Row],[Taxable Amount]]*1%</f>
        <v>114</v>
      </c>
      <c r="O556" s="150"/>
      <c r="P556" s="57">
        <v>13338</v>
      </c>
      <c r="Q556" s="59">
        <v>46101</v>
      </c>
      <c r="R556" s="117" t="s">
        <v>879</v>
      </c>
      <c r="S556" s="138">
        <f>Table432[[#This Row],[Invoice Amount]]-Table432[[#This Row],[TDS]]-Table432[[#This Row],[RTN]]-Table432[[#This Row],[RECIVED AMOUNT]]</f>
        <v>0</v>
      </c>
      <c r="T556" s="3"/>
      <c r="U556" s="3"/>
      <c r="V556" s="41">
        <f>Table432[[#This Row],[BALANCE]]-Table432[[#This Row],[RECIVED AMOUNT2]]</f>
        <v>0</v>
      </c>
    </row>
    <row r="557" spans="1:22" ht="19.95" customHeight="1">
      <c r="A557" s="2">
        <v>45905</v>
      </c>
      <c r="B557" s="3" t="s">
        <v>812</v>
      </c>
      <c r="C557" s="3" t="s">
        <v>674</v>
      </c>
      <c r="D557" s="3" t="s">
        <v>675</v>
      </c>
      <c r="E557" s="3" t="s">
        <v>813</v>
      </c>
      <c r="F557" s="4" t="s">
        <v>26</v>
      </c>
      <c r="G557" s="4">
        <v>998531</v>
      </c>
      <c r="H557" s="23">
        <v>0.18</v>
      </c>
      <c r="I557" s="9">
        <v>6300</v>
      </c>
      <c r="J557" s="9">
        <f t="shared" si="34"/>
        <v>567</v>
      </c>
      <c r="K557" s="9">
        <f t="shared" si="33"/>
        <v>567</v>
      </c>
      <c r="L557" s="9"/>
      <c r="M557" s="9">
        <f>Table432[[#This Row],[Taxable Amount]]+Table432[[#This Row],[SGST]]+Table432[[#This Row],[CGST]]</f>
        <v>7434</v>
      </c>
      <c r="N557" s="67">
        <f>Table432[[#This Row],[Taxable Amount]]*1%</f>
        <v>63</v>
      </c>
      <c r="O557" s="150"/>
      <c r="P557" s="57">
        <v>7371</v>
      </c>
      <c r="Q557" s="59">
        <v>46101</v>
      </c>
      <c r="R557" s="117" t="s">
        <v>879</v>
      </c>
      <c r="S557" s="138">
        <f>Table432[[#This Row],[Invoice Amount]]-Table432[[#This Row],[TDS]]-Table432[[#This Row],[RTN]]-Table432[[#This Row],[RECIVED AMOUNT]]</f>
        <v>0</v>
      </c>
      <c r="T557" s="3"/>
      <c r="U557" s="3"/>
      <c r="V557" s="41">
        <f>Table432[[#This Row],[BALANCE]]-Table432[[#This Row],[RECIVED AMOUNT2]]</f>
        <v>0</v>
      </c>
    </row>
    <row r="558" spans="1:22" ht="19.95" customHeight="1">
      <c r="A558" s="2">
        <v>45905</v>
      </c>
      <c r="B558" s="3" t="s">
        <v>814</v>
      </c>
      <c r="C558" s="3" t="s">
        <v>674</v>
      </c>
      <c r="D558" s="3" t="s">
        <v>675</v>
      </c>
      <c r="E558" s="3" t="s">
        <v>815</v>
      </c>
      <c r="F558" s="4" t="s">
        <v>26</v>
      </c>
      <c r="G558" s="4">
        <v>998531</v>
      </c>
      <c r="H558" s="23">
        <v>0.18</v>
      </c>
      <c r="I558" s="9">
        <v>1100</v>
      </c>
      <c r="J558" s="9">
        <f t="shared" si="34"/>
        <v>99</v>
      </c>
      <c r="K558" s="9">
        <f t="shared" si="33"/>
        <v>99</v>
      </c>
      <c r="L558" s="41"/>
      <c r="M558" s="41">
        <f>Table432[[#This Row],[Taxable Amount]]+Table432[[#This Row],[SGST]]+Table432[[#This Row],[CGST]]</f>
        <v>1298</v>
      </c>
      <c r="N558" s="67">
        <f>Table432[[#This Row],[Taxable Amount]]*1%</f>
        <v>11</v>
      </c>
      <c r="O558" s="157"/>
      <c r="P558" s="57">
        <v>1287</v>
      </c>
      <c r="Q558" s="59">
        <v>46101</v>
      </c>
      <c r="R558" s="117" t="s">
        <v>879</v>
      </c>
      <c r="S558" s="138">
        <f>Table432[[#This Row],[Invoice Amount]]-Table432[[#This Row],[TDS]]-Table432[[#This Row],[RTN]]-Table432[[#This Row],[RECIVED AMOUNT]]</f>
        <v>0</v>
      </c>
      <c r="T558" s="3"/>
      <c r="U558" s="3"/>
      <c r="V558" s="41">
        <f>Table432[[#This Row],[BALANCE]]-Table432[[#This Row],[RECIVED AMOUNT2]]</f>
        <v>0</v>
      </c>
    </row>
    <row r="559" spans="1:22" ht="19.95" customHeight="1">
      <c r="A559" s="2">
        <v>45925</v>
      </c>
      <c r="B559" s="3" t="s">
        <v>816</v>
      </c>
      <c r="C559" s="3" t="s">
        <v>637</v>
      </c>
      <c r="D559" s="3" t="s">
        <v>638</v>
      </c>
      <c r="E559" s="3" t="s">
        <v>629</v>
      </c>
      <c r="F559" s="4" t="s">
        <v>26</v>
      </c>
      <c r="G559" s="22">
        <v>998531</v>
      </c>
      <c r="H559" s="23">
        <v>0.18</v>
      </c>
      <c r="I559" s="9">
        <v>12400</v>
      </c>
      <c r="J559" s="9">
        <f t="shared" si="34"/>
        <v>1116</v>
      </c>
      <c r="K559" s="9">
        <f>I559*9/100</f>
        <v>1116</v>
      </c>
      <c r="L559" s="9"/>
      <c r="M559" s="9">
        <f>Table432[[#This Row],[Taxable Amount]]+Table432[[#This Row],[SGST]]+Table432[[#This Row],[CGST]]</f>
        <v>14632</v>
      </c>
      <c r="N559" s="67">
        <f>Table432[[#This Row],[Taxable Amount]]*1%</f>
        <v>124</v>
      </c>
      <c r="O559" s="157">
        <v>310</v>
      </c>
      <c r="P559" s="283">
        <v>11966</v>
      </c>
      <c r="Q559" s="59">
        <v>45960</v>
      </c>
      <c r="R559" s="117" t="s">
        <v>879</v>
      </c>
      <c r="S559" s="138">
        <f>Table432[[#This Row],[Invoice Amount]]-Table432[[#This Row],[TDS]]-Table432[[#This Row],[RTN]]-Table432[[#This Row],[RECIVED AMOUNT]]</f>
        <v>2232</v>
      </c>
      <c r="T559" s="3">
        <v>2232</v>
      </c>
      <c r="U559" s="74">
        <v>46007</v>
      </c>
      <c r="V559" s="41">
        <f>Table432[[#This Row],[BALANCE]]-Table432[[#This Row],[RECIVED AMOUNT2]]</f>
        <v>0</v>
      </c>
    </row>
    <row r="560" spans="1:22" s="247" customFormat="1" ht="19.95" customHeight="1">
      <c r="A560" s="259">
        <v>45925</v>
      </c>
      <c r="B560" s="234" t="s">
        <v>817</v>
      </c>
      <c r="C560" s="234" t="s">
        <v>42</v>
      </c>
      <c r="D560" s="234" t="s">
        <v>730</v>
      </c>
      <c r="E560" s="234" t="s">
        <v>632</v>
      </c>
      <c r="F560" s="250" t="s">
        <v>26</v>
      </c>
      <c r="G560" s="250">
        <v>998531</v>
      </c>
      <c r="H560" s="237">
        <v>0.18</v>
      </c>
      <c r="I560" s="260">
        <v>16030</v>
      </c>
      <c r="J560" s="260">
        <f t="shared" si="34"/>
        <v>1442.7</v>
      </c>
      <c r="K560" s="260">
        <f>I560*9/100</f>
        <v>1442.7</v>
      </c>
      <c r="L560" s="260"/>
      <c r="M560" s="260">
        <f>Table432[[#This Row],[Taxable Amount]]+Table432[[#This Row],[SGST]]+Table432[[#This Row],[CGST]]</f>
        <v>18915.400000000001</v>
      </c>
      <c r="N560" s="261">
        <f>Table432[[#This Row],[Taxable Amount]]*1%</f>
        <v>160.30000000000001</v>
      </c>
      <c r="O560" s="262">
        <v>401</v>
      </c>
      <c r="P560" s="263">
        <v>24664</v>
      </c>
      <c r="Q560" s="264">
        <v>45946</v>
      </c>
      <c r="R560" s="265" t="s">
        <v>879</v>
      </c>
      <c r="S560" s="245">
        <f>Table432[[#This Row],[Invoice Amount]]-Table432[[#This Row],[TDS]]-Table432[[#This Row],[RTN]]-Table432[[#This Row],[RECIVED AMOUNT]]</f>
        <v>-6309.8999999999978</v>
      </c>
      <c r="T560" s="234"/>
      <c r="U560" s="234"/>
      <c r="V560" s="246">
        <f>Table432[[#This Row],[BALANCE]]-Table432[[#This Row],[RECIVED AMOUNT2]]</f>
        <v>-6309.8999999999978</v>
      </c>
    </row>
    <row r="561" spans="1:22" s="247" customFormat="1" ht="19.95" customHeight="1">
      <c r="A561" s="259">
        <v>45925</v>
      </c>
      <c r="B561" s="234" t="s">
        <v>818</v>
      </c>
      <c r="C561" s="234" t="s">
        <v>42</v>
      </c>
      <c r="D561" s="234" t="s">
        <v>730</v>
      </c>
      <c r="E561" s="234" t="s">
        <v>101</v>
      </c>
      <c r="F561" s="250" t="s">
        <v>26</v>
      </c>
      <c r="G561" s="250">
        <v>998531</v>
      </c>
      <c r="H561" s="237">
        <v>0.18</v>
      </c>
      <c r="I561" s="260">
        <v>5050</v>
      </c>
      <c r="J561" s="260">
        <f t="shared" si="34"/>
        <v>454.5</v>
      </c>
      <c r="K561" s="260">
        <f>I561*9/100</f>
        <v>454.5</v>
      </c>
      <c r="L561" s="260"/>
      <c r="M561" s="260">
        <f>Table432[[#This Row],[Taxable Amount]]+Table432[[#This Row],[SGST]]+Table432[[#This Row],[CGST]]</f>
        <v>5959</v>
      </c>
      <c r="N561" s="261">
        <f>Table432[[#This Row],[Taxable Amount]]*1%</f>
        <v>50.5</v>
      </c>
      <c r="O561" s="262">
        <v>126</v>
      </c>
      <c r="P561" s="263"/>
      <c r="Q561" s="264">
        <v>45946</v>
      </c>
      <c r="R561" s="265" t="s">
        <v>879</v>
      </c>
      <c r="S561" s="245">
        <f>Table432[[#This Row],[Invoice Amount]]-Table432[[#This Row],[TDS]]-Table432[[#This Row],[RTN]]-Table432[[#This Row],[RECIVED AMOUNT]]</f>
        <v>5782.5</v>
      </c>
      <c r="T561" s="234"/>
      <c r="U561" s="234"/>
      <c r="V561" s="246">
        <f>Table432[[#This Row],[BALANCE]]-Table432[[#This Row],[RECIVED AMOUNT2]]</f>
        <v>5782.5</v>
      </c>
    </row>
    <row r="562" spans="1:22" s="247" customFormat="1" ht="19.95" customHeight="1">
      <c r="A562" s="259">
        <v>45925</v>
      </c>
      <c r="B562" s="234" t="s">
        <v>819</v>
      </c>
      <c r="C562" s="234" t="s">
        <v>42</v>
      </c>
      <c r="D562" s="234" t="s">
        <v>730</v>
      </c>
      <c r="E562" s="234" t="s">
        <v>44</v>
      </c>
      <c r="F562" s="250" t="s">
        <v>26</v>
      </c>
      <c r="G562" s="250">
        <v>998531</v>
      </c>
      <c r="H562" s="237">
        <v>0.18</v>
      </c>
      <c r="I562" s="260">
        <v>15400</v>
      </c>
      <c r="J562" s="260">
        <f t="shared" si="34"/>
        <v>1386</v>
      </c>
      <c r="K562" s="260">
        <f>I562*9/100</f>
        <v>1386</v>
      </c>
      <c r="L562" s="260"/>
      <c r="M562" s="260">
        <f>Table432[[#This Row],[Taxable Amount]]+Table432[[#This Row],[SGST]]+Table432[[#This Row],[CGST]]</f>
        <v>18172</v>
      </c>
      <c r="N562" s="261">
        <f>Table432[[#This Row],[Taxable Amount]]*1%</f>
        <v>154</v>
      </c>
      <c r="O562" s="262">
        <f>Table432[[#This Row],[Invoice Amount]]*1%</f>
        <v>181.72</v>
      </c>
      <c r="P562" s="263">
        <v>17633</v>
      </c>
      <c r="Q562" s="264">
        <v>45940</v>
      </c>
      <c r="R562" s="265" t="s">
        <v>879</v>
      </c>
      <c r="S562" s="245">
        <f>Table432[[#This Row],[Invoice Amount]]-Table432[[#This Row],[TDS]]-Table432[[#This Row],[RTN]]-Table432[[#This Row],[RECIVED AMOUNT]]</f>
        <v>203.27999999999884</v>
      </c>
      <c r="T562" s="234"/>
      <c r="U562" s="234"/>
      <c r="V562" s="246">
        <f>Table432[[#This Row],[BALANCE]]-Table432[[#This Row],[RECIVED AMOUNT2]]</f>
        <v>203.27999999999884</v>
      </c>
    </row>
    <row r="563" spans="1:22" s="247" customFormat="1" ht="19.95" customHeight="1">
      <c r="A563" s="259">
        <v>45925</v>
      </c>
      <c r="B563" s="234" t="s">
        <v>820</v>
      </c>
      <c r="C563" s="234" t="s">
        <v>42</v>
      </c>
      <c r="D563" s="234" t="s">
        <v>730</v>
      </c>
      <c r="E563" s="234" t="s">
        <v>163</v>
      </c>
      <c r="F563" s="250" t="s">
        <v>26</v>
      </c>
      <c r="G563" s="250">
        <v>998531</v>
      </c>
      <c r="H563" s="237">
        <v>0.18</v>
      </c>
      <c r="I563" s="260">
        <v>20550</v>
      </c>
      <c r="J563" s="260">
        <f t="shared" si="34"/>
        <v>1849.5</v>
      </c>
      <c r="K563" s="260">
        <f>I563*9/100</f>
        <v>1849.5</v>
      </c>
      <c r="L563" s="260"/>
      <c r="M563" s="260">
        <f>Table432[[#This Row],[Taxable Amount]]+Table432[[#This Row],[SGST]]+Table432[[#This Row],[CGST]]</f>
        <v>24249</v>
      </c>
      <c r="N563" s="261">
        <f>Table432[[#This Row],[Taxable Amount]]*1%</f>
        <v>205.5</v>
      </c>
      <c r="O563" s="262">
        <v>513</v>
      </c>
      <c r="P563" s="263">
        <v>23529</v>
      </c>
      <c r="Q563" s="264">
        <v>45947</v>
      </c>
      <c r="R563" s="265" t="s">
        <v>879</v>
      </c>
      <c r="S563" s="245">
        <f>Table432[[#This Row],[Invoice Amount]]-Table432[[#This Row],[TDS]]-Table432[[#This Row],[RTN]]-Table432[[#This Row],[RECIVED AMOUNT]]</f>
        <v>1.5</v>
      </c>
      <c r="T563" s="234"/>
      <c r="U563" s="234"/>
      <c r="V563" s="246">
        <f>Table432[[#This Row],[BALANCE]]-Table432[[#This Row],[RECIVED AMOUNT2]]</f>
        <v>1.5</v>
      </c>
    </row>
    <row r="564" spans="1:22" s="481" customFormat="1" ht="19.95" customHeight="1">
      <c r="A564" s="485">
        <v>45930</v>
      </c>
      <c r="B564" s="482" t="s">
        <v>821</v>
      </c>
      <c r="C564" s="482" t="s">
        <v>319</v>
      </c>
      <c r="D564" s="482" t="s">
        <v>320</v>
      </c>
      <c r="E564" s="482" t="s">
        <v>85</v>
      </c>
      <c r="F564" s="486" t="s">
        <v>26</v>
      </c>
      <c r="G564" s="486">
        <v>998531</v>
      </c>
      <c r="H564" s="470">
        <v>0.18</v>
      </c>
      <c r="I564" s="487">
        <v>18300</v>
      </c>
      <c r="J564" s="487">
        <f t="shared" si="34"/>
        <v>1647</v>
      </c>
      <c r="K564" s="487">
        <f t="shared" si="33"/>
        <v>1647</v>
      </c>
      <c r="L564" s="480"/>
      <c r="M564" s="480">
        <f>Table432[[#This Row],[Taxable Amount]]+Table432[[#This Row],[SGST]]+Table432[[#This Row],[CGST]]</f>
        <v>21594</v>
      </c>
      <c r="N564" s="488">
        <f>Table432[[#This Row],[Taxable Amount]]*1%</f>
        <v>183</v>
      </c>
      <c r="O564" s="489"/>
      <c r="P564" s="490">
        <v>21411</v>
      </c>
      <c r="Q564" s="491">
        <v>45960</v>
      </c>
      <c r="R564" s="492" t="s">
        <v>879</v>
      </c>
      <c r="S564" s="479">
        <f>Table432[[#This Row],[Invoice Amount]]-Table432[[#This Row],[TDS]]-Table432[[#This Row],[RTN]]-Table432[[#This Row],[RECIVED AMOUNT]]</f>
        <v>0</v>
      </c>
      <c r="T564" s="482"/>
      <c r="U564" s="482"/>
      <c r="V564" s="480">
        <f>Table432[[#This Row],[BALANCE]]-Table432[[#This Row],[RECIVED AMOUNT2]]</f>
        <v>0</v>
      </c>
    </row>
    <row r="565" spans="1:22" s="481" customFormat="1" ht="19.95" customHeight="1">
      <c r="A565" s="485">
        <v>45930</v>
      </c>
      <c r="B565" s="482" t="s">
        <v>822</v>
      </c>
      <c r="C565" s="482" t="s">
        <v>319</v>
      </c>
      <c r="D565" s="482" t="s">
        <v>320</v>
      </c>
      <c r="E565" s="482" t="s">
        <v>59</v>
      </c>
      <c r="F565" s="486" t="s">
        <v>26</v>
      </c>
      <c r="G565" s="486">
        <v>998531</v>
      </c>
      <c r="H565" s="470">
        <v>0.18</v>
      </c>
      <c r="I565" s="487">
        <v>26100</v>
      </c>
      <c r="J565" s="487">
        <f t="shared" si="34"/>
        <v>2349</v>
      </c>
      <c r="K565" s="487">
        <f t="shared" si="33"/>
        <v>2349</v>
      </c>
      <c r="L565" s="480"/>
      <c r="M565" s="480">
        <f>Table432[[#This Row],[Taxable Amount]]+Table432[[#This Row],[SGST]]+Table432[[#This Row],[CGST]]</f>
        <v>30798</v>
      </c>
      <c r="N565" s="488">
        <f>Table432[[#This Row],[Taxable Amount]]*1%</f>
        <v>261</v>
      </c>
      <c r="O565" s="489"/>
      <c r="P565" s="490">
        <v>30537</v>
      </c>
      <c r="Q565" s="491">
        <v>45999</v>
      </c>
      <c r="R565" s="492" t="s">
        <v>879</v>
      </c>
      <c r="S565" s="479">
        <f>Table432[[#This Row],[Invoice Amount]]-Table432[[#This Row],[TDS]]-Table432[[#This Row],[RTN]]-Table432[[#This Row],[RECIVED AMOUNT]]</f>
        <v>0</v>
      </c>
      <c r="T565" s="482"/>
      <c r="U565" s="482"/>
      <c r="V565" s="480">
        <f>Table432[[#This Row],[BALANCE]]-Table432[[#This Row],[RECIVED AMOUNT2]]</f>
        <v>0</v>
      </c>
    </row>
    <row r="566" spans="1:22" ht="19.95" customHeight="1">
      <c r="A566" s="2">
        <v>45930</v>
      </c>
      <c r="B566" s="3" t="s">
        <v>823</v>
      </c>
      <c r="C566" s="7" t="s">
        <v>319</v>
      </c>
      <c r="D566" s="7" t="s">
        <v>320</v>
      </c>
      <c r="E566" s="7" t="s">
        <v>89</v>
      </c>
      <c r="F566" s="5" t="s">
        <v>26</v>
      </c>
      <c r="G566" s="4">
        <v>998531</v>
      </c>
      <c r="H566" s="23">
        <v>0.18</v>
      </c>
      <c r="I566" s="9">
        <v>19200</v>
      </c>
      <c r="J566" s="9">
        <f t="shared" si="34"/>
        <v>1728</v>
      </c>
      <c r="K566" s="9">
        <f t="shared" si="33"/>
        <v>1728</v>
      </c>
      <c r="L566" s="41"/>
      <c r="M566" s="41">
        <f>Table432[[#This Row],[Taxable Amount]]+Table432[[#This Row],[SGST]]+Table432[[#This Row],[CGST]]</f>
        <v>22656</v>
      </c>
      <c r="N566" s="67">
        <f>Table432[[#This Row],[Taxable Amount]]*1%</f>
        <v>192</v>
      </c>
      <c r="O566" s="157"/>
      <c r="P566" s="57"/>
      <c r="Q566" s="59"/>
      <c r="R566" s="117" t="s">
        <v>879</v>
      </c>
      <c r="S566" s="138">
        <f>Table432[[#This Row],[Invoice Amount]]-Table432[[#This Row],[TDS]]-Table432[[#This Row],[RTN]]-Table432[[#This Row],[RECIVED AMOUNT]]</f>
        <v>22464</v>
      </c>
      <c r="T566" s="3"/>
      <c r="U566" s="3"/>
      <c r="V566" s="41">
        <f>Table432[[#This Row],[BALANCE]]-Table432[[#This Row],[RECIVED AMOUNT2]]</f>
        <v>22464</v>
      </c>
    </row>
    <row r="567" spans="1:22" ht="19.95" customHeight="1">
      <c r="A567" s="2">
        <v>45930</v>
      </c>
      <c r="B567" s="3" t="s">
        <v>824</v>
      </c>
      <c r="C567" s="21" t="s">
        <v>116</v>
      </c>
      <c r="D567" s="3" t="s">
        <v>117</v>
      </c>
      <c r="E567" s="3" t="s">
        <v>59</v>
      </c>
      <c r="F567" s="4" t="s">
        <v>26</v>
      </c>
      <c r="G567" s="4">
        <v>998531</v>
      </c>
      <c r="H567" s="23">
        <v>0.18</v>
      </c>
      <c r="I567" s="9">
        <v>17300</v>
      </c>
      <c r="J567" s="9">
        <f t="shared" si="34"/>
        <v>1557</v>
      </c>
      <c r="K567" s="9">
        <f t="shared" si="33"/>
        <v>1557</v>
      </c>
      <c r="L567" s="41"/>
      <c r="M567" s="41">
        <f>Table432[[#This Row],[Taxable Amount]]+Table432[[#This Row],[SGST]]+Table432[[#This Row],[CGST]]</f>
        <v>20414</v>
      </c>
      <c r="N567" s="67">
        <f>Table432[[#This Row],[Taxable Amount]]*1%</f>
        <v>173</v>
      </c>
      <c r="O567" s="157">
        <v>0</v>
      </c>
      <c r="P567" s="148">
        <v>20241</v>
      </c>
      <c r="Q567" s="59">
        <v>45960</v>
      </c>
      <c r="R567" s="117" t="s">
        <v>879</v>
      </c>
      <c r="S567" s="138">
        <f>Table432[[#This Row],[Invoice Amount]]-Table432[[#This Row],[TDS]]-Table432[[#This Row],[RTN]]-Table432[[#This Row],[RECIVED AMOUNT]]</f>
        <v>0</v>
      </c>
      <c r="T567" s="3"/>
      <c r="U567" s="3"/>
      <c r="V567" s="41">
        <f>Table432[[#This Row],[BALANCE]]-Table432[[#This Row],[RECIVED AMOUNT2]]</f>
        <v>0</v>
      </c>
    </row>
    <row r="568" spans="1:22" ht="19.95" customHeight="1">
      <c r="A568" s="2">
        <v>45930</v>
      </c>
      <c r="B568" s="3" t="s">
        <v>825</v>
      </c>
      <c r="C568" s="3" t="s">
        <v>390</v>
      </c>
      <c r="D568" s="3" t="s">
        <v>391</v>
      </c>
      <c r="E568" s="3" t="s">
        <v>260</v>
      </c>
      <c r="F568" s="4" t="s">
        <v>26</v>
      </c>
      <c r="G568" s="5">
        <v>998531</v>
      </c>
      <c r="H568" s="23">
        <v>0.18</v>
      </c>
      <c r="I568" s="9">
        <v>1205.1600000000001</v>
      </c>
      <c r="J568" s="9">
        <f t="shared" si="34"/>
        <v>108.46440000000001</v>
      </c>
      <c r="K568" s="9">
        <f t="shared" si="33"/>
        <v>108.46440000000001</v>
      </c>
      <c r="L568" s="41"/>
      <c r="M568" s="41">
        <f>Table432[[#This Row],[Taxable Amount]]+Table432[[#This Row],[SGST]]+Table432[[#This Row],[CGST]]</f>
        <v>1422.0888000000002</v>
      </c>
      <c r="N568" s="67">
        <f>Table432[[#This Row],[Taxable Amount]]*1%</f>
        <v>12.051600000000001</v>
      </c>
      <c r="O568" s="157"/>
      <c r="P568" s="57"/>
      <c r="Q568" s="59">
        <v>46036</v>
      </c>
      <c r="R568" s="117" t="s">
        <v>879</v>
      </c>
      <c r="S568" s="138">
        <f>Table432[[#This Row],[Invoice Amount]]-Table432[[#This Row],[TDS]]-Table432[[#This Row],[RTN]]-Table432[[#This Row],[RECIVED AMOUNT]]</f>
        <v>1410.0372000000002</v>
      </c>
      <c r="T568" s="3"/>
      <c r="U568" s="3"/>
      <c r="V568" s="41">
        <f>Table432[[#This Row],[BALANCE]]-Table432[[#This Row],[RECIVED AMOUNT2]]</f>
        <v>1410.0372000000002</v>
      </c>
    </row>
    <row r="569" spans="1:22" ht="19.95" customHeight="1">
      <c r="A569" s="2">
        <v>45930</v>
      </c>
      <c r="B569" s="3" t="s">
        <v>826</v>
      </c>
      <c r="C569" s="3" t="s">
        <v>390</v>
      </c>
      <c r="D569" s="3" t="s">
        <v>391</v>
      </c>
      <c r="E569" s="3" t="s">
        <v>260</v>
      </c>
      <c r="F569" s="4" t="s">
        <v>26</v>
      </c>
      <c r="G569" s="4">
        <v>998531</v>
      </c>
      <c r="H569" s="23">
        <v>0.18</v>
      </c>
      <c r="I569" s="9">
        <v>1448.35</v>
      </c>
      <c r="J569" s="9">
        <f t="shared" si="34"/>
        <v>130.35149999999999</v>
      </c>
      <c r="K569" s="9">
        <f t="shared" si="33"/>
        <v>130.35149999999999</v>
      </c>
      <c r="L569" s="41"/>
      <c r="M569" s="41">
        <f>Table432[[#This Row],[Taxable Amount]]+Table432[[#This Row],[SGST]]+Table432[[#This Row],[CGST]]</f>
        <v>1709.0529999999999</v>
      </c>
      <c r="N569" s="67">
        <f>Table432[[#This Row],[Taxable Amount]]*1%</f>
        <v>14.483499999999999</v>
      </c>
      <c r="O569" s="157"/>
      <c r="P569" s="57"/>
      <c r="Q569" s="59">
        <v>46036</v>
      </c>
      <c r="R569" s="117" t="s">
        <v>879</v>
      </c>
      <c r="S569" s="138">
        <f>Table432[[#This Row],[Invoice Amount]]-Table432[[#This Row],[TDS]]-Table432[[#This Row],[RTN]]-Table432[[#This Row],[RECIVED AMOUNT]]</f>
        <v>1694.5694999999998</v>
      </c>
      <c r="T569" s="3"/>
      <c r="U569" s="3"/>
      <c r="V569" s="41">
        <f>Table432[[#This Row],[BALANCE]]-Table432[[#This Row],[RECIVED AMOUNT2]]</f>
        <v>1694.5694999999998</v>
      </c>
    </row>
    <row r="570" spans="1:22" ht="19.95" customHeight="1">
      <c r="A570" s="2">
        <v>45930</v>
      </c>
      <c r="B570" s="3" t="s">
        <v>827</v>
      </c>
      <c r="C570" s="3" t="s">
        <v>390</v>
      </c>
      <c r="D570" s="3" t="s">
        <v>391</v>
      </c>
      <c r="E570" s="3" t="s">
        <v>260</v>
      </c>
      <c r="F570" s="4" t="s">
        <v>26</v>
      </c>
      <c r="G570" s="4">
        <v>998531</v>
      </c>
      <c r="H570" s="23">
        <v>0.18</v>
      </c>
      <c r="I570" s="9">
        <v>2008.6</v>
      </c>
      <c r="J570" s="9">
        <f t="shared" si="34"/>
        <v>180.77399999999997</v>
      </c>
      <c r="K570" s="9">
        <f t="shared" si="33"/>
        <v>180.77399999999997</v>
      </c>
      <c r="L570" s="41"/>
      <c r="M570" s="41">
        <f>Table432[[#This Row],[Taxable Amount]]+Table432[[#This Row],[SGST]]+Table432[[#This Row],[CGST]]</f>
        <v>2370.1479999999997</v>
      </c>
      <c r="N570" s="67">
        <f>Table432[[#This Row],[Taxable Amount]]*1%</f>
        <v>20.085999999999999</v>
      </c>
      <c r="O570" s="157"/>
      <c r="P570" s="57"/>
      <c r="Q570" s="59">
        <v>46036</v>
      </c>
      <c r="R570" s="117" t="s">
        <v>879</v>
      </c>
      <c r="S570" s="138">
        <f>Table432[[#This Row],[Invoice Amount]]-Table432[[#This Row],[TDS]]-Table432[[#This Row],[RTN]]-Table432[[#This Row],[RECIVED AMOUNT]]</f>
        <v>2350.0619999999999</v>
      </c>
      <c r="T570" s="3"/>
      <c r="U570" s="3"/>
      <c r="V570" s="41">
        <f>Table432[[#This Row],[BALANCE]]-Table432[[#This Row],[RECIVED AMOUNT2]]</f>
        <v>2350.0619999999999</v>
      </c>
    </row>
    <row r="571" spans="1:22" ht="19.95" customHeight="1">
      <c r="A571" s="2">
        <v>45930</v>
      </c>
      <c r="B571" s="3" t="s">
        <v>828</v>
      </c>
      <c r="C571" s="3" t="s">
        <v>390</v>
      </c>
      <c r="D571" s="3" t="s">
        <v>391</v>
      </c>
      <c r="E571" s="3" t="s">
        <v>260</v>
      </c>
      <c r="F571" s="4" t="s">
        <v>26</v>
      </c>
      <c r="G571" s="4">
        <v>998531</v>
      </c>
      <c r="H571" s="23">
        <v>0.18</v>
      </c>
      <c r="I571" s="9">
        <v>1035.8399999999999</v>
      </c>
      <c r="J571" s="9">
        <f t="shared" si="34"/>
        <v>93.2256</v>
      </c>
      <c r="K571" s="9">
        <f t="shared" si="33"/>
        <v>93.2256</v>
      </c>
      <c r="L571" s="41"/>
      <c r="M571" s="41">
        <f>Table432[[#This Row],[Taxable Amount]]+Table432[[#This Row],[SGST]]+Table432[[#This Row],[CGST]]</f>
        <v>1222.2911999999999</v>
      </c>
      <c r="N571" s="67">
        <f>Table432[[#This Row],[Taxable Amount]]*1%</f>
        <v>10.3584</v>
      </c>
      <c r="O571" s="157"/>
      <c r="P571" s="57"/>
      <c r="Q571" s="59">
        <v>46036</v>
      </c>
      <c r="R571" s="117" t="s">
        <v>879</v>
      </c>
      <c r="S571" s="138">
        <f>Table432[[#This Row],[Invoice Amount]]-Table432[[#This Row],[TDS]]-Table432[[#This Row],[RTN]]-Table432[[#This Row],[RECIVED AMOUNT]]</f>
        <v>1211.9327999999998</v>
      </c>
      <c r="T571" s="3"/>
      <c r="U571" s="3"/>
      <c r="V571" s="41">
        <f>Table432[[#This Row],[BALANCE]]-Table432[[#This Row],[RECIVED AMOUNT2]]</f>
        <v>1211.9327999999998</v>
      </c>
    </row>
    <row r="572" spans="1:22" ht="19.95" customHeight="1">
      <c r="A572" s="2">
        <v>45930</v>
      </c>
      <c r="B572" s="3" t="s">
        <v>829</v>
      </c>
      <c r="C572" s="3" t="s">
        <v>390</v>
      </c>
      <c r="D572" s="3" t="s">
        <v>391</v>
      </c>
      <c r="E572" s="3" t="s">
        <v>260</v>
      </c>
      <c r="F572" s="4" t="s">
        <v>26</v>
      </c>
      <c r="G572" s="4">
        <v>998531</v>
      </c>
      <c r="H572" s="23">
        <v>0.18</v>
      </c>
      <c r="I572" s="9">
        <v>972.76</v>
      </c>
      <c r="J572" s="9">
        <f t="shared" si="34"/>
        <v>87.548400000000001</v>
      </c>
      <c r="K572" s="9">
        <f t="shared" si="33"/>
        <v>87.548400000000001</v>
      </c>
      <c r="L572" s="41"/>
      <c r="M572" s="41">
        <f>Table432[[#This Row],[Taxable Amount]]+Table432[[#This Row],[SGST]]+Table432[[#This Row],[CGST]]</f>
        <v>1147.8567999999998</v>
      </c>
      <c r="N572" s="67">
        <f>Table432[[#This Row],[Taxable Amount]]*1%</f>
        <v>9.7276000000000007</v>
      </c>
      <c r="O572" s="157"/>
      <c r="P572" s="57"/>
      <c r="Q572" s="59">
        <v>46036</v>
      </c>
      <c r="R572" s="117" t="s">
        <v>879</v>
      </c>
      <c r="S572" s="138">
        <f>Table432[[#This Row],[Invoice Amount]]-Table432[[#This Row],[TDS]]-Table432[[#This Row],[RTN]]-Table432[[#This Row],[RECIVED AMOUNT]]</f>
        <v>1138.1291999999999</v>
      </c>
      <c r="T572" s="3"/>
      <c r="U572" s="3"/>
      <c r="V572" s="41">
        <f>Table432[[#This Row],[BALANCE]]-Table432[[#This Row],[RECIVED AMOUNT2]]</f>
        <v>1138.1291999999999</v>
      </c>
    </row>
    <row r="573" spans="1:22" ht="19.95" customHeight="1">
      <c r="A573" s="2">
        <v>45930</v>
      </c>
      <c r="B573" s="3" t="s">
        <v>830</v>
      </c>
      <c r="C573" s="3" t="s">
        <v>390</v>
      </c>
      <c r="D573" s="3" t="s">
        <v>391</v>
      </c>
      <c r="E573" s="3" t="s">
        <v>260</v>
      </c>
      <c r="F573" s="4" t="s">
        <v>26</v>
      </c>
      <c r="G573" s="4">
        <v>998531</v>
      </c>
      <c r="H573" s="23">
        <v>0.18</v>
      </c>
      <c r="I573" s="9">
        <v>930.43</v>
      </c>
      <c r="J573" s="9">
        <f t="shared" si="34"/>
        <v>83.738699999999994</v>
      </c>
      <c r="K573" s="9">
        <f t="shared" si="33"/>
        <v>83.738699999999994</v>
      </c>
      <c r="L573" s="41"/>
      <c r="M573" s="41">
        <f>Table432[[#This Row],[Taxable Amount]]+Table432[[#This Row],[SGST]]+Table432[[#This Row],[CGST]]</f>
        <v>1097.9074000000001</v>
      </c>
      <c r="N573" s="67">
        <f>Table432[[#This Row],[Taxable Amount]]*1%</f>
        <v>9.3042999999999996</v>
      </c>
      <c r="O573" s="157"/>
      <c r="P573" s="57"/>
      <c r="Q573" s="59">
        <v>46036</v>
      </c>
      <c r="R573" s="117" t="s">
        <v>879</v>
      </c>
      <c r="S573" s="138">
        <f>Table432[[#This Row],[Invoice Amount]]-Table432[[#This Row],[TDS]]-Table432[[#This Row],[RTN]]-Table432[[#This Row],[RECIVED AMOUNT]]</f>
        <v>1088.6031</v>
      </c>
      <c r="T573" s="3"/>
      <c r="U573" s="3"/>
      <c r="V573" s="41">
        <f>Table432[[#This Row],[BALANCE]]-Table432[[#This Row],[RECIVED AMOUNT2]]</f>
        <v>1088.6031</v>
      </c>
    </row>
    <row r="574" spans="1:22" ht="19.95" customHeight="1">
      <c r="A574" s="2">
        <v>45930</v>
      </c>
      <c r="B574" s="3" t="s">
        <v>831</v>
      </c>
      <c r="C574" s="3" t="s">
        <v>390</v>
      </c>
      <c r="D574" s="3" t="s">
        <v>391</v>
      </c>
      <c r="E574" s="3" t="s">
        <v>260</v>
      </c>
      <c r="F574" s="4" t="s">
        <v>26</v>
      </c>
      <c r="G574" s="4">
        <v>998531</v>
      </c>
      <c r="H574" s="23">
        <v>0.18</v>
      </c>
      <c r="I574" s="9">
        <v>698.86</v>
      </c>
      <c r="J574" s="9">
        <f t="shared" si="34"/>
        <v>62.897399999999998</v>
      </c>
      <c r="K574" s="9">
        <f t="shared" si="33"/>
        <v>62.897399999999998</v>
      </c>
      <c r="L574" s="41"/>
      <c r="M574" s="41">
        <f>Table432[[#This Row],[Taxable Amount]]+Table432[[#This Row],[SGST]]+Table432[[#This Row],[CGST]]</f>
        <v>824.65479999999991</v>
      </c>
      <c r="N574" s="67">
        <f>Table432[[#This Row],[Taxable Amount]]*1%</f>
        <v>6.9885999999999999</v>
      </c>
      <c r="O574" s="157"/>
      <c r="P574" s="57">
        <v>9713</v>
      </c>
      <c r="Q574" s="59">
        <v>46036</v>
      </c>
      <c r="R574" s="117" t="s">
        <v>879</v>
      </c>
      <c r="S574" s="138">
        <f>Table432[[#This Row],[Invoice Amount]]-Table432[[#This Row],[TDS]]-Table432[[#This Row],[RTN]]-Table432[[#This Row],[RECIVED AMOUNT]]</f>
        <v>-8895.3338000000003</v>
      </c>
      <c r="T574" s="3"/>
      <c r="U574" s="3"/>
      <c r="V574" s="41">
        <f>Table432[[#This Row],[BALANCE]]-Table432[[#This Row],[RECIVED AMOUNT2]]</f>
        <v>-8895.3338000000003</v>
      </c>
    </row>
    <row r="575" spans="1:22" ht="19.95" customHeight="1">
      <c r="A575" s="2">
        <v>45930</v>
      </c>
      <c r="B575" s="3" t="s">
        <v>832</v>
      </c>
      <c r="C575" s="7" t="s">
        <v>290</v>
      </c>
      <c r="D575" s="3" t="s">
        <v>291</v>
      </c>
      <c r="E575" s="3" t="s">
        <v>25</v>
      </c>
      <c r="F575" s="4" t="s">
        <v>26</v>
      </c>
      <c r="G575" s="4">
        <v>998531</v>
      </c>
      <c r="H575" s="23">
        <v>0.18</v>
      </c>
      <c r="I575" s="9">
        <v>3000</v>
      </c>
      <c r="J575" s="9">
        <f t="shared" si="34"/>
        <v>270</v>
      </c>
      <c r="K575" s="9">
        <f t="shared" si="33"/>
        <v>270</v>
      </c>
      <c r="L575" s="41"/>
      <c r="M575" s="41">
        <f>Table432[[#This Row],[Taxable Amount]]+Table432[[#This Row],[SGST]]+Table432[[#This Row],[CGST]]</f>
        <v>3540</v>
      </c>
      <c r="N575" s="110">
        <f>Table432[[#This Row],[Taxable Amount]]*0%</f>
        <v>0</v>
      </c>
      <c r="O575" s="157"/>
      <c r="P575" s="119"/>
      <c r="Q575" s="59"/>
      <c r="R575" s="117" t="s">
        <v>879</v>
      </c>
      <c r="S575" s="138">
        <f>Table432[[#This Row],[Invoice Amount]]-Table432[[#This Row],[TDS]]-Table432[[#This Row],[RTN]]-Table432[[#This Row],[RECIVED AMOUNT]]</f>
        <v>3540</v>
      </c>
      <c r="T575" s="3"/>
      <c r="U575" s="3"/>
      <c r="V575" s="41">
        <f>Table432[[#This Row],[BALANCE]]-Table432[[#This Row],[RECIVED AMOUNT2]]</f>
        <v>3540</v>
      </c>
    </row>
    <row r="576" spans="1:22" ht="19.95" customHeight="1">
      <c r="A576" s="2">
        <v>45930</v>
      </c>
      <c r="B576" s="3" t="s">
        <v>833</v>
      </c>
      <c r="C576" s="3" t="s">
        <v>955</v>
      </c>
      <c r="D576" s="3" t="s">
        <v>205</v>
      </c>
      <c r="E576" s="3" t="s">
        <v>67</v>
      </c>
      <c r="F576" s="4" t="s">
        <v>26</v>
      </c>
      <c r="G576" s="4">
        <v>998531</v>
      </c>
      <c r="H576" s="23">
        <v>0.18</v>
      </c>
      <c r="I576" s="9">
        <v>10000</v>
      </c>
      <c r="J576" s="9">
        <f t="shared" si="34"/>
        <v>900</v>
      </c>
      <c r="K576" s="9">
        <f t="shared" si="33"/>
        <v>900</v>
      </c>
      <c r="L576" s="41"/>
      <c r="M576" s="41">
        <f>Table432[[#This Row],[Taxable Amount]]+Table432[[#This Row],[SGST]]+Table432[[#This Row],[CGST]]</f>
        <v>11800</v>
      </c>
      <c r="N576" s="67">
        <f>Table432[[#This Row],[Taxable Amount]]*1%</f>
        <v>100</v>
      </c>
      <c r="O576" s="157"/>
      <c r="P576" s="57">
        <v>11700</v>
      </c>
      <c r="Q576" s="59">
        <v>46006</v>
      </c>
      <c r="R576" s="117" t="s">
        <v>879</v>
      </c>
      <c r="S576" s="138">
        <f>Table432[[#This Row],[Invoice Amount]]-Table432[[#This Row],[TDS]]-Table432[[#This Row],[RTN]]-Table432[[#This Row],[RECIVED AMOUNT]]</f>
        <v>0</v>
      </c>
      <c r="T576" s="3"/>
      <c r="U576" s="3"/>
      <c r="V576" s="41">
        <f>Table432[[#This Row],[BALANCE]]-Table432[[#This Row],[RECIVED AMOUNT2]]</f>
        <v>0</v>
      </c>
    </row>
    <row r="577" spans="1:22" ht="19.95" customHeight="1">
      <c r="A577" s="2">
        <v>45930</v>
      </c>
      <c r="B577" s="3" t="s">
        <v>834</v>
      </c>
      <c r="C577" s="7" t="s">
        <v>372</v>
      </c>
      <c r="D577" s="3" t="s">
        <v>794</v>
      </c>
      <c r="E577" s="3" t="s">
        <v>374</v>
      </c>
      <c r="F577" s="4" t="s">
        <v>26</v>
      </c>
      <c r="G577" s="4">
        <v>998531</v>
      </c>
      <c r="H577" s="23">
        <v>0.18</v>
      </c>
      <c r="I577" s="9">
        <v>1250</v>
      </c>
      <c r="J577" s="9">
        <f t="shared" si="34"/>
        <v>112.5</v>
      </c>
      <c r="K577" s="9">
        <f t="shared" si="33"/>
        <v>112.5</v>
      </c>
      <c r="L577" s="41"/>
      <c r="M577" s="41">
        <f>Table432[[#This Row],[Taxable Amount]]+Table432[[#This Row],[SGST]]+Table432[[#This Row],[CGST]]</f>
        <v>1475</v>
      </c>
      <c r="N577" s="67"/>
      <c r="O577" s="182">
        <v>0</v>
      </c>
      <c r="P577" s="57">
        <v>1475</v>
      </c>
      <c r="Q577" s="59">
        <v>45953</v>
      </c>
      <c r="R577" s="117" t="s">
        <v>879</v>
      </c>
      <c r="S577" s="138">
        <f>Table432[[#This Row],[Invoice Amount]]-Table432[[#This Row],[TDS]]-Table432[[#This Row],[RTN]]-Table432[[#This Row],[RECIVED AMOUNT]]</f>
        <v>0</v>
      </c>
      <c r="T577" s="3"/>
      <c r="U577" s="3"/>
      <c r="V577" s="41">
        <f>Table432[[#This Row],[BALANCE]]-Table432[[#This Row],[RECIVED AMOUNT2]]</f>
        <v>0</v>
      </c>
    </row>
    <row r="578" spans="1:22" ht="19.95" customHeight="1">
      <c r="A578" s="2">
        <v>45930</v>
      </c>
      <c r="B578" s="3" t="s">
        <v>835</v>
      </c>
      <c r="C578" s="3" t="s">
        <v>567</v>
      </c>
      <c r="D578" s="7" t="s">
        <v>568</v>
      </c>
      <c r="E578" s="7" t="s">
        <v>232</v>
      </c>
      <c r="F578" s="5" t="s">
        <v>26</v>
      </c>
      <c r="G578" s="4">
        <v>998531</v>
      </c>
      <c r="H578" s="23">
        <v>0.18</v>
      </c>
      <c r="I578" s="9">
        <v>1000</v>
      </c>
      <c r="J578" s="9">
        <f t="shared" si="34"/>
        <v>90</v>
      </c>
      <c r="K578" s="9">
        <f t="shared" ref="K578:K586" si="35">I578*9/100</f>
        <v>90</v>
      </c>
      <c r="L578" s="41"/>
      <c r="M578" s="41">
        <f>Table432[[#This Row],[Taxable Amount]]+Table432[[#This Row],[SGST]]+Table432[[#This Row],[CGST]]</f>
        <v>1180</v>
      </c>
      <c r="N578" s="67"/>
      <c r="O578" s="157"/>
      <c r="P578" s="57"/>
      <c r="Q578" s="57"/>
      <c r="R578" s="117" t="s">
        <v>879</v>
      </c>
      <c r="S578" s="138">
        <f>Table432[[#This Row],[Invoice Amount]]-Table432[[#This Row],[TDS]]-Table432[[#This Row],[RTN]]-Table432[[#This Row],[RECIVED AMOUNT]]</f>
        <v>1180</v>
      </c>
      <c r="T578" s="3"/>
      <c r="U578" s="3"/>
      <c r="V578" s="41">
        <f>Table432[[#This Row],[BALANCE]]-Table432[[#This Row],[RECIVED AMOUNT2]]</f>
        <v>1180</v>
      </c>
    </row>
    <row r="579" spans="1:22" ht="19.95" customHeight="1">
      <c r="A579" s="2">
        <v>45930</v>
      </c>
      <c r="B579" s="3" t="s">
        <v>836</v>
      </c>
      <c r="C579" s="3" t="s">
        <v>720</v>
      </c>
      <c r="D579" s="3" t="s">
        <v>721</v>
      </c>
      <c r="E579" s="3" t="s">
        <v>722</v>
      </c>
      <c r="F579" s="4" t="s">
        <v>26</v>
      </c>
      <c r="G579" s="4">
        <v>998531</v>
      </c>
      <c r="H579" s="23">
        <v>0.18</v>
      </c>
      <c r="I579" s="9">
        <v>34400</v>
      </c>
      <c r="J579" s="9">
        <f t="shared" si="34"/>
        <v>3096</v>
      </c>
      <c r="K579" s="9">
        <f t="shared" si="35"/>
        <v>3096</v>
      </c>
      <c r="L579" s="41"/>
      <c r="M579" s="41">
        <f>Table432[[#This Row],[Taxable Amount]]+Table432[[#This Row],[SGST]]+Table432[[#This Row],[CGST]]</f>
        <v>40592</v>
      </c>
      <c r="N579" s="67"/>
      <c r="O579" s="157"/>
      <c r="P579" s="57">
        <v>40592</v>
      </c>
      <c r="Q579" s="59">
        <v>45937</v>
      </c>
      <c r="R579" s="117" t="s">
        <v>879</v>
      </c>
      <c r="S579" s="138">
        <f>Table432[[#This Row],[Invoice Amount]]-Table432[[#This Row],[TDS]]-Table432[[#This Row],[RTN]]-Table432[[#This Row],[RECIVED AMOUNT]]</f>
        <v>0</v>
      </c>
      <c r="T579" s="3"/>
      <c r="U579" s="3"/>
      <c r="V579" s="41">
        <f>Table432[[#This Row],[BALANCE]]-Table432[[#This Row],[RECIVED AMOUNT2]]</f>
        <v>0</v>
      </c>
    </row>
    <row r="580" spans="1:22" ht="19.95" customHeight="1">
      <c r="A580" s="2">
        <v>45930</v>
      </c>
      <c r="B580" s="3" t="s">
        <v>837</v>
      </c>
      <c r="C580" s="3" t="s">
        <v>720</v>
      </c>
      <c r="D580" s="3" t="s">
        <v>721</v>
      </c>
      <c r="E580" s="3" t="s">
        <v>750</v>
      </c>
      <c r="F580" s="4" t="s">
        <v>26</v>
      </c>
      <c r="G580" s="5">
        <v>998531</v>
      </c>
      <c r="H580" s="23">
        <v>0.18</v>
      </c>
      <c r="I580" s="9">
        <v>24750</v>
      </c>
      <c r="J580" s="9">
        <f t="shared" si="34"/>
        <v>2227.5</v>
      </c>
      <c r="K580" s="9">
        <f t="shared" si="35"/>
        <v>2227.5</v>
      </c>
      <c r="L580" s="41"/>
      <c r="M580" s="41">
        <f>Table432[[#This Row],[Taxable Amount]]+Table432[[#This Row],[SGST]]+Table432[[#This Row],[CGST]]</f>
        <v>29205</v>
      </c>
      <c r="N580" s="67"/>
      <c r="O580" s="157"/>
      <c r="P580" s="57">
        <v>29205</v>
      </c>
      <c r="Q580" s="59">
        <v>45948</v>
      </c>
      <c r="R580" s="117" t="s">
        <v>879</v>
      </c>
      <c r="S580" s="138">
        <f>Table432[[#This Row],[Invoice Amount]]-Table432[[#This Row],[TDS]]-Table432[[#This Row],[RTN]]-Table432[[#This Row],[RECIVED AMOUNT]]</f>
        <v>0</v>
      </c>
      <c r="T580" s="3"/>
      <c r="U580" s="3"/>
      <c r="V580" s="41">
        <f>Table432[[#This Row],[BALANCE]]-Table432[[#This Row],[RECIVED AMOUNT2]]</f>
        <v>0</v>
      </c>
    </row>
    <row r="581" spans="1:22" s="325" customFormat="1" ht="19.95" customHeight="1">
      <c r="A581" s="339">
        <v>45930</v>
      </c>
      <c r="B581" s="327" t="s">
        <v>838</v>
      </c>
      <c r="C581" s="327" t="s">
        <v>234</v>
      </c>
      <c r="D581" s="327" t="s">
        <v>235</v>
      </c>
      <c r="E581" s="327" t="s">
        <v>236</v>
      </c>
      <c r="F581" s="332" t="s">
        <v>26</v>
      </c>
      <c r="G581" s="346">
        <v>998531</v>
      </c>
      <c r="H581" s="317">
        <v>0.18</v>
      </c>
      <c r="I581" s="340">
        <v>14100</v>
      </c>
      <c r="J581" s="340">
        <f t="shared" si="34"/>
        <v>1269</v>
      </c>
      <c r="K581" s="340">
        <f t="shared" si="35"/>
        <v>1269</v>
      </c>
      <c r="L581" s="324"/>
      <c r="M581" s="324">
        <f>Table432[[#This Row],[Taxable Amount]]+Table432[[#This Row],[SGST]]+Table432[[#This Row],[CGST]]</f>
        <v>16638</v>
      </c>
      <c r="N581" s="341">
        <v>0</v>
      </c>
      <c r="O581" s="349"/>
      <c r="P581" s="343"/>
      <c r="Q581" s="343"/>
      <c r="R581" s="344" t="s">
        <v>879</v>
      </c>
      <c r="S581" s="323">
        <f>Table432[[#This Row],[Invoice Amount]]-Table432[[#This Row],[TDS]]-Table432[[#This Row],[RTN]]-Table432[[#This Row],[RECIVED AMOUNT]]</f>
        <v>16638</v>
      </c>
      <c r="T581" s="327"/>
      <c r="U581" s="327"/>
      <c r="V581" s="324">
        <f>Table432[[#This Row],[BALANCE]]-Table432[[#This Row],[RECIVED AMOUNT2]]</f>
        <v>16638</v>
      </c>
    </row>
    <row r="582" spans="1:22" ht="19.95" customHeight="1">
      <c r="A582" s="2">
        <v>45930</v>
      </c>
      <c r="B582" s="3" t="s">
        <v>839</v>
      </c>
      <c r="C582" s="3" t="s">
        <v>963</v>
      </c>
      <c r="D582" s="7" t="s">
        <v>143</v>
      </c>
      <c r="E582" s="7" t="s">
        <v>515</v>
      </c>
      <c r="F582" s="4" t="s">
        <v>26</v>
      </c>
      <c r="G582" s="4">
        <v>998531</v>
      </c>
      <c r="H582" s="23">
        <v>0.18</v>
      </c>
      <c r="I582" s="9">
        <v>8500</v>
      </c>
      <c r="J582" s="9">
        <f t="shared" si="34"/>
        <v>765</v>
      </c>
      <c r="K582" s="9">
        <f t="shared" si="35"/>
        <v>765</v>
      </c>
      <c r="L582" s="41"/>
      <c r="M582" s="41">
        <f>Table432[[#This Row],[Taxable Amount]]+Table432[[#This Row],[SGST]]+Table432[[#This Row],[CGST]]</f>
        <v>10030</v>
      </c>
      <c r="N582" s="67">
        <f>Table432[[#This Row],[Taxable Amount]]*1%</f>
        <v>85</v>
      </c>
      <c r="O582" s="157"/>
      <c r="P582" s="283">
        <v>17464</v>
      </c>
      <c r="Q582" s="97">
        <v>46135</v>
      </c>
      <c r="R582" s="117" t="s">
        <v>879</v>
      </c>
      <c r="S582" s="138">
        <f>Table432[[#This Row],[Invoice Amount]]-Table432[[#This Row],[TDS]]-Table432[[#This Row],[RTN]]-Table432[[#This Row],[RECIVED AMOUNT]]</f>
        <v>-7519</v>
      </c>
      <c r="T582" s="3"/>
      <c r="U582" s="3"/>
      <c r="V582" s="41">
        <f>Table432[[#This Row],[BALANCE]]-Table432[[#This Row],[RECIVED AMOUNT2]]</f>
        <v>-7519</v>
      </c>
    </row>
    <row r="583" spans="1:22" ht="19.95" customHeight="1">
      <c r="A583" s="2">
        <v>45931</v>
      </c>
      <c r="B583" s="3" t="s">
        <v>841</v>
      </c>
      <c r="C583" s="7" t="s">
        <v>173</v>
      </c>
      <c r="D583" s="3" t="s">
        <v>174</v>
      </c>
      <c r="E583" s="3" t="s">
        <v>62</v>
      </c>
      <c r="F583" s="4" t="s">
        <v>26</v>
      </c>
      <c r="G583" s="5">
        <v>998531</v>
      </c>
      <c r="H583" s="23">
        <v>0.18</v>
      </c>
      <c r="I583" s="9">
        <v>8800</v>
      </c>
      <c r="J583" s="9">
        <f t="shared" si="34"/>
        <v>792</v>
      </c>
      <c r="K583" s="9">
        <f t="shared" si="35"/>
        <v>792</v>
      </c>
      <c r="L583" s="41"/>
      <c r="M583" s="41">
        <f>Table432[[#This Row],[Taxable Amount]]+Table432[[#This Row],[SGST]]+Table432[[#This Row],[CGST]]</f>
        <v>10384</v>
      </c>
      <c r="N583" s="67">
        <f>Table432[[#This Row],[Taxable Amount]]*1%</f>
        <v>88</v>
      </c>
      <c r="O583" s="157"/>
      <c r="P583" s="156">
        <v>10296</v>
      </c>
      <c r="Q583" s="59">
        <v>45946</v>
      </c>
      <c r="R583" s="127" t="s">
        <v>882</v>
      </c>
      <c r="S583" s="138">
        <f>Table432[[#This Row],[Invoice Amount]]-Table432[[#This Row],[TDS]]-Table432[[#This Row],[RTN]]-Table432[[#This Row],[RECIVED AMOUNT]]</f>
        <v>0</v>
      </c>
      <c r="T583" s="3"/>
      <c r="U583" s="3"/>
      <c r="V583" s="41">
        <f>Table432[[#This Row],[BALANCE]]-Table432[[#This Row],[RECIVED AMOUNT2]]</f>
        <v>0</v>
      </c>
    </row>
    <row r="584" spans="1:22" ht="19.95" customHeight="1">
      <c r="A584" s="68">
        <v>45935</v>
      </c>
      <c r="B584" s="3" t="s">
        <v>842</v>
      </c>
      <c r="C584" s="7" t="s">
        <v>674</v>
      </c>
      <c r="D584" s="3" t="s">
        <v>675</v>
      </c>
      <c r="E584" s="3" t="s">
        <v>676</v>
      </c>
      <c r="F584" s="4" t="s">
        <v>26</v>
      </c>
      <c r="G584" s="5">
        <v>998531</v>
      </c>
      <c r="H584" s="23">
        <v>0.18</v>
      </c>
      <c r="I584" s="9">
        <v>9000</v>
      </c>
      <c r="J584" s="9">
        <f t="shared" si="34"/>
        <v>810</v>
      </c>
      <c r="K584" s="9">
        <f t="shared" si="35"/>
        <v>810</v>
      </c>
      <c r="L584" s="41"/>
      <c r="M584" s="41">
        <f>Table432[[#This Row],[Taxable Amount]]+Table432[[#This Row],[SGST]]+Table432[[#This Row],[CGST]]</f>
        <v>10620</v>
      </c>
      <c r="N584" s="67">
        <f>Table432[[#This Row],[Taxable Amount]]*1%</f>
        <v>90</v>
      </c>
      <c r="O584" s="157"/>
      <c r="P584" s="57">
        <v>10530</v>
      </c>
      <c r="Q584" s="59">
        <v>46101</v>
      </c>
      <c r="R584" s="127" t="s">
        <v>882</v>
      </c>
      <c r="S584" s="138">
        <f>Table432[[#This Row],[Invoice Amount]]-Table432[[#This Row],[TDS]]-Table432[[#This Row],[RTN]]-Table432[[#This Row],[RECIVED AMOUNT]]</f>
        <v>0</v>
      </c>
      <c r="T584" s="3"/>
      <c r="U584" s="3"/>
      <c r="V584" s="41">
        <f>Table432[[#This Row],[BALANCE]]-Table432[[#This Row],[RECIVED AMOUNT2]]</f>
        <v>0</v>
      </c>
    </row>
    <row r="585" spans="1:22" ht="19.95" customHeight="1">
      <c r="A585" s="68">
        <v>45935</v>
      </c>
      <c r="B585" s="3" t="s">
        <v>843</v>
      </c>
      <c r="C585" s="7" t="s">
        <v>674</v>
      </c>
      <c r="D585" s="3" t="s">
        <v>675</v>
      </c>
      <c r="E585" s="3" t="s">
        <v>678</v>
      </c>
      <c r="F585" s="4" t="s">
        <v>26</v>
      </c>
      <c r="G585" s="5">
        <v>998531</v>
      </c>
      <c r="H585" s="23">
        <v>0.18</v>
      </c>
      <c r="I585" s="9">
        <v>3000</v>
      </c>
      <c r="J585" s="9">
        <f t="shared" si="34"/>
        <v>270</v>
      </c>
      <c r="K585" s="9">
        <f t="shared" si="35"/>
        <v>270</v>
      </c>
      <c r="L585" s="41"/>
      <c r="M585" s="41">
        <f>Table432[[#This Row],[Taxable Amount]]+Table432[[#This Row],[SGST]]+Table432[[#This Row],[CGST]]</f>
        <v>3540</v>
      </c>
      <c r="N585" s="67">
        <f>Table432[[#This Row],[Taxable Amount]]*1%</f>
        <v>30</v>
      </c>
      <c r="O585" s="157"/>
      <c r="P585" s="57">
        <v>3510</v>
      </c>
      <c r="Q585" s="59">
        <v>46101</v>
      </c>
      <c r="R585" s="127" t="s">
        <v>882</v>
      </c>
      <c r="S585" s="138">
        <f>Table432[[#This Row],[Invoice Amount]]-Table432[[#This Row],[TDS]]-Table432[[#This Row],[RTN]]-Table432[[#This Row],[RECIVED AMOUNT]]</f>
        <v>0</v>
      </c>
      <c r="T585" s="3"/>
      <c r="U585" s="3"/>
      <c r="V585" s="41">
        <f>Table432[[#This Row],[BALANCE]]-Table432[[#This Row],[RECIVED AMOUNT2]]</f>
        <v>0</v>
      </c>
    </row>
    <row r="586" spans="1:22" ht="21" customHeight="1">
      <c r="A586" s="121">
        <v>45935</v>
      </c>
      <c r="B586" s="3" t="s">
        <v>844</v>
      </c>
      <c r="C586" s="7" t="s">
        <v>674</v>
      </c>
      <c r="D586" s="3" t="s">
        <v>675</v>
      </c>
      <c r="E586" s="3" t="s">
        <v>680</v>
      </c>
      <c r="F586" s="4" t="s">
        <v>26</v>
      </c>
      <c r="G586" s="4">
        <v>998531</v>
      </c>
      <c r="H586" s="23">
        <v>0.18</v>
      </c>
      <c r="I586" s="9">
        <v>4000</v>
      </c>
      <c r="J586" s="9">
        <f t="shared" si="34"/>
        <v>360</v>
      </c>
      <c r="K586" s="9">
        <f t="shared" si="35"/>
        <v>360</v>
      </c>
      <c r="L586" s="41"/>
      <c r="M586" s="41">
        <f>Table432[[#This Row],[Taxable Amount]]+Table432[[#This Row],[SGST]]+Table432[[#This Row],[CGST]]</f>
        <v>4720</v>
      </c>
      <c r="N586" s="67">
        <f>Table432[[#This Row],[Taxable Amount]]*1%</f>
        <v>40</v>
      </c>
      <c r="O586" s="157"/>
      <c r="P586" s="57">
        <v>4680</v>
      </c>
      <c r="Q586" s="59">
        <v>46101</v>
      </c>
      <c r="R586" s="127" t="s">
        <v>882</v>
      </c>
      <c r="S586" s="138">
        <f>Table432[[#This Row],[Invoice Amount]]-Table432[[#This Row],[TDS]]-Table432[[#This Row],[RTN]]-Table432[[#This Row],[RECIVED AMOUNT]]</f>
        <v>0</v>
      </c>
      <c r="T586" s="3"/>
      <c r="U586" s="3"/>
      <c r="V586" s="41">
        <f>Table432[[#This Row],[BALANCE]]-Table432[[#This Row],[RECIVED AMOUNT2]]</f>
        <v>0</v>
      </c>
    </row>
    <row r="587" spans="1:22" ht="21" customHeight="1">
      <c r="A587" s="121">
        <v>45935</v>
      </c>
      <c r="B587" s="3" t="s">
        <v>845</v>
      </c>
      <c r="C587" s="7" t="s">
        <v>674</v>
      </c>
      <c r="D587" s="3" t="s">
        <v>675</v>
      </c>
      <c r="E587" s="3" t="s">
        <v>684</v>
      </c>
      <c r="F587" s="4" t="s">
        <v>26</v>
      </c>
      <c r="G587" s="4">
        <v>998531</v>
      </c>
      <c r="H587" s="23">
        <v>0.18</v>
      </c>
      <c r="I587" s="124">
        <v>3000</v>
      </c>
      <c r="J587" s="124">
        <f t="shared" ref="J587:J594" si="36">I587*9/100</f>
        <v>270</v>
      </c>
      <c r="K587" s="124">
        <f t="shared" ref="K587:K594" si="37">I587*9/100</f>
        <v>270</v>
      </c>
      <c r="L587" s="125"/>
      <c r="M587" s="125">
        <f>Table432[[#This Row],[Taxable Amount]]+Table432[[#This Row],[SGST]]+Table432[[#This Row],[CGST]]</f>
        <v>3540</v>
      </c>
      <c r="N587" s="160">
        <f>Table432[[#This Row],[Taxable Amount]]*1%</f>
        <v>30</v>
      </c>
      <c r="O587" s="184"/>
      <c r="P587" s="133">
        <v>3510</v>
      </c>
      <c r="Q587" s="59">
        <v>46101</v>
      </c>
      <c r="R587" s="127" t="s">
        <v>882</v>
      </c>
      <c r="S587" s="138">
        <f>Table432[[#This Row],[Invoice Amount]]-Table432[[#This Row],[TDS]]-Table432[[#This Row],[RTN]]-Table432[[#This Row],[RECIVED AMOUNT]]</f>
        <v>0</v>
      </c>
      <c r="T587" s="126"/>
      <c r="U587" s="126"/>
      <c r="V587" s="41">
        <f>Table432[[#This Row],[BALANCE]]-Table432[[#This Row],[RECIVED AMOUNT2]]</f>
        <v>0</v>
      </c>
    </row>
    <row r="588" spans="1:22" ht="21" customHeight="1">
      <c r="A588" s="121">
        <v>45935</v>
      </c>
      <c r="B588" s="3" t="s">
        <v>846</v>
      </c>
      <c r="C588" s="7" t="s">
        <v>674</v>
      </c>
      <c r="D588" s="3" t="s">
        <v>675</v>
      </c>
      <c r="E588" s="3" t="s">
        <v>714</v>
      </c>
      <c r="F588" s="4" t="s">
        <v>26</v>
      </c>
      <c r="G588" s="4">
        <v>998531</v>
      </c>
      <c r="H588" s="23">
        <v>0.18</v>
      </c>
      <c r="I588" s="124">
        <v>1950</v>
      </c>
      <c r="J588" s="124">
        <f t="shared" si="36"/>
        <v>175.5</v>
      </c>
      <c r="K588" s="124">
        <f t="shared" si="37"/>
        <v>175.5</v>
      </c>
      <c r="L588" s="125"/>
      <c r="M588" s="125">
        <f>Table432[[#This Row],[Taxable Amount]]+Table432[[#This Row],[SGST]]+Table432[[#This Row],[CGST]]</f>
        <v>2301</v>
      </c>
      <c r="N588" s="160">
        <f>Table432[[#This Row],[Taxable Amount]]*1%</f>
        <v>19.5</v>
      </c>
      <c r="O588" s="184"/>
      <c r="P588" s="133">
        <v>2281</v>
      </c>
      <c r="Q588" s="59">
        <v>46101</v>
      </c>
      <c r="R588" s="127" t="s">
        <v>882</v>
      </c>
      <c r="S588" s="138">
        <f>Table432[[#This Row],[Invoice Amount]]-Table432[[#This Row],[TDS]]-Table432[[#This Row],[RTN]]-Table432[[#This Row],[RECIVED AMOUNT]]</f>
        <v>0.5</v>
      </c>
      <c r="T588" s="126"/>
      <c r="U588" s="126"/>
      <c r="V588" s="41">
        <f>Table432[[#This Row],[BALANCE]]-Table432[[#This Row],[RECIVED AMOUNT2]]</f>
        <v>0.5</v>
      </c>
    </row>
    <row r="589" spans="1:22" ht="21" customHeight="1">
      <c r="A589" s="121">
        <v>45935</v>
      </c>
      <c r="B589" s="3" t="s">
        <v>847</v>
      </c>
      <c r="C589" s="7" t="s">
        <v>674</v>
      </c>
      <c r="D589" s="3" t="s">
        <v>675</v>
      </c>
      <c r="E589" s="3" t="s">
        <v>716</v>
      </c>
      <c r="F589" s="4" t="s">
        <v>26</v>
      </c>
      <c r="G589" s="4">
        <v>998531</v>
      </c>
      <c r="H589" s="23">
        <v>0.18</v>
      </c>
      <c r="I589" s="124">
        <v>1900</v>
      </c>
      <c r="J589" s="124">
        <f t="shared" si="36"/>
        <v>171</v>
      </c>
      <c r="K589" s="124">
        <f t="shared" si="37"/>
        <v>171</v>
      </c>
      <c r="L589" s="125"/>
      <c r="M589" s="125">
        <f>Table432[[#This Row],[Taxable Amount]]+Table432[[#This Row],[SGST]]+Table432[[#This Row],[CGST]]</f>
        <v>2242</v>
      </c>
      <c r="N589" s="160">
        <f>Table432[[#This Row],[Taxable Amount]]*1%</f>
        <v>19</v>
      </c>
      <c r="O589" s="184"/>
      <c r="P589" s="133">
        <v>2223</v>
      </c>
      <c r="Q589" s="59">
        <v>46101</v>
      </c>
      <c r="R589" s="127" t="s">
        <v>882</v>
      </c>
      <c r="S589" s="138">
        <f>Table432[[#This Row],[Invoice Amount]]-Table432[[#This Row],[TDS]]-Table432[[#This Row],[RTN]]-Table432[[#This Row],[RECIVED AMOUNT]]</f>
        <v>0</v>
      </c>
      <c r="T589" s="126"/>
      <c r="U589" s="126"/>
      <c r="V589" s="41">
        <f>Table432[[#This Row],[BALANCE]]-Table432[[#This Row],[RECIVED AMOUNT2]]</f>
        <v>0</v>
      </c>
    </row>
    <row r="590" spans="1:22" ht="21" customHeight="1">
      <c r="A590" s="121">
        <v>45935</v>
      </c>
      <c r="B590" s="3" t="s">
        <v>848</v>
      </c>
      <c r="C590" s="7" t="s">
        <v>674</v>
      </c>
      <c r="D590" s="3" t="s">
        <v>675</v>
      </c>
      <c r="E590" s="3" t="s">
        <v>811</v>
      </c>
      <c r="F590" s="4" t="s">
        <v>26</v>
      </c>
      <c r="G590" s="4">
        <v>998531</v>
      </c>
      <c r="H590" s="23">
        <v>0.18</v>
      </c>
      <c r="I590" s="124">
        <v>11450</v>
      </c>
      <c r="J590" s="124">
        <f t="shared" si="36"/>
        <v>1030.5</v>
      </c>
      <c r="K590" s="124">
        <f t="shared" si="37"/>
        <v>1030.5</v>
      </c>
      <c r="L590" s="125"/>
      <c r="M590" s="125">
        <f>Table432[[#This Row],[Taxable Amount]]+Table432[[#This Row],[SGST]]+Table432[[#This Row],[CGST]]</f>
        <v>13511</v>
      </c>
      <c r="N590" s="160">
        <f>Table432[[#This Row],[Taxable Amount]]*1%</f>
        <v>114.5</v>
      </c>
      <c r="O590" s="184"/>
      <c r="P590" s="133">
        <v>13396</v>
      </c>
      <c r="Q590" s="59">
        <v>46101</v>
      </c>
      <c r="R590" s="127" t="s">
        <v>882</v>
      </c>
      <c r="S590" s="138">
        <f>Table432[[#This Row],[Invoice Amount]]-Table432[[#This Row],[TDS]]-Table432[[#This Row],[RTN]]-Table432[[#This Row],[RECIVED AMOUNT]]</f>
        <v>0.5</v>
      </c>
      <c r="T590" s="126"/>
      <c r="U590" s="126"/>
      <c r="V590" s="41">
        <f>Table432[[#This Row],[BALANCE]]-Table432[[#This Row],[RECIVED AMOUNT2]]</f>
        <v>0.5</v>
      </c>
    </row>
    <row r="591" spans="1:22" ht="21" customHeight="1">
      <c r="A591" s="121">
        <v>45935</v>
      </c>
      <c r="B591" s="3" t="s">
        <v>849</v>
      </c>
      <c r="C591" s="7" t="s">
        <v>674</v>
      </c>
      <c r="D591" s="3" t="s">
        <v>675</v>
      </c>
      <c r="E591" s="3" t="s">
        <v>813</v>
      </c>
      <c r="F591" s="4" t="s">
        <v>26</v>
      </c>
      <c r="G591" s="4">
        <v>998531</v>
      </c>
      <c r="H591" s="23">
        <v>0.18</v>
      </c>
      <c r="I591" s="124">
        <v>4200</v>
      </c>
      <c r="J591" s="124">
        <f t="shared" si="36"/>
        <v>378</v>
      </c>
      <c r="K591" s="124">
        <f t="shared" si="37"/>
        <v>378</v>
      </c>
      <c r="L591" s="125"/>
      <c r="M591" s="125">
        <f>Table432[[#This Row],[Taxable Amount]]+Table432[[#This Row],[SGST]]+Table432[[#This Row],[CGST]]</f>
        <v>4956</v>
      </c>
      <c r="N591" s="160">
        <f>Table432[[#This Row],[Taxable Amount]]*1%</f>
        <v>42</v>
      </c>
      <c r="O591" s="184"/>
      <c r="P591" s="133">
        <v>4914</v>
      </c>
      <c r="Q591" s="59">
        <v>46101</v>
      </c>
      <c r="R591" s="127" t="s">
        <v>882</v>
      </c>
      <c r="S591" s="138">
        <f>Table432[[#This Row],[Invoice Amount]]-Table432[[#This Row],[TDS]]-Table432[[#This Row],[RTN]]-Table432[[#This Row],[RECIVED AMOUNT]]</f>
        <v>0</v>
      </c>
      <c r="T591" s="126"/>
      <c r="U591" s="126"/>
      <c r="V591" s="41">
        <f>Table432[[#This Row],[BALANCE]]-Table432[[#This Row],[RECIVED AMOUNT2]]</f>
        <v>0</v>
      </c>
    </row>
    <row r="592" spans="1:22" ht="21" customHeight="1">
      <c r="A592" s="121">
        <v>45935</v>
      </c>
      <c r="B592" s="3" t="s">
        <v>850</v>
      </c>
      <c r="C592" s="7" t="s">
        <v>674</v>
      </c>
      <c r="D592" s="3" t="s">
        <v>675</v>
      </c>
      <c r="E592" s="3" t="s">
        <v>815</v>
      </c>
      <c r="F592" s="4" t="s">
        <v>26</v>
      </c>
      <c r="G592" s="4">
        <v>998531</v>
      </c>
      <c r="H592" s="23">
        <v>0.18</v>
      </c>
      <c r="I592" s="124">
        <v>500</v>
      </c>
      <c r="J592" s="124">
        <f t="shared" si="36"/>
        <v>45</v>
      </c>
      <c r="K592" s="124">
        <f t="shared" si="37"/>
        <v>45</v>
      </c>
      <c r="L592" s="125"/>
      <c r="M592" s="125">
        <f>Table432[[#This Row],[Taxable Amount]]+Table432[[#This Row],[SGST]]+Table432[[#This Row],[CGST]]</f>
        <v>590</v>
      </c>
      <c r="N592" s="160">
        <f>Table432[[#This Row],[Taxable Amount]]*1%</f>
        <v>5</v>
      </c>
      <c r="O592" s="184"/>
      <c r="P592" s="133">
        <v>585</v>
      </c>
      <c r="Q592" s="59">
        <v>46101</v>
      </c>
      <c r="R592" s="127" t="s">
        <v>882</v>
      </c>
      <c r="S592" s="138">
        <f>Table432[[#This Row],[Invoice Amount]]-Table432[[#This Row],[TDS]]-Table432[[#This Row],[RTN]]-Table432[[#This Row],[RECIVED AMOUNT]]</f>
        <v>0</v>
      </c>
      <c r="T592" s="126"/>
      <c r="U592" s="126"/>
      <c r="V592" s="41">
        <f>Table432[[#This Row],[BALANCE]]-Table432[[#This Row],[RECIVED AMOUNT2]]</f>
        <v>0</v>
      </c>
    </row>
    <row r="593" spans="1:22" s="325" customFormat="1" ht="20.399999999999999" customHeight="1">
      <c r="A593" s="330">
        <v>45935</v>
      </c>
      <c r="B593" s="327" t="s">
        <v>851</v>
      </c>
      <c r="C593" s="327" t="s">
        <v>852</v>
      </c>
      <c r="D593" s="327" t="s">
        <v>853</v>
      </c>
      <c r="E593" s="327" t="s">
        <v>67</v>
      </c>
      <c r="F593" s="332" t="s">
        <v>26</v>
      </c>
      <c r="G593" s="332">
        <v>998531</v>
      </c>
      <c r="H593" s="317">
        <v>0.18</v>
      </c>
      <c r="I593" s="333">
        <v>3500</v>
      </c>
      <c r="J593" s="333">
        <f t="shared" si="36"/>
        <v>315</v>
      </c>
      <c r="K593" s="333">
        <f t="shared" si="37"/>
        <v>315</v>
      </c>
      <c r="L593" s="334"/>
      <c r="M593" s="334">
        <f>Table432[[#This Row],[Taxable Amount]]+Table432[[#This Row],[SGST]]+Table432[[#This Row],[CGST]]</f>
        <v>4130</v>
      </c>
      <c r="N593" s="335">
        <f>Table432[[#This Row],[Taxable Amount]]*1%</f>
        <v>35</v>
      </c>
      <c r="O593" s="336"/>
      <c r="P593" s="337"/>
      <c r="Q593" s="337"/>
      <c r="R593" s="331" t="s">
        <v>882</v>
      </c>
      <c r="S593" s="323">
        <f>Table432[[#This Row],[Invoice Amount]]-Table432[[#This Row],[TDS]]-Table432[[#This Row],[RTN]]-Table432[[#This Row],[RECIVED AMOUNT]]</f>
        <v>4095</v>
      </c>
      <c r="T593" s="338"/>
      <c r="U593" s="338"/>
      <c r="V593" s="324">
        <f>Table432[[#This Row],[BALANCE]]-Table432[[#This Row],[RECIVED AMOUNT2]]</f>
        <v>4095</v>
      </c>
    </row>
    <row r="594" spans="1:22" ht="20.399999999999999" customHeight="1">
      <c r="A594" s="121">
        <v>45935</v>
      </c>
      <c r="B594" s="3" t="s">
        <v>854</v>
      </c>
      <c r="C594" s="7" t="s">
        <v>23</v>
      </c>
      <c r="D594" s="7" t="s">
        <v>24</v>
      </c>
      <c r="E594" s="7" t="s">
        <v>62</v>
      </c>
      <c r="F594" s="7" t="s">
        <v>26</v>
      </c>
      <c r="G594" s="4">
        <v>998531</v>
      </c>
      <c r="H594" s="23">
        <v>0.18</v>
      </c>
      <c r="I594" s="124">
        <v>5250</v>
      </c>
      <c r="J594" s="124">
        <f t="shared" si="36"/>
        <v>472.5</v>
      </c>
      <c r="K594" s="124">
        <f t="shared" si="37"/>
        <v>472.5</v>
      </c>
      <c r="L594" s="125"/>
      <c r="M594" s="125">
        <f>Table432[[#This Row],[Taxable Amount]]+Table432[[#This Row],[SGST]]+Table432[[#This Row],[CGST]]</f>
        <v>6195</v>
      </c>
      <c r="N594" s="160">
        <f>Table432[[#This Row],[Taxable Amount]]*1%</f>
        <v>52.5</v>
      </c>
      <c r="O594" s="184"/>
      <c r="P594" s="133">
        <v>36242</v>
      </c>
      <c r="Q594" s="134">
        <v>46039</v>
      </c>
      <c r="R594" s="127" t="s">
        <v>882</v>
      </c>
      <c r="S594" s="138">
        <f>Table432[[#This Row],[Invoice Amount]]-Table432[[#This Row],[TDS]]-Table432[[#This Row],[RTN]]-Table432[[#This Row],[RECIVED AMOUNT]]</f>
        <v>-30099.5</v>
      </c>
      <c r="T594" s="126"/>
      <c r="U594" s="126"/>
      <c r="V594" s="41">
        <f>Table432[[#This Row],[BALANCE]]-Table432[[#This Row],[RECIVED AMOUNT2]]</f>
        <v>-30099.5</v>
      </c>
    </row>
    <row r="595" spans="1:22" ht="20.399999999999999" customHeight="1">
      <c r="A595" s="121">
        <v>45936</v>
      </c>
      <c r="B595" s="3" t="s">
        <v>856</v>
      </c>
      <c r="C595" s="7" t="s">
        <v>878</v>
      </c>
      <c r="D595" s="122" t="s">
        <v>81</v>
      </c>
      <c r="E595" s="122" t="s">
        <v>59</v>
      </c>
      <c r="F595" s="123" t="s">
        <v>26</v>
      </c>
      <c r="G595" s="4">
        <v>998531</v>
      </c>
      <c r="H595" s="23">
        <v>0.18</v>
      </c>
      <c r="I595" s="124">
        <v>2200</v>
      </c>
      <c r="J595" s="124">
        <f t="shared" ref="J595:J601" si="38">I595*9/100</f>
        <v>198</v>
      </c>
      <c r="K595" s="124">
        <f t="shared" ref="K595:K601" si="39">I595*9/100</f>
        <v>198</v>
      </c>
      <c r="L595" s="125"/>
      <c r="M595" s="125">
        <f>Table432[[#This Row],[Taxable Amount]]+Table432[[#This Row],[SGST]]+Table432[[#This Row],[CGST]]</f>
        <v>2596</v>
      </c>
      <c r="N595" s="160"/>
      <c r="O595" s="184"/>
      <c r="P595" s="133">
        <v>2596</v>
      </c>
      <c r="Q595" s="134">
        <v>45944</v>
      </c>
      <c r="R595" s="127" t="s">
        <v>882</v>
      </c>
      <c r="S595" s="138">
        <f>Table432[[#This Row],[Invoice Amount]]-Table432[[#This Row],[TDS]]-Table432[[#This Row],[RTN]]-Table432[[#This Row],[RECIVED AMOUNT]]</f>
        <v>0</v>
      </c>
      <c r="T595" s="126"/>
      <c r="U595" s="126"/>
      <c r="V595" s="41">
        <f>Table432[[#This Row],[BALANCE]]-Table432[[#This Row],[RECIVED AMOUNT2]]</f>
        <v>0</v>
      </c>
    </row>
    <row r="596" spans="1:22" ht="20.399999999999999" customHeight="1">
      <c r="A596" s="121">
        <v>45936</v>
      </c>
      <c r="B596" s="3" t="s">
        <v>855</v>
      </c>
      <c r="C596" s="7" t="s">
        <v>173</v>
      </c>
      <c r="D596" s="122" t="s">
        <v>174</v>
      </c>
      <c r="E596" s="122" t="s">
        <v>59</v>
      </c>
      <c r="F596" s="123" t="s">
        <v>26</v>
      </c>
      <c r="G596" s="4">
        <v>998531</v>
      </c>
      <c r="H596" s="23">
        <v>0.18</v>
      </c>
      <c r="I596" s="124">
        <v>1800</v>
      </c>
      <c r="J596" s="124">
        <f t="shared" si="38"/>
        <v>162</v>
      </c>
      <c r="K596" s="124">
        <f t="shared" si="39"/>
        <v>162</v>
      </c>
      <c r="L596" s="125"/>
      <c r="M596" s="125">
        <f>Table432[[#This Row],[Taxable Amount]]+Table432[[#This Row],[SGST]]+Table432[[#This Row],[CGST]]</f>
        <v>2124</v>
      </c>
      <c r="N596" s="160">
        <f>Table432[[#This Row],[Taxable Amount]]*1%</f>
        <v>18</v>
      </c>
      <c r="O596" s="184"/>
      <c r="P596" s="156">
        <v>2106</v>
      </c>
      <c r="Q596" s="134">
        <v>45960</v>
      </c>
      <c r="R596" s="127" t="s">
        <v>882</v>
      </c>
      <c r="S596" s="138">
        <f>Table432[[#This Row],[Invoice Amount]]-Table432[[#This Row],[TDS]]-Table432[[#This Row],[RTN]]-Table432[[#This Row],[RECIVED AMOUNT]]</f>
        <v>0</v>
      </c>
      <c r="T596" s="126"/>
      <c r="U596" s="126"/>
      <c r="V596" s="41">
        <f>Table432[[#This Row],[BALANCE]]-Table432[[#This Row],[RECIVED AMOUNT2]]</f>
        <v>0</v>
      </c>
    </row>
    <row r="597" spans="1:22" s="448" customFormat="1" ht="20.399999999999999" customHeight="1">
      <c r="A597" s="451">
        <v>45946</v>
      </c>
      <c r="B597" s="433" t="s">
        <v>857</v>
      </c>
      <c r="C597" s="433" t="s">
        <v>157</v>
      </c>
      <c r="D597" s="452" t="s">
        <v>880</v>
      </c>
      <c r="E597" s="452" t="s">
        <v>881</v>
      </c>
      <c r="F597" s="453" t="s">
        <v>26</v>
      </c>
      <c r="G597" s="434">
        <v>998531</v>
      </c>
      <c r="H597" s="436">
        <v>0.18</v>
      </c>
      <c r="I597" s="454">
        <v>6250</v>
      </c>
      <c r="J597" s="454">
        <f t="shared" si="38"/>
        <v>562.5</v>
      </c>
      <c r="K597" s="454">
        <f t="shared" si="39"/>
        <v>562.5</v>
      </c>
      <c r="L597" s="455"/>
      <c r="M597" s="455">
        <f>Table432[[#This Row],[Taxable Amount]]+Table432[[#This Row],[SGST]]+Table432[[#This Row],[CGST]]</f>
        <v>7375</v>
      </c>
      <c r="N597" s="456">
        <f>Table432[[#This Row],[Taxable Amount]]*1%</f>
        <v>62.5</v>
      </c>
      <c r="O597" s="457"/>
      <c r="P597" s="458"/>
      <c r="Q597" s="458"/>
      <c r="R597" s="459" t="s">
        <v>882</v>
      </c>
      <c r="S597" s="445">
        <f>Table432[[#This Row],[Invoice Amount]]-Table432[[#This Row],[TDS]]-Table432[[#This Row],[RTN]]-Table432[[#This Row],[RECIVED AMOUNT]]</f>
        <v>7312.5</v>
      </c>
      <c r="T597" s="452"/>
      <c r="U597" s="452"/>
      <c r="V597" s="438">
        <f>Table432[[#This Row],[BALANCE]]-Table432[[#This Row],[RECIVED AMOUNT2]]</f>
        <v>7312.5</v>
      </c>
    </row>
    <row r="598" spans="1:22" ht="20.399999999999999" customHeight="1">
      <c r="A598" s="121">
        <v>45955</v>
      </c>
      <c r="B598" s="3" t="s">
        <v>858</v>
      </c>
      <c r="C598" s="7" t="s">
        <v>637</v>
      </c>
      <c r="D598" s="3" t="s">
        <v>638</v>
      </c>
      <c r="E598" s="3" t="s">
        <v>629</v>
      </c>
      <c r="F598" s="4" t="s">
        <v>26</v>
      </c>
      <c r="G598" s="22">
        <v>998531</v>
      </c>
      <c r="H598" s="23">
        <v>0.18</v>
      </c>
      <c r="I598" s="124">
        <v>12400</v>
      </c>
      <c r="J598" s="124">
        <f t="shared" si="38"/>
        <v>1116</v>
      </c>
      <c r="K598" s="124">
        <f t="shared" si="39"/>
        <v>1116</v>
      </c>
      <c r="L598" s="125"/>
      <c r="M598" s="125">
        <f>Table432[[#This Row],[Taxable Amount]]+Table432[[#This Row],[SGST]]+Table432[[#This Row],[CGST]]</f>
        <v>14632</v>
      </c>
      <c r="N598" s="160">
        <f>Table432[[#This Row],[Taxable Amount]]*1%</f>
        <v>124</v>
      </c>
      <c r="O598" s="184">
        <v>310</v>
      </c>
      <c r="P598" s="171">
        <v>11966</v>
      </c>
      <c r="Q598" s="59">
        <v>46011</v>
      </c>
      <c r="R598" s="127" t="s">
        <v>882</v>
      </c>
      <c r="S598" s="138">
        <f>Table432[[#This Row],[Invoice Amount]]-Table432[[#This Row],[TDS]]-Table432[[#This Row],[RTN]]-Table432[[#This Row],[RECIVED AMOUNT]]</f>
        <v>2232</v>
      </c>
      <c r="T598" s="126">
        <v>2232</v>
      </c>
      <c r="U598" s="282">
        <v>46007</v>
      </c>
      <c r="V598" s="41">
        <f>Table432[[#This Row],[BALANCE]]-Table432[[#This Row],[RECIVED AMOUNT2]]</f>
        <v>0</v>
      </c>
    </row>
    <row r="599" spans="1:22" s="247" customFormat="1" ht="20.399999999999999" customHeight="1">
      <c r="A599" s="249">
        <v>45955</v>
      </c>
      <c r="B599" s="234" t="s">
        <v>859</v>
      </c>
      <c r="C599" s="234" t="s">
        <v>42</v>
      </c>
      <c r="D599" s="234" t="s">
        <v>730</v>
      </c>
      <c r="E599" s="234" t="s">
        <v>632</v>
      </c>
      <c r="F599" s="250" t="s">
        <v>26</v>
      </c>
      <c r="G599" s="250">
        <v>998531</v>
      </c>
      <c r="H599" s="237">
        <v>0.18</v>
      </c>
      <c r="I599" s="251">
        <v>17560</v>
      </c>
      <c r="J599" s="251">
        <f t="shared" si="38"/>
        <v>1580.4</v>
      </c>
      <c r="K599" s="251">
        <f t="shared" si="39"/>
        <v>1580.4</v>
      </c>
      <c r="L599" s="252"/>
      <c r="M599" s="252">
        <f>Table432[[#This Row],[Taxable Amount]]+Table432[[#This Row],[SGST]]+Table432[[#This Row],[CGST]]</f>
        <v>20720.800000000003</v>
      </c>
      <c r="N599" s="253">
        <f>Table432[[#This Row],[Taxable Amount]]*1%</f>
        <v>175.6</v>
      </c>
      <c r="O599" s="254">
        <v>439</v>
      </c>
      <c r="P599" s="285">
        <v>12965</v>
      </c>
      <c r="Q599" s="256">
        <v>45986</v>
      </c>
      <c r="R599" s="257" t="s">
        <v>882</v>
      </c>
      <c r="S599" s="245">
        <f>Table432[[#This Row],[Invoice Amount]]-Table432[[#This Row],[TDS]]-Table432[[#This Row],[RTN]]-Table432[[#This Row],[RECIVED AMOUNT]]</f>
        <v>7141.2000000000044</v>
      </c>
      <c r="T599" s="258"/>
      <c r="U599" s="258"/>
      <c r="V599" s="246">
        <f>Table432[[#This Row],[BALANCE]]-Table432[[#This Row],[RECIVED AMOUNT2]]</f>
        <v>7141.2000000000044</v>
      </c>
    </row>
    <row r="600" spans="1:22" s="247" customFormat="1" ht="20.399999999999999" customHeight="1">
      <c r="A600" s="249">
        <v>45955</v>
      </c>
      <c r="B600" s="234" t="s">
        <v>860</v>
      </c>
      <c r="C600" s="234" t="s">
        <v>42</v>
      </c>
      <c r="D600" s="234" t="s">
        <v>730</v>
      </c>
      <c r="E600" s="234" t="s">
        <v>101</v>
      </c>
      <c r="F600" s="250" t="s">
        <v>26</v>
      </c>
      <c r="G600" s="250">
        <v>998531</v>
      </c>
      <c r="H600" s="237">
        <v>0.18</v>
      </c>
      <c r="I600" s="251">
        <v>5050</v>
      </c>
      <c r="J600" s="251">
        <f t="shared" si="38"/>
        <v>454.5</v>
      </c>
      <c r="K600" s="251">
        <f t="shared" si="39"/>
        <v>454.5</v>
      </c>
      <c r="L600" s="252"/>
      <c r="M600" s="252">
        <f>Table432[[#This Row],[Taxable Amount]]+Table432[[#This Row],[SGST]]+Table432[[#This Row],[CGST]]</f>
        <v>5959</v>
      </c>
      <c r="N600" s="253">
        <v>50.5</v>
      </c>
      <c r="O600" s="254">
        <v>126</v>
      </c>
      <c r="P600" s="255"/>
      <c r="Q600" s="243">
        <v>46043</v>
      </c>
      <c r="R600" s="257" t="s">
        <v>882</v>
      </c>
      <c r="S600" s="245">
        <f>Table432[[#This Row],[Invoice Amount]]-Table432[[#This Row],[TDS]]-Table432[[#This Row],[RTN]]-Table432[[#This Row],[RECIVED AMOUNT]]</f>
        <v>5782.5</v>
      </c>
      <c r="T600" s="258"/>
      <c r="U600" s="258"/>
      <c r="V600" s="246">
        <f>Table432[[#This Row],[BALANCE]]-Table432[[#This Row],[RECIVED AMOUNT2]]</f>
        <v>5782.5</v>
      </c>
    </row>
    <row r="601" spans="1:22" s="247" customFormat="1" ht="20.399999999999999" customHeight="1">
      <c r="A601" s="249">
        <v>45955</v>
      </c>
      <c r="B601" s="234" t="s">
        <v>861</v>
      </c>
      <c r="C601" s="234" t="s">
        <v>42</v>
      </c>
      <c r="D601" s="234" t="s">
        <v>730</v>
      </c>
      <c r="E601" s="234" t="s">
        <v>44</v>
      </c>
      <c r="F601" s="250" t="s">
        <v>26</v>
      </c>
      <c r="G601" s="250">
        <v>998531</v>
      </c>
      <c r="H601" s="237">
        <v>0.18</v>
      </c>
      <c r="I601" s="251">
        <v>32236</v>
      </c>
      <c r="J601" s="251">
        <f t="shared" si="38"/>
        <v>2901.24</v>
      </c>
      <c r="K601" s="251">
        <f t="shared" si="39"/>
        <v>2901.24</v>
      </c>
      <c r="L601" s="252"/>
      <c r="M601" s="252">
        <f>Table432[[#This Row],[Taxable Amount]]+Table432[[#This Row],[SGST]]+Table432[[#This Row],[CGST]]</f>
        <v>38038.479999999996</v>
      </c>
      <c r="N601" s="253">
        <f>Table432[[#This Row],[Taxable Amount]]*1%</f>
        <v>322.36</v>
      </c>
      <c r="O601" s="254">
        <v>950.95</v>
      </c>
      <c r="P601" s="285">
        <v>31108</v>
      </c>
      <c r="Q601" s="256">
        <v>45975</v>
      </c>
      <c r="R601" s="257" t="s">
        <v>882</v>
      </c>
      <c r="S601" s="245">
        <f>Table432[[#This Row],[Invoice Amount]]-Table432[[#This Row],[TDS]]-Table432[[#This Row],[RTN]]-Table432[[#This Row],[RECIVED AMOUNT]]</f>
        <v>5657.1699999999983</v>
      </c>
      <c r="T601" s="258"/>
      <c r="U601" s="292">
        <v>46038</v>
      </c>
      <c r="V601" s="246">
        <f>Table432[[#This Row],[BALANCE]]-Table432[[#This Row],[RECIVED AMOUNT2]]</f>
        <v>5657.1699999999983</v>
      </c>
    </row>
    <row r="602" spans="1:22" s="247" customFormat="1" ht="20.399999999999999" customHeight="1">
      <c r="A602" s="249">
        <v>45955</v>
      </c>
      <c r="B602" s="234" t="s">
        <v>862</v>
      </c>
      <c r="C602" s="234" t="s">
        <v>42</v>
      </c>
      <c r="D602" s="234" t="s">
        <v>730</v>
      </c>
      <c r="E602" s="234" t="s">
        <v>163</v>
      </c>
      <c r="F602" s="250" t="s">
        <v>26</v>
      </c>
      <c r="G602" s="250">
        <v>998531</v>
      </c>
      <c r="H602" s="237">
        <v>0.18</v>
      </c>
      <c r="I602" s="251">
        <v>20100</v>
      </c>
      <c r="J602" s="251">
        <f t="shared" ref="J602:J615" si="40">I602*9/100</f>
        <v>1809</v>
      </c>
      <c r="K602" s="251">
        <f t="shared" ref="K602:K615" si="41">I602*9/100</f>
        <v>1809</v>
      </c>
      <c r="L602" s="252"/>
      <c r="M602" s="252">
        <f>Table432[[#This Row],[Taxable Amount]]+Table432[[#This Row],[SGST]]+Table432[[#This Row],[CGST]]</f>
        <v>23718</v>
      </c>
      <c r="N602" s="253">
        <f>Table432[[#This Row],[Taxable Amount]]*1%</f>
        <v>201</v>
      </c>
      <c r="O602" s="254">
        <v>502</v>
      </c>
      <c r="P602" s="255">
        <v>23014</v>
      </c>
      <c r="Q602" s="256">
        <v>45987</v>
      </c>
      <c r="R602" s="257" t="s">
        <v>882</v>
      </c>
      <c r="S602" s="245">
        <f>Table432[[#This Row],[Invoice Amount]]-Table432[[#This Row],[TDS]]-Table432[[#This Row],[RTN]]-Table432[[#This Row],[RECIVED AMOUNT]]</f>
        <v>1</v>
      </c>
      <c r="T602" s="258"/>
      <c r="U602" s="258"/>
      <c r="V602" s="246">
        <f>Table432[[#This Row],[BALANCE]]-Table432[[#This Row],[RECIVED AMOUNT2]]</f>
        <v>1</v>
      </c>
    </row>
    <row r="603" spans="1:22" s="481" customFormat="1" ht="20.399999999999999" customHeight="1">
      <c r="A603" s="500">
        <v>45961</v>
      </c>
      <c r="B603" s="482" t="s">
        <v>863</v>
      </c>
      <c r="C603" s="482" t="s">
        <v>319</v>
      </c>
      <c r="D603" s="482" t="s">
        <v>320</v>
      </c>
      <c r="E603" s="482" t="s">
        <v>85</v>
      </c>
      <c r="F603" s="486" t="s">
        <v>26</v>
      </c>
      <c r="G603" s="486">
        <v>998531</v>
      </c>
      <c r="H603" s="470">
        <v>0.18</v>
      </c>
      <c r="I603" s="501">
        <v>31800</v>
      </c>
      <c r="J603" s="501">
        <f t="shared" si="40"/>
        <v>2862</v>
      </c>
      <c r="K603" s="501">
        <f t="shared" si="41"/>
        <v>2862</v>
      </c>
      <c r="L603" s="502"/>
      <c r="M603" s="502">
        <f>Table432[[#This Row],[Taxable Amount]]+Table432[[#This Row],[SGST]]+Table432[[#This Row],[CGST]]</f>
        <v>37524</v>
      </c>
      <c r="N603" s="503">
        <f>Table432[[#This Row],[Taxable Amount]]*1%</f>
        <v>318</v>
      </c>
      <c r="O603" s="504"/>
      <c r="P603" s="505">
        <v>37206</v>
      </c>
      <c r="Q603" s="506">
        <v>46001</v>
      </c>
      <c r="R603" s="507" t="s">
        <v>882</v>
      </c>
      <c r="S603" s="479">
        <f>Table432[[#This Row],[Invoice Amount]]-Table432[[#This Row],[TDS]]-Table432[[#This Row],[RTN]]-Table432[[#This Row],[RECIVED AMOUNT]]</f>
        <v>0</v>
      </c>
      <c r="T603" s="508"/>
      <c r="U603" s="508"/>
      <c r="V603" s="480">
        <f>Table432[[#This Row],[BALANCE]]-Table432[[#This Row],[RECIVED AMOUNT2]]</f>
        <v>0</v>
      </c>
    </row>
    <row r="604" spans="1:22" s="10" customFormat="1" ht="20.399999999999999" customHeight="1">
      <c r="A604" s="220">
        <v>45961</v>
      </c>
      <c r="B604" s="7" t="s">
        <v>864</v>
      </c>
      <c r="C604" s="7" t="s">
        <v>319</v>
      </c>
      <c r="D604" s="7" t="s">
        <v>320</v>
      </c>
      <c r="E604" s="7" t="s">
        <v>59</v>
      </c>
      <c r="F604" s="5" t="s">
        <v>26</v>
      </c>
      <c r="G604" s="5">
        <v>998531</v>
      </c>
      <c r="H604" s="221">
        <v>0.18</v>
      </c>
      <c r="I604" s="218">
        <v>33000</v>
      </c>
      <c r="J604" s="218">
        <f t="shared" si="40"/>
        <v>2970</v>
      </c>
      <c r="K604" s="218">
        <f t="shared" si="41"/>
        <v>2970</v>
      </c>
      <c r="L604" s="301"/>
      <c r="M604" s="301">
        <f>Table432[[#This Row],[Taxable Amount]]+Table432[[#This Row],[SGST]]+Table432[[#This Row],[CGST]]</f>
        <v>38940</v>
      </c>
      <c r="N604" s="215">
        <f>Table432[[#This Row],[Taxable Amount]]*1%</f>
        <v>330</v>
      </c>
      <c r="O604" s="302"/>
      <c r="P604" s="303"/>
      <c r="Q604" s="303"/>
      <c r="R604" s="304" t="s">
        <v>882</v>
      </c>
      <c r="S604" s="93">
        <f>Table432[[#This Row],[Invoice Amount]]-Table432[[#This Row],[TDS]]-Table432[[#This Row],[RTN]]-Table432[[#This Row],[RECIVED AMOUNT]]</f>
        <v>38610</v>
      </c>
      <c r="T604" s="122"/>
      <c r="U604" s="122"/>
      <c r="V604" s="70">
        <f>Table432[[#This Row],[BALANCE]]-Table432[[#This Row],[RECIVED AMOUNT2]]</f>
        <v>38610</v>
      </c>
    </row>
    <row r="605" spans="1:22" ht="20.399999999999999" customHeight="1">
      <c r="A605" s="121">
        <v>45961</v>
      </c>
      <c r="B605" s="3" t="s">
        <v>865</v>
      </c>
      <c r="C605" s="7" t="s">
        <v>319</v>
      </c>
      <c r="D605" s="7" t="s">
        <v>320</v>
      </c>
      <c r="E605" s="7" t="s">
        <v>89</v>
      </c>
      <c r="F605" s="5" t="s">
        <v>26</v>
      </c>
      <c r="G605" s="4">
        <v>998531</v>
      </c>
      <c r="H605" s="23">
        <v>0.18</v>
      </c>
      <c r="I605" s="124">
        <v>21600</v>
      </c>
      <c r="J605" s="124">
        <f t="shared" si="40"/>
        <v>1944</v>
      </c>
      <c r="K605" s="124">
        <f t="shared" si="41"/>
        <v>1944</v>
      </c>
      <c r="L605" s="125"/>
      <c r="M605" s="125">
        <f>Table432[[#This Row],[Taxable Amount]]+Table432[[#This Row],[SGST]]+Table432[[#This Row],[CGST]]</f>
        <v>25488</v>
      </c>
      <c r="N605" s="160">
        <f>Table432[[#This Row],[Taxable Amount]]*1%</f>
        <v>216</v>
      </c>
      <c r="O605" s="184"/>
      <c r="P605" s="133"/>
      <c r="Q605" s="133"/>
      <c r="R605" s="127" t="s">
        <v>882</v>
      </c>
      <c r="S605" s="138">
        <f>Table432[[#This Row],[Invoice Amount]]-Table432[[#This Row],[TDS]]-Table432[[#This Row],[RTN]]-Table432[[#This Row],[RECIVED AMOUNT]]</f>
        <v>25272</v>
      </c>
      <c r="T605" s="126"/>
      <c r="U605" s="126"/>
      <c r="V605" s="41">
        <f>Table432[[#This Row],[BALANCE]]-Table432[[#This Row],[RECIVED AMOUNT2]]</f>
        <v>25272</v>
      </c>
    </row>
    <row r="606" spans="1:22" ht="20.399999999999999" customHeight="1">
      <c r="A606" s="121">
        <v>45961</v>
      </c>
      <c r="B606" s="3" t="s">
        <v>866</v>
      </c>
      <c r="C606" s="21" t="s">
        <v>116</v>
      </c>
      <c r="D606" s="3" t="s">
        <v>117</v>
      </c>
      <c r="E606" s="3" t="s">
        <v>59</v>
      </c>
      <c r="F606" s="4" t="s">
        <v>26</v>
      </c>
      <c r="G606" s="4">
        <v>998531</v>
      </c>
      <c r="H606" s="23">
        <v>0.18</v>
      </c>
      <c r="I606" s="124">
        <v>17300</v>
      </c>
      <c r="J606" s="124">
        <f t="shared" si="40"/>
        <v>1557</v>
      </c>
      <c r="K606" s="124">
        <f t="shared" si="41"/>
        <v>1557</v>
      </c>
      <c r="L606" s="125"/>
      <c r="M606" s="125">
        <f>Table432[[#This Row],[Taxable Amount]]+Table432[[#This Row],[SGST]]+Table432[[#This Row],[CGST]]</f>
        <v>20414</v>
      </c>
      <c r="N606" s="160">
        <f>Table432[[#This Row],[Taxable Amount]]*1%</f>
        <v>173</v>
      </c>
      <c r="O606" s="157">
        <v>0</v>
      </c>
      <c r="P606" s="148">
        <v>20241</v>
      </c>
      <c r="Q606" s="134">
        <v>45988</v>
      </c>
      <c r="R606" s="127" t="s">
        <v>882</v>
      </c>
      <c r="S606" s="138">
        <f>Table432[[#This Row],[Invoice Amount]]-Table432[[#This Row],[TDS]]-Table432[[#This Row],[RTN]]-Table432[[#This Row],[RECIVED AMOUNT]]</f>
        <v>0</v>
      </c>
      <c r="T606" s="126"/>
      <c r="U606" s="126"/>
      <c r="V606" s="41">
        <f>Table432[[#This Row],[BALANCE]]-Table432[[#This Row],[RECIVED AMOUNT2]]</f>
        <v>0</v>
      </c>
    </row>
    <row r="607" spans="1:22" ht="20.399999999999999" customHeight="1">
      <c r="A607" s="121">
        <v>45961</v>
      </c>
      <c r="B607" s="3" t="s">
        <v>867</v>
      </c>
      <c r="C607" s="7" t="s">
        <v>390</v>
      </c>
      <c r="D607" s="3" t="s">
        <v>391</v>
      </c>
      <c r="E607" s="3" t="s">
        <v>260</v>
      </c>
      <c r="F607" s="4" t="s">
        <v>26</v>
      </c>
      <c r="G607" s="5">
        <v>998531</v>
      </c>
      <c r="H607" s="23">
        <v>0.18</v>
      </c>
      <c r="I607" s="9">
        <v>1205.1600000000001</v>
      </c>
      <c r="J607" s="124">
        <f t="shared" si="40"/>
        <v>108.46440000000001</v>
      </c>
      <c r="K607" s="124">
        <f t="shared" si="41"/>
        <v>108.46440000000001</v>
      </c>
      <c r="L607" s="125"/>
      <c r="M607" s="125">
        <f>Table432[[#This Row],[Taxable Amount]]+Table432[[#This Row],[SGST]]+Table432[[#This Row],[CGST]]</f>
        <v>1422.0888000000002</v>
      </c>
      <c r="N607" s="160">
        <f>Table432[[#This Row],[Taxable Amount]]*1%</f>
        <v>12.051600000000001</v>
      </c>
      <c r="O607" s="184"/>
      <c r="P607" s="133"/>
      <c r="Q607" s="134">
        <v>46064</v>
      </c>
      <c r="R607" s="127" t="s">
        <v>882</v>
      </c>
      <c r="S607" s="138">
        <f>Table432[[#This Row],[Invoice Amount]]-Table432[[#This Row],[TDS]]-Table432[[#This Row],[RTN]]-Table432[[#This Row],[RECIVED AMOUNT]]</f>
        <v>1410.0372000000002</v>
      </c>
      <c r="T607" s="126"/>
      <c r="U607" s="126"/>
      <c r="V607" s="41">
        <f>Table432[[#This Row],[BALANCE]]-Table432[[#This Row],[RECIVED AMOUNT2]]</f>
        <v>1410.0372000000002</v>
      </c>
    </row>
    <row r="608" spans="1:22" ht="20.399999999999999" customHeight="1">
      <c r="A608" s="121">
        <v>45961</v>
      </c>
      <c r="B608" s="3" t="s">
        <v>868</v>
      </c>
      <c r="C608" s="7" t="s">
        <v>390</v>
      </c>
      <c r="D608" s="3" t="s">
        <v>391</v>
      </c>
      <c r="E608" s="3" t="s">
        <v>260</v>
      </c>
      <c r="F608" s="4" t="s">
        <v>26</v>
      </c>
      <c r="G608" s="4">
        <v>998531</v>
      </c>
      <c r="H608" s="23">
        <v>0.18</v>
      </c>
      <c r="I608" s="9">
        <v>1448.35</v>
      </c>
      <c r="J608" s="124">
        <f t="shared" si="40"/>
        <v>130.35149999999999</v>
      </c>
      <c r="K608" s="124">
        <f t="shared" si="41"/>
        <v>130.35149999999999</v>
      </c>
      <c r="L608" s="125"/>
      <c r="M608" s="125">
        <f>Table432[[#This Row],[Taxable Amount]]+Table432[[#This Row],[SGST]]+Table432[[#This Row],[CGST]]</f>
        <v>1709.0529999999999</v>
      </c>
      <c r="N608" s="160">
        <f>Table432[[#This Row],[Taxable Amount]]*1%</f>
        <v>14.483499999999999</v>
      </c>
      <c r="O608" s="184"/>
      <c r="P608" s="133"/>
      <c r="Q608" s="134">
        <v>46064</v>
      </c>
      <c r="R608" s="127" t="s">
        <v>882</v>
      </c>
      <c r="S608" s="138">
        <f>Table432[[#This Row],[Invoice Amount]]-Table432[[#This Row],[TDS]]-Table432[[#This Row],[RTN]]-Table432[[#This Row],[RECIVED AMOUNT]]</f>
        <v>1694.5694999999998</v>
      </c>
      <c r="T608" s="126"/>
      <c r="U608" s="126"/>
      <c r="V608" s="41">
        <f>Table432[[#This Row],[BALANCE]]-Table432[[#This Row],[RECIVED AMOUNT2]]</f>
        <v>1694.5694999999998</v>
      </c>
    </row>
    <row r="609" spans="1:22" ht="20.399999999999999" customHeight="1">
      <c r="A609" s="121">
        <v>45961</v>
      </c>
      <c r="B609" s="3" t="s">
        <v>869</v>
      </c>
      <c r="C609" s="7" t="s">
        <v>390</v>
      </c>
      <c r="D609" s="3" t="s">
        <v>391</v>
      </c>
      <c r="E609" s="3" t="s">
        <v>260</v>
      </c>
      <c r="F609" s="4" t="s">
        <v>26</v>
      </c>
      <c r="G609" s="4">
        <v>998531</v>
      </c>
      <c r="H609" s="23">
        <v>0.18</v>
      </c>
      <c r="I609" s="9">
        <v>2008.6</v>
      </c>
      <c r="J609" s="124">
        <f t="shared" si="40"/>
        <v>180.77399999999997</v>
      </c>
      <c r="K609" s="124">
        <f t="shared" si="41"/>
        <v>180.77399999999997</v>
      </c>
      <c r="L609" s="125"/>
      <c r="M609" s="125">
        <f>Table432[[#This Row],[Taxable Amount]]+Table432[[#This Row],[SGST]]+Table432[[#This Row],[CGST]]</f>
        <v>2370.1479999999997</v>
      </c>
      <c r="N609" s="160">
        <f>Table432[[#This Row],[Taxable Amount]]*1%</f>
        <v>20.085999999999999</v>
      </c>
      <c r="O609" s="184"/>
      <c r="P609" s="133"/>
      <c r="Q609" s="134">
        <v>46064</v>
      </c>
      <c r="R609" s="127" t="s">
        <v>882</v>
      </c>
      <c r="S609" s="138">
        <f>Table432[[#This Row],[Invoice Amount]]-Table432[[#This Row],[TDS]]-Table432[[#This Row],[RTN]]-Table432[[#This Row],[RECIVED AMOUNT]]</f>
        <v>2350.0619999999999</v>
      </c>
      <c r="T609" s="126"/>
      <c r="U609" s="126"/>
      <c r="V609" s="41">
        <f>Table432[[#This Row],[BALANCE]]-Table432[[#This Row],[RECIVED AMOUNT2]]</f>
        <v>2350.0619999999999</v>
      </c>
    </row>
    <row r="610" spans="1:22" ht="20.399999999999999" customHeight="1">
      <c r="A610" s="121">
        <v>45961</v>
      </c>
      <c r="B610" s="3" t="s">
        <v>870</v>
      </c>
      <c r="C610" s="7" t="s">
        <v>390</v>
      </c>
      <c r="D610" s="3" t="s">
        <v>391</v>
      </c>
      <c r="E610" s="3" t="s">
        <v>260</v>
      </c>
      <c r="F610" s="4" t="s">
        <v>26</v>
      </c>
      <c r="G610" s="4">
        <v>998531</v>
      </c>
      <c r="H610" s="23">
        <v>0.18</v>
      </c>
      <c r="I610" s="9">
        <v>1035.8399999999999</v>
      </c>
      <c r="J610" s="124">
        <f t="shared" si="40"/>
        <v>93.2256</v>
      </c>
      <c r="K610" s="124">
        <f t="shared" si="41"/>
        <v>93.2256</v>
      </c>
      <c r="L610" s="125"/>
      <c r="M610" s="125">
        <f>Table432[[#This Row],[Taxable Amount]]+Table432[[#This Row],[SGST]]+Table432[[#This Row],[CGST]]</f>
        <v>1222.2911999999999</v>
      </c>
      <c r="N610" s="160">
        <f>Table432[[#This Row],[Taxable Amount]]*1%</f>
        <v>10.3584</v>
      </c>
      <c r="O610" s="184"/>
      <c r="P610" s="133"/>
      <c r="Q610" s="134">
        <v>46064</v>
      </c>
      <c r="R610" s="127" t="s">
        <v>882</v>
      </c>
      <c r="S610" s="138">
        <f>Table432[[#This Row],[Invoice Amount]]-Table432[[#This Row],[TDS]]-Table432[[#This Row],[RTN]]-Table432[[#This Row],[RECIVED AMOUNT]]</f>
        <v>1211.9327999999998</v>
      </c>
      <c r="T610" s="126"/>
      <c r="U610" s="126"/>
      <c r="V610" s="41">
        <f>Table432[[#This Row],[BALANCE]]-Table432[[#This Row],[RECIVED AMOUNT2]]</f>
        <v>1211.9327999999998</v>
      </c>
    </row>
    <row r="611" spans="1:22" ht="20.399999999999999" customHeight="1">
      <c r="A611" s="121">
        <v>45961</v>
      </c>
      <c r="B611" s="3" t="s">
        <v>871</v>
      </c>
      <c r="C611" s="7" t="s">
        <v>390</v>
      </c>
      <c r="D611" s="3" t="s">
        <v>391</v>
      </c>
      <c r="E611" s="3" t="s">
        <v>260</v>
      </c>
      <c r="F611" s="4" t="s">
        <v>26</v>
      </c>
      <c r="G611" s="4">
        <v>998531</v>
      </c>
      <c r="H611" s="23">
        <v>0.18</v>
      </c>
      <c r="I611" s="9">
        <v>972.76</v>
      </c>
      <c r="J611" s="124">
        <f t="shared" si="40"/>
        <v>87.548400000000001</v>
      </c>
      <c r="K611" s="124">
        <f t="shared" si="41"/>
        <v>87.548400000000001</v>
      </c>
      <c r="L611" s="125"/>
      <c r="M611" s="125">
        <f>Table432[[#This Row],[Taxable Amount]]+Table432[[#This Row],[SGST]]+Table432[[#This Row],[CGST]]</f>
        <v>1147.8567999999998</v>
      </c>
      <c r="N611" s="160">
        <f>Table432[[#This Row],[Taxable Amount]]*1%</f>
        <v>9.7276000000000007</v>
      </c>
      <c r="O611" s="184"/>
      <c r="P611" s="133"/>
      <c r="Q611" s="134">
        <v>46064</v>
      </c>
      <c r="R611" s="127" t="s">
        <v>882</v>
      </c>
      <c r="S611" s="138">
        <f>Table432[[#This Row],[Invoice Amount]]-Table432[[#This Row],[TDS]]-Table432[[#This Row],[RTN]]-Table432[[#This Row],[RECIVED AMOUNT]]</f>
        <v>1138.1291999999999</v>
      </c>
      <c r="T611" s="126"/>
      <c r="U611" s="126"/>
      <c r="V611" s="41">
        <f>Table432[[#This Row],[BALANCE]]-Table432[[#This Row],[RECIVED AMOUNT2]]</f>
        <v>1138.1291999999999</v>
      </c>
    </row>
    <row r="612" spans="1:22" ht="20.399999999999999" customHeight="1">
      <c r="A612" s="121">
        <v>45961</v>
      </c>
      <c r="B612" s="3" t="s">
        <v>872</v>
      </c>
      <c r="C612" s="7" t="s">
        <v>390</v>
      </c>
      <c r="D612" s="3" t="s">
        <v>391</v>
      </c>
      <c r="E612" s="3" t="s">
        <v>260</v>
      </c>
      <c r="F612" s="4" t="s">
        <v>26</v>
      </c>
      <c r="G612" s="4">
        <v>998531</v>
      </c>
      <c r="H612" s="23">
        <v>0.18</v>
      </c>
      <c r="I612" s="9">
        <v>930.43</v>
      </c>
      <c r="J612" s="124">
        <f t="shared" si="40"/>
        <v>83.738699999999994</v>
      </c>
      <c r="K612" s="124">
        <f t="shared" si="41"/>
        <v>83.738699999999994</v>
      </c>
      <c r="L612" s="125"/>
      <c r="M612" s="125">
        <f>Table432[[#This Row],[Taxable Amount]]+Table432[[#This Row],[SGST]]+Table432[[#This Row],[CGST]]</f>
        <v>1097.9074000000001</v>
      </c>
      <c r="N612" s="160">
        <f>Table432[[#This Row],[Taxable Amount]]*1%</f>
        <v>9.3042999999999996</v>
      </c>
      <c r="O612" s="184"/>
      <c r="P612" s="133"/>
      <c r="Q612" s="134">
        <v>46064</v>
      </c>
      <c r="R612" s="127" t="s">
        <v>882</v>
      </c>
      <c r="S612" s="138">
        <f>Table432[[#This Row],[Invoice Amount]]-Table432[[#This Row],[TDS]]-Table432[[#This Row],[RTN]]-Table432[[#This Row],[RECIVED AMOUNT]]</f>
        <v>1088.6031</v>
      </c>
      <c r="T612" s="126"/>
      <c r="U612" s="126"/>
      <c r="V612" s="41">
        <f>Table432[[#This Row],[BALANCE]]-Table432[[#This Row],[RECIVED AMOUNT2]]</f>
        <v>1088.6031</v>
      </c>
    </row>
    <row r="613" spans="1:22" ht="20.399999999999999" customHeight="1">
      <c r="A613" s="121">
        <v>45961</v>
      </c>
      <c r="B613" s="3" t="s">
        <v>873</v>
      </c>
      <c r="C613" s="7" t="s">
        <v>390</v>
      </c>
      <c r="D613" s="3" t="s">
        <v>391</v>
      </c>
      <c r="E613" s="3" t="s">
        <v>260</v>
      </c>
      <c r="F613" s="4" t="s">
        <v>26</v>
      </c>
      <c r="G613" s="4">
        <v>998531</v>
      </c>
      <c r="H613" s="23">
        <v>0.18</v>
      </c>
      <c r="I613" s="9">
        <v>698.86</v>
      </c>
      <c r="J613" s="124">
        <f t="shared" si="40"/>
        <v>62.897399999999998</v>
      </c>
      <c r="K613" s="124">
        <f t="shared" si="41"/>
        <v>62.897399999999998</v>
      </c>
      <c r="L613" s="125"/>
      <c r="M613" s="125">
        <f>Table432[[#This Row],[Taxable Amount]]+Table432[[#This Row],[SGST]]+Table432[[#This Row],[CGST]]</f>
        <v>824.65479999999991</v>
      </c>
      <c r="N613" s="160">
        <f>Table432[[#This Row],[Taxable Amount]]*1%</f>
        <v>6.9885999999999999</v>
      </c>
      <c r="O613" s="184"/>
      <c r="P613" s="133">
        <v>9710</v>
      </c>
      <c r="Q613" s="134">
        <v>46064</v>
      </c>
      <c r="R613" s="127" t="s">
        <v>882</v>
      </c>
      <c r="S613" s="138">
        <f>Table432[[#This Row],[Invoice Amount]]-Table432[[#This Row],[TDS]]-Table432[[#This Row],[RTN]]-Table432[[#This Row],[RECIVED AMOUNT]]</f>
        <v>-8892.3338000000003</v>
      </c>
      <c r="T613" s="126"/>
      <c r="U613" s="126"/>
      <c r="V613" s="41">
        <f>Table432[[#This Row],[BALANCE]]-Table432[[#This Row],[RECIVED AMOUNT2]]</f>
        <v>-8892.3338000000003</v>
      </c>
    </row>
    <row r="614" spans="1:22" ht="20.399999999999999" customHeight="1">
      <c r="A614" s="121">
        <v>45961</v>
      </c>
      <c r="B614" s="3" t="s">
        <v>874</v>
      </c>
      <c r="C614" s="7" t="s">
        <v>290</v>
      </c>
      <c r="D614" s="3" t="s">
        <v>291</v>
      </c>
      <c r="E614" s="3" t="s">
        <v>25</v>
      </c>
      <c r="F614" s="4" t="s">
        <v>26</v>
      </c>
      <c r="G614" s="4">
        <v>998531</v>
      </c>
      <c r="H614" s="23">
        <v>0.18</v>
      </c>
      <c r="I614" s="124">
        <v>3000</v>
      </c>
      <c r="J614" s="124">
        <f t="shared" si="40"/>
        <v>270</v>
      </c>
      <c r="K614" s="124">
        <f t="shared" si="41"/>
        <v>270</v>
      </c>
      <c r="L614" s="125"/>
      <c r="M614" s="125">
        <f>Table432[[#This Row],[Taxable Amount]]+Table432[[#This Row],[SGST]]+Table432[[#This Row],[CGST]]</f>
        <v>3540</v>
      </c>
      <c r="N614" s="110">
        <f>Table432[[#This Row],[Taxable Amount]]*0%</f>
        <v>0</v>
      </c>
      <c r="O614" s="184"/>
      <c r="P614" s="133"/>
      <c r="Q614" s="134"/>
      <c r="R614" s="127" t="s">
        <v>882</v>
      </c>
      <c r="S614" s="138">
        <f>Table432[[#This Row],[Invoice Amount]]-Table432[[#This Row],[TDS]]-Table432[[#This Row],[RTN]]-Table432[[#This Row],[RECIVED AMOUNT]]</f>
        <v>3540</v>
      </c>
      <c r="T614" s="126"/>
      <c r="U614" s="126"/>
      <c r="V614" s="41">
        <f>Table432[[#This Row],[BALANCE]]-Table432[[#This Row],[RECIVED AMOUNT2]]</f>
        <v>3540</v>
      </c>
    </row>
    <row r="615" spans="1:22" ht="20.399999999999999" customHeight="1">
      <c r="A615" s="121">
        <v>45961</v>
      </c>
      <c r="B615" s="3" t="s">
        <v>875</v>
      </c>
      <c r="C615" s="3" t="s">
        <v>955</v>
      </c>
      <c r="D615" s="3" t="s">
        <v>205</v>
      </c>
      <c r="E615" s="3" t="s">
        <v>67</v>
      </c>
      <c r="F615" s="4" t="s">
        <v>26</v>
      </c>
      <c r="G615" s="4">
        <v>998531</v>
      </c>
      <c r="H615" s="23">
        <v>0.18</v>
      </c>
      <c r="I615" s="124">
        <v>10000</v>
      </c>
      <c r="J615" s="124">
        <f t="shared" si="40"/>
        <v>900</v>
      </c>
      <c r="K615" s="124">
        <f t="shared" si="41"/>
        <v>900</v>
      </c>
      <c r="L615" s="125"/>
      <c r="M615" s="125">
        <f>Table432[[#This Row],[Taxable Amount]]+Table432[[#This Row],[SGST]]+Table432[[#This Row],[CGST]]</f>
        <v>11800</v>
      </c>
      <c r="N615" s="160">
        <f>Table432[[#This Row],[Taxable Amount]]*1%</f>
        <v>100</v>
      </c>
      <c r="O615" s="184"/>
      <c r="P615" s="133"/>
      <c r="Q615" s="134">
        <v>46049</v>
      </c>
      <c r="R615" s="127" t="s">
        <v>882</v>
      </c>
      <c r="S615" s="138">
        <f>Table432[[#This Row],[Invoice Amount]]-Table432[[#This Row],[TDS]]-Table432[[#This Row],[RTN]]-Table432[[#This Row],[RECIVED AMOUNT]]</f>
        <v>11700</v>
      </c>
      <c r="T615" s="126"/>
      <c r="U615" s="126"/>
      <c r="V615" s="41">
        <f>Table432[[#This Row],[BALANCE]]-Table432[[#This Row],[RECIVED AMOUNT2]]</f>
        <v>11700</v>
      </c>
    </row>
    <row r="616" spans="1:22" ht="19.95" customHeight="1">
      <c r="A616" s="121">
        <v>45961</v>
      </c>
      <c r="B616" s="3" t="s">
        <v>876</v>
      </c>
      <c r="C616" s="7" t="s">
        <v>372</v>
      </c>
      <c r="D616" s="3" t="s">
        <v>794</v>
      </c>
      <c r="E616" s="3" t="s">
        <v>374</v>
      </c>
      <c r="F616" s="4" t="s">
        <v>26</v>
      </c>
      <c r="G616" s="4">
        <v>998531</v>
      </c>
      <c r="H616" s="23">
        <v>0.18</v>
      </c>
      <c r="I616" s="129">
        <v>1250</v>
      </c>
      <c r="J616" s="129">
        <f>I616*9/100</f>
        <v>112.5</v>
      </c>
      <c r="K616" s="129">
        <f>I616*9/100</f>
        <v>112.5</v>
      </c>
      <c r="L616" s="130"/>
      <c r="M616" s="130">
        <f>Table432[[#This Row],[Taxable Amount]]+Table432[[#This Row],[SGST]]+Table432[[#This Row],[CGST]]</f>
        <v>1475</v>
      </c>
      <c r="N616" s="161"/>
      <c r="O616" s="185"/>
      <c r="P616" s="135">
        <v>1475</v>
      </c>
      <c r="Q616" s="205">
        <v>46008</v>
      </c>
      <c r="R616" s="127" t="s">
        <v>882</v>
      </c>
      <c r="S616" s="138">
        <f>Table432[[#This Row],[Invoice Amount]]-Table432[[#This Row],[TDS]]-Table432[[#This Row],[RTN]]-Table432[[#This Row],[RECIVED AMOUNT]]</f>
        <v>0</v>
      </c>
      <c r="T616" s="131"/>
      <c r="U616" s="131"/>
      <c r="V616" s="41">
        <f>Table432[[#This Row],[BALANCE]]-Table432[[#This Row],[RECIVED AMOUNT2]]</f>
        <v>0</v>
      </c>
    </row>
    <row r="617" spans="1:22" ht="19.95" customHeight="1">
      <c r="A617" s="121">
        <v>45961</v>
      </c>
      <c r="B617" s="3" t="s">
        <v>877</v>
      </c>
      <c r="C617" s="7" t="s">
        <v>720</v>
      </c>
      <c r="D617" s="3" t="s">
        <v>721</v>
      </c>
      <c r="E617" s="3" t="s">
        <v>722</v>
      </c>
      <c r="F617" s="4" t="s">
        <v>26</v>
      </c>
      <c r="G617" s="4">
        <v>998531</v>
      </c>
      <c r="H617" s="23">
        <v>0.18</v>
      </c>
      <c r="I617" s="129">
        <v>24200</v>
      </c>
      <c r="J617" s="129">
        <f>I617*9/100</f>
        <v>2178</v>
      </c>
      <c r="K617" s="129">
        <f>I617*9/100</f>
        <v>2178</v>
      </c>
      <c r="L617" s="130"/>
      <c r="M617" s="130">
        <f>Table432[[#This Row],[Taxable Amount]]+Table432[[#This Row],[SGST]]+Table432[[#This Row],[CGST]]</f>
        <v>28556</v>
      </c>
      <c r="N617" s="161"/>
      <c r="O617" s="185"/>
      <c r="P617" s="135">
        <v>28556</v>
      </c>
      <c r="Q617" s="205">
        <v>45971</v>
      </c>
      <c r="R617" s="127" t="s">
        <v>882</v>
      </c>
      <c r="S617" s="138">
        <f>Table432[[#This Row],[Invoice Amount]]-Table432[[#This Row],[TDS]]-Table432[[#This Row],[RTN]]-Table432[[#This Row],[RECIVED AMOUNT]]</f>
        <v>0</v>
      </c>
      <c r="T617" s="131"/>
      <c r="U617" s="131"/>
      <c r="V617" s="41">
        <f>Table432[[#This Row],[BALANCE]]-Table432[[#This Row],[RECIVED AMOUNT2]]</f>
        <v>0</v>
      </c>
    </row>
    <row r="618" spans="1:22" ht="19.95" customHeight="1">
      <c r="A618" s="121">
        <v>45961</v>
      </c>
      <c r="B618" s="3" t="s">
        <v>889</v>
      </c>
      <c r="C618" s="7" t="s">
        <v>720</v>
      </c>
      <c r="D618" s="3" t="s">
        <v>721</v>
      </c>
      <c r="E618" s="3" t="s">
        <v>750</v>
      </c>
      <c r="F618" s="4" t="s">
        <v>26</v>
      </c>
      <c r="G618" s="5">
        <v>998531</v>
      </c>
      <c r="H618" s="23">
        <v>0.18</v>
      </c>
      <c r="I618" s="129">
        <v>26000</v>
      </c>
      <c r="J618" s="129">
        <f>I618*9/100</f>
        <v>2340</v>
      </c>
      <c r="K618" s="129">
        <f>I618*9/100</f>
        <v>2340</v>
      </c>
      <c r="L618" s="130"/>
      <c r="M618" s="130">
        <f>Table432[[#This Row],[Taxable Amount]]+Table432[[#This Row],[SGST]]+Table432[[#This Row],[CGST]]</f>
        <v>30680</v>
      </c>
      <c r="N618" s="161"/>
      <c r="O618" s="185"/>
      <c r="P618" s="135">
        <v>30680</v>
      </c>
      <c r="Q618" s="205">
        <v>45969</v>
      </c>
      <c r="R618" s="127" t="s">
        <v>882</v>
      </c>
      <c r="S618" s="138">
        <f>Table432[[#This Row],[Invoice Amount]]-Table432[[#This Row],[TDS]]-Table432[[#This Row],[RTN]]-Table432[[#This Row],[RECIVED AMOUNT]]</f>
        <v>0</v>
      </c>
      <c r="T618" s="131"/>
      <c r="U618" s="131"/>
      <c r="V618" s="41">
        <f>Table432[[#This Row],[BALANCE]]-Table432[[#This Row],[RECIVED AMOUNT2]]</f>
        <v>0</v>
      </c>
    </row>
    <row r="619" spans="1:22" ht="19.95" customHeight="1">
      <c r="A619" s="121">
        <v>45961</v>
      </c>
      <c r="B619" s="3" t="s">
        <v>890</v>
      </c>
      <c r="C619" s="3" t="s">
        <v>963</v>
      </c>
      <c r="D619" s="7" t="s">
        <v>143</v>
      </c>
      <c r="E619" s="7" t="s">
        <v>515</v>
      </c>
      <c r="F619" s="4" t="s">
        <v>26</v>
      </c>
      <c r="G619" s="4">
        <v>998531</v>
      </c>
      <c r="H619" s="23">
        <v>0.18</v>
      </c>
      <c r="I619" s="129">
        <v>4000</v>
      </c>
      <c r="J619" s="129">
        <f>I619*9/100</f>
        <v>360</v>
      </c>
      <c r="K619" s="129">
        <f>I619*9/100</f>
        <v>360</v>
      </c>
      <c r="L619" s="130"/>
      <c r="M619" s="130">
        <f>Table432[[#This Row],[Taxable Amount]]+Table432[[#This Row],[SGST]]+Table432[[#This Row],[CGST]]</f>
        <v>4720</v>
      </c>
      <c r="N619" s="161">
        <f>Table432[[#This Row],[Taxable Amount]]*1%</f>
        <v>40</v>
      </c>
      <c r="O619" s="185"/>
      <c r="P619" s="135">
        <v>4720</v>
      </c>
      <c r="Q619" s="205">
        <v>45981</v>
      </c>
      <c r="R619" s="127" t="s">
        <v>882</v>
      </c>
      <c r="S619" s="138">
        <f>Table432[[#This Row],[Invoice Amount]]-Table432[[#This Row],[TDS]]-Table432[[#This Row],[RTN]]-Table432[[#This Row],[RECIVED AMOUNT]]</f>
        <v>-40</v>
      </c>
      <c r="T619" s="131"/>
      <c r="U619" s="131"/>
      <c r="V619" s="41">
        <f>Table432[[#This Row],[BALANCE]]-Table432[[#This Row],[RECIVED AMOUNT2]]</f>
        <v>-40</v>
      </c>
    </row>
    <row r="620" spans="1:22" s="325" customFormat="1" ht="19.95" customHeight="1">
      <c r="A620" s="330">
        <v>45961</v>
      </c>
      <c r="B620" s="327" t="s">
        <v>891</v>
      </c>
      <c r="C620" s="315" t="s">
        <v>883</v>
      </c>
      <c r="D620" s="315" t="s">
        <v>884</v>
      </c>
      <c r="E620" s="315" t="s">
        <v>59</v>
      </c>
      <c r="F620" s="316" t="s">
        <v>26</v>
      </c>
      <c r="G620" s="316">
        <v>998531</v>
      </c>
      <c r="H620" s="317">
        <v>0.18</v>
      </c>
      <c r="I620" s="318">
        <v>2500</v>
      </c>
      <c r="J620" s="318">
        <f>I620*9/100</f>
        <v>225</v>
      </c>
      <c r="K620" s="318">
        <f>I620*9/100</f>
        <v>225</v>
      </c>
      <c r="L620" s="319"/>
      <c r="M620" s="319">
        <f>Table432[[#This Row],[Taxable Amount]]+Table432[[#This Row],[SGST]]+Table432[[#This Row],[CGST]]</f>
        <v>2950</v>
      </c>
      <c r="N620" s="320">
        <f>Table432[[#This Row],[Taxable Amount]]*1%</f>
        <v>25</v>
      </c>
      <c r="O620" s="329"/>
      <c r="P620" s="322"/>
      <c r="Q620" s="322"/>
      <c r="R620" s="331" t="s">
        <v>882</v>
      </c>
      <c r="S620" s="323">
        <f>Table432[[#This Row],[Invoice Amount]]-Table432[[#This Row],[TDS]]-Table432[[#This Row],[RTN]]-Table432[[#This Row],[RECIVED AMOUNT]]</f>
        <v>2925</v>
      </c>
      <c r="T620" s="315"/>
      <c r="U620" s="315"/>
      <c r="V620" s="324">
        <f>Table432[[#This Row],[BALANCE]]-Table432[[#This Row],[RECIVED AMOUNT2]]</f>
        <v>2925</v>
      </c>
    </row>
    <row r="621" spans="1:22" ht="19.95" customHeight="1">
      <c r="A621" s="121">
        <v>45961</v>
      </c>
      <c r="B621" s="3" t="s">
        <v>892</v>
      </c>
      <c r="C621" s="163" t="s">
        <v>444</v>
      </c>
      <c r="D621" s="131" t="s">
        <v>445</v>
      </c>
      <c r="E621" s="131" t="s">
        <v>25</v>
      </c>
      <c r="F621" s="136" t="s">
        <v>26</v>
      </c>
      <c r="G621" s="137">
        <v>998531</v>
      </c>
      <c r="H621" s="23">
        <v>0.18</v>
      </c>
      <c r="I621" s="129">
        <v>3150</v>
      </c>
      <c r="J621" s="129">
        <f t="shared" ref="J621:J629" si="42">I621*9/100</f>
        <v>283.5</v>
      </c>
      <c r="K621" s="129">
        <f t="shared" ref="K621:K629" si="43">I621*9/100</f>
        <v>283.5</v>
      </c>
      <c r="L621" s="130"/>
      <c r="M621" s="130">
        <f>Table432[[#This Row],[Taxable Amount]]+Table432[[#This Row],[SGST]]+Table432[[#This Row],[CGST]]</f>
        <v>3717</v>
      </c>
      <c r="N621" s="71">
        <v>0</v>
      </c>
      <c r="O621" s="185"/>
      <c r="P621" s="135"/>
      <c r="Q621" s="135"/>
      <c r="R621" s="127" t="s">
        <v>882</v>
      </c>
      <c r="S621" s="138">
        <f>Table432[[#This Row],[Invoice Amount]]-Table432[[#This Row],[TDS]]-Table432[[#This Row],[RTN]]-Table432[[#This Row],[RECIVED AMOUNT]]</f>
        <v>3717</v>
      </c>
      <c r="T621" s="131"/>
      <c r="U621" s="131"/>
      <c r="V621" s="41">
        <f>Table432[[#This Row],[BALANCE]]-Table432[[#This Row],[RECIVED AMOUNT2]]</f>
        <v>3717</v>
      </c>
    </row>
    <row r="622" spans="1:22" ht="19.95" customHeight="1">
      <c r="A622" s="121">
        <v>45961</v>
      </c>
      <c r="B622" s="3" t="s">
        <v>893</v>
      </c>
      <c r="C622" s="163" t="s">
        <v>23</v>
      </c>
      <c r="D622" s="131" t="s">
        <v>24</v>
      </c>
      <c r="E622" s="131" t="s">
        <v>25</v>
      </c>
      <c r="F622" s="136" t="s">
        <v>26</v>
      </c>
      <c r="G622" s="137">
        <v>998531</v>
      </c>
      <c r="H622" s="23">
        <v>0.18</v>
      </c>
      <c r="I622" s="129">
        <v>5250</v>
      </c>
      <c r="J622" s="129">
        <f t="shared" si="42"/>
        <v>472.5</v>
      </c>
      <c r="K622" s="129">
        <f t="shared" si="43"/>
        <v>472.5</v>
      </c>
      <c r="L622" s="130"/>
      <c r="M622" s="130">
        <f>Table432[[#This Row],[Taxable Amount]]+Table432[[#This Row],[SGST]]+Table432[[#This Row],[CGST]]</f>
        <v>6195</v>
      </c>
      <c r="N622" s="161">
        <f>Table432[[#This Row],[Taxable Amount]]*1%</f>
        <v>52.5</v>
      </c>
      <c r="O622" s="185"/>
      <c r="P622" s="135"/>
      <c r="Q622" s="205">
        <v>46158</v>
      </c>
      <c r="R622" s="127" t="s">
        <v>882</v>
      </c>
      <c r="S622" s="138">
        <f>Table432[[#This Row],[Invoice Amount]]-Table432[[#This Row],[TDS]]-Table432[[#This Row],[RTN]]-Table432[[#This Row],[RECIVED AMOUNT]]</f>
        <v>6142.5</v>
      </c>
      <c r="T622" s="131"/>
      <c r="U622" s="131"/>
      <c r="V622" s="41">
        <f>Table432[[#This Row],[BALANCE]]-Table432[[#This Row],[RECIVED AMOUNT2]]</f>
        <v>6142.5</v>
      </c>
    </row>
    <row r="623" spans="1:22" s="10" customFormat="1" ht="19.95" customHeight="1">
      <c r="A623" s="220">
        <v>45964</v>
      </c>
      <c r="B623" s="7" t="s">
        <v>894</v>
      </c>
      <c r="C623" s="163" t="s">
        <v>885</v>
      </c>
      <c r="D623" s="163" t="s">
        <v>886</v>
      </c>
      <c r="E623" s="163" t="s">
        <v>232</v>
      </c>
      <c r="F623" s="137" t="s">
        <v>26</v>
      </c>
      <c r="G623" s="137">
        <v>998531</v>
      </c>
      <c r="H623" s="221">
        <v>0.18</v>
      </c>
      <c r="I623" s="214">
        <v>6000</v>
      </c>
      <c r="J623" s="214">
        <f t="shared" si="42"/>
        <v>540</v>
      </c>
      <c r="K623" s="214">
        <f t="shared" si="43"/>
        <v>540</v>
      </c>
      <c r="L623" s="222"/>
      <c r="M623" s="222">
        <f>Table432[[#This Row],[Taxable Amount]]+Table432[[#This Row],[SGST]]+Table432[[#This Row],[CGST]]</f>
        <v>7080</v>
      </c>
      <c r="N623" s="216"/>
      <c r="O623" s="223"/>
      <c r="P623" s="224">
        <v>7080</v>
      </c>
      <c r="Q623" s="228">
        <v>46059</v>
      </c>
      <c r="R623" s="225" t="s">
        <v>959</v>
      </c>
      <c r="S623" s="138">
        <f>Table432[[#This Row],[Invoice Amount]]-Table432[[#This Row],[TDS]]-Table432[[#This Row],[RTN]]-Table432[[#This Row],[RECIVED AMOUNT]]</f>
        <v>0</v>
      </c>
      <c r="T623" s="163"/>
      <c r="U623" s="163"/>
      <c r="V623" s="70">
        <f>Table432[[#This Row],[BALANCE]]-Table432[[#This Row],[RECIVED AMOUNT2]]</f>
        <v>0</v>
      </c>
    </row>
    <row r="624" spans="1:22" s="10" customFormat="1" ht="19.95" customHeight="1">
      <c r="A624" s="226">
        <v>45965</v>
      </c>
      <c r="B624" s="7" t="s">
        <v>895</v>
      </c>
      <c r="C624" s="163" t="s">
        <v>173</v>
      </c>
      <c r="D624" s="163" t="s">
        <v>174</v>
      </c>
      <c r="E624" s="163" t="s">
        <v>59</v>
      </c>
      <c r="F624" s="137" t="s">
        <v>26</v>
      </c>
      <c r="G624" s="137">
        <v>998531</v>
      </c>
      <c r="H624" s="221">
        <v>0.18</v>
      </c>
      <c r="I624" s="214">
        <v>8800</v>
      </c>
      <c r="J624" s="214">
        <f t="shared" si="42"/>
        <v>792</v>
      </c>
      <c r="K624" s="214">
        <f t="shared" si="43"/>
        <v>792</v>
      </c>
      <c r="L624" s="222"/>
      <c r="M624" s="222">
        <f>Table432[[#This Row],[Taxable Amount]]+Table432[[#This Row],[SGST]]+Table432[[#This Row],[CGST]]</f>
        <v>10384</v>
      </c>
      <c r="N624" s="216">
        <f>Table432[[#This Row],[Taxable Amount]]*1%</f>
        <v>88</v>
      </c>
      <c r="O624" s="223"/>
      <c r="P624" s="227">
        <v>10296</v>
      </c>
      <c r="Q624" s="228">
        <v>45995</v>
      </c>
      <c r="R624" s="225" t="s">
        <v>959</v>
      </c>
      <c r="S624" s="138">
        <f>Table432[[#This Row],[Invoice Amount]]-Table432[[#This Row],[TDS]]-Table432[[#This Row],[RTN]]-Table432[[#This Row],[RECIVED AMOUNT]]</f>
        <v>0</v>
      </c>
      <c r="T624" s="163"/>
      <c r="U624" s="163"/>
      <c r="V624" s="70">
        <f>Table432[[#This Row],[BALANCE]]-Table432[[#This Row],[RECIVED AMOUNT2]]</f>
        <v>0</v>
      </c>
    </row>
    <row r="625" spans="1:22" ht="19.95" customHeight="1">
      <c r="A625" s="128">
        <v>45966</v>
      </c>
      <c r="B625" s="3" t="s">
        <v>896</v>
      </c>
      <c r="C625" s="7" t="s">
        <v>674</v>
      </c>
      <c r="D625" s="3" t="s">
        <v>675</v>
      </c>
      <c r="E625" s="3" t="s">
        <v>676</v>
      </c>
      <c r="F625" s="4" t="s">
        <v>26</v>
      </c>
      <c r="G625" s="5">
        <v>998531</v>
      </c>
      <c r="H625" s="23">
        <v>0.18</v>
      </c>
      <c r="I625" s="129">
        <v>9600</v>
      </c>
      <c r="J625" s="129">
        <f t="shared" si="42"/>
        <v>864</v>
      </c>
      <c r="K625" s="129">
        <f t="shared" si="43"/>
        <v>864</v>
      </c>
      <c r="L625" s="130"/>
      <c r="M625" s="130">
        <f>Table432[[#This Row],[Taxable Amount]]+Table432[[#This Row],[SGST]]+Table432[[#This Row],[CGST]]</f>
        <v>11328</v>
      </c>
      <c r="N625" s="161">
        <f>Table432[[#This Row],[Taxable Amount]]*1%</f>
        <v>96</v>
      </c>
      <c r="O625" s="185"/>
      <c r="P625" s="135">
        <v>11232</v>
      </c>
      <c r="Q625" s="59">
        <v>46101</v>
      </c>
      <c r="R625" s="132" t="s">
        <v>959</v>
      </c>
      <c r="S625" s="138">
        <f>Table432[[#This Row],[Invoice Amount]]-Table432[[#This Row],[TDS]]-Table432[[#This Row],[RTN]]-Table432[[#This Row],[RECIVED AMOUNT]]</f>
        <v>0</v>
      </c>
      <c r="T625" s="131"/>
      <c r="U625" s="131"/>
      <c r="V625" s="41">
        <f>Table432[[#This Row],[BALANCE]]-Table432[[#This Row],[RECIVED AMOUNT2]]</f>
        <v>0</v>
      </c>
    </row>
    <row r="626" spans="1:22" ht="19.95" customHeight="1">
      <c r="A626" s="128">
        <v>45966</v>
      </c>
      <c r="B626" s="3" t="s">
        <v>897</v>
      </c>
      <c r="C626" s="7" t="s">
        <v>674</v>
      </c>
      <c r="D626" s="3" t="s">
        <v>675</v>
      </c>
      <c r="E626" s="3" t="s">
        <v>678</v>
      </c>
      <c r="F626" s="4" t="s">
        <v>26</v>
      </c>
      <c r="G626" s="5">
        <v>998531</v>
      </c>
      <c r="H626" s="23">
        <v>0.18</v>
      </c>
      <c r="I626" s="129">
        <v>3200</v>
      </c>
      <c r="J626" s="129">
        <f t="shared" si="42"/>
        <v>288</v>
      </c>
      <c r="K626" s="129">
        <f t="shared" si="43"/>
        <v>288</v>
      </c>
      <c r="L626" s="130"/>
      <c r="M626" s="130">
        <f>Table432[[#This Row],[Taxable Amount]]+Table432[[#This Row],[SGST]]+Table432[[#This Row],[CGST]]</f>
        <v>3776</v>
      </c>
      <c r="N626" s="161">
        <f>Table432[[#This Row],[Taxable Amount]]*1%</f>
        <v>32</v>
      </c>
      <c r="O626" s="185"/>
      <c r="P626" s="135">
        <v>3744</v>
      </c>
      <c r="Q626" s="205">
        <v>46112</v>
      </c>
      <c r="R626" s="132" t="s">
        <v>959</v>
      </c>
      <c r="S626" s="138">
        <f>Table432[[#This Row],[Invoice Amount]]-Table432[[#This Row],[TDS]]-Table432[[#This Row],[RTN]]-Table432[[#This Row],[RECIVED AMOUNT]]</f>
        <v>0</v>
      </c>
      <c r="T626" s="131"/>
      <c r="U626" s="131"/>
      <c r="V626" s="41">
        <f>Table432[[#This Row],[BALANCE]]-Table432[[#This Row],[RECIVED AMOUNT2]]</f>
        <v>0</v>
      </c>
    </row>
    <row r="627" spans="1:22" ht="19.95" customHeight="1">
      <c r="A627" s="128">
        <v>45966</v>
      </c>
      <c r="B627" s="3" t="s">
        <v>898</v>
      </c>
      <c r="C627" s="7" t="s">
        <v>674</v>
      </c>
      <c r="D627" s="3" t="s">
        <v>675</v>
      </c>
      <c r="E627" s="3" t="s">
        <v>680</v>
      </c>
      <c r="F627" s="4" t="s">
        <v>26</v>
      </c>
      <c r="G627" s="4">
        <v>998531</v>
      </c>
      <c r="H627" s="23">
        <v>0.18</v>
      </c>
      <c r="I627" s="129">
        <v>4000</v>
      </c>
      <c r="J627" s="129">
        <f t="shared" si="42"/>
        <v>360</v>
      </c>
      <c r="K627" s="129">
        <f t="shared" si="43"/>
        <v>360</v>
      </c>
      <c r="L627" s="130"/>
      <c r="M627" s="130">
        <f>Table432[[#This Row],[Taxable Amount]]+Table432[[#This Row],[SGST]]+Table432[[#This Row],[CGST]]</f>
        <v>4720</v>
      </c>
      <c r="N627" s="161">
        <f>Table432[[#This Row],[Taxable Amount]]*1%</f>
        <v>40</v>
      </c>
      <c r="O627" s="185"/>
      <c r="P627" s="135">
        <v>4680</v>
      </c>
      <c r="Q627" s="205">
        <v>46112</v>
      </c>
      <c r="R627" s="132" t="s">
        <v>959</v>
      </c>
      <c r="S627" s="138">
        <f>Table432[[#This Row],[Invoice Amount]]-Table432[[#This Row],[TDS]]-Table432[[#This Row],[RTN]]-Table432[[#This Row],[RECIVED AMOUNT]]</f>
        <v>0</v>
      </c>
      <c r="T627" s="131"/>
      <c r="U627" s="131"/>
      <c r="V627" s="41">
        <f>Table432[[#This Row],[BALANCE]]-Table432[[#This Row],[RECIVED AMOUNT2]]</f>
        <v>0</v>
      </c>
    </row>
    <row r="628" spans="1:22" ht="19.95" customHeight="1">
      <c r="A628" s="128">
        <v>45966</v>
      </c>
      <c r="B628" s="3" t="s">
        <v>899</v>
      </c>
      <c r="C628" s="7" t="s">
        <v>674</v>
      </c>
      <c r="D628" s="3" t="s">
        <v>675</v>
      </c>
      <c r="E628" s="3" t="s">
        <v>684</v>
      </c>
      <c r="F628" s="4" t="s">
        <v>26</v>
      </c>
      <c r="G628" s="4">
        <v>998531</v>
      </c>
      <c r="H628" s="23">
        <v>0.18</v>
      </c>
      <c r="I628" s="129">
        <v>2750</v>
      </c>
      <c r="J628" s="129">
        <f t="shared" si="42"/>
        <v>247.5</v>
      </c>
      <c r="K628" s="129">
        <f t="shared" si="43"/>
        <v>247.5</v>
      </c>
      <c r="L628" s="130"/>
      <c r="M628" s="130">
        <f>Table432[[#This Row],[Taxable Amount]]+Table432[[#This Row],[SGST]]+Table432[[#This Row],[CGST]]</f>
        <v>3245</v>
      </c>
      <c r="N628" s="161">
        <f>Table432[[#This Row],[Taxable Amount]]*1%</f>
        <v>27.5</v>
      </c>
      <c r="O628" s="185"/>
      <c r="P628" s="135">
        <v>3217</v>
      </c>
      <c r="Q628" s="205">
        <v>46112</v>
      </c>
      <c r="R628" s="132" t="s">
        <v>959</v>
      </c>
      <c r="S628" s="138">
        <f>Table432[[#This Row],[Invoice Amount]]-Table432[[#This Row],[TDS]]-Table432[[#This Row],[RTN]]-Table432[[#This Row],[RECIVED AMOUNT]]</f>
        <v>0.5</v>
      </c>
      <c r="T628" s="131"/>
      <c r="U628" s="131"/>
      <c r="V628" s="41">
        <f>Table432[[#This Row],[BALANCE]]-Table432[[#This Row],[RECIVED AMOUNT2]]</f>
        <v>0.5</v>
      </c>
    </row>
    <row r="629" spans="1:22" ht="19.95" customHeight="1">
      <c r="A629" s="128">
        <v>45966</v>
      </c>
      <c r="B629" s="3" t="s">
        <v>900</v>
      </c>
      <c r="C629" s="7" t="s">
        <v>674</v>
      </c>
      <c r="D629" s="3" t="s">
        <v>675</v>
      </c>
      <c r="E629" s="3" t="s">
        <v>714</v>
      </c>
      <c r="F629" s="4" t="s">
        <v>26</v>
      </c>
      <c r="G629" s="4">
        <v>998531</v>
      </c>
      <c r="H629" s="23">
        <v>0.18</v>
      </c>
      <c r="I629" s="129">
        <v>2400</v>
      </c>
      <c r="J629" s="129">
        <f t="shared" si="42"/>
        <v>216</v>
      </c>
      <c r="K629" s="129">
        <f t="shared" si="43"/>
        <v>216</v>
      </c>
      <c r="L629" s="130"/>
      <c r="M629" s="130">
        <f>Table432[[#This Row],[Taxable Amount]]+Table432[[#This Row],[SGST]]+Table432[[#This Row],[CGST]]</f>
        <v>2832</v>
      </c>
      <c r="N629" s="161">
        <f>Table432[[#This Row],[Taxable Amount]]*1%</f>
        <v>24</v>
      </c>
      <c r="O629" s="185"/>
      <c r="P629" s="135">
        <v>2808</v>
      </c>
      <c r="Q629" s="205">
        <v>46112</v>
      </c>
      <c r="R629" s="132" t="s">
        <v>959</v>
      </c>
      <c r="S629" s="138">
        <f>Table432[[#This Row],[Invoice Amount]]-Table432[[#This Row],[TDS]]-Table432[[#This Row],[RTN]]-Table432[[#This Row],[RECIVED AMOUNT]]</f>
        <v>0</v>
      </c>
      <c r="T629" s="131"/>
      <c r="U629" s="131"/>
      <c r="V629" s="41">
        <f>Table432[[#This Row],[BALANCE]]-Table432[[#This Row],[RECIVED AMOUNT2]]</f>
        <v>0</v>
      </c>
    </row>
    <row r="630" spans="1:22" ht="19.95" customHeight="1">
      <c r="A630" s="128">
        <v>45966</v>
      </c>
      <c r="B630" s="3" t="s">
        <v>901</v>
      </c>
      <c r="C630" s="7" t="s">
        <v>674</v>
      </c>
      <c r="D630" s="3" t="s">
        <v>675</v>
      </c>
      <c r="E630" s="3" t="s">
        <v>716</v>
      </c>
      <c r="F630" s="4" t="s">
        <v>26</v>
      </c>
      <c r="G630" s="4">
        <v>998531</v>
      </c>
      <c r="H630" s="23">
        <v>0.18</v>
      </c>
      <c r="I630" s="129">
        <v>1700</v>
      </c>
      <c r="J630" s="129">
        <f t="shared" ref="J630:J635" si="44">I630*9/100</f>
        <v>153</v>
      </c>
      <c r="K630" s="129">
        <f t="shared" ref="K630:K635" si="45">I630*9/100</f>
        <v>153</v>
      </c>
      <c r="L630" s="130"/>
      <c r="M630" s="130">
        <f>Table432[[#This Row],[Taxable Amount]]+Table432[[#This Row],[SGST]]+Table432[[#This Row],[CGST]]</f>
        <v>2006</v>
      </c>
      <c r="N630" s="161">
        <f>Table432[[#This Row],[Taxable Amount]]*1%</f>
        <v>17</v>
      </c>
      <c r="O630" s="185"/>
      <c r="P630" s="135">
        <v>1989</v>
      </c>
      <c r="Q630" s="205">
        <v>46112</v>
      </c>
      <c r="R630" s="132" t="s">
        <v>959</v>
      </c>
      <c r="S630" s="138">
        <f>Table432[[#This Row],[Invoice Amount]]-Table432[[#This Row],[TDS]]-Table432[[#This Row],[RTN]]-Table432[[#This Row],[RECIVED AMOUNT]]</f>
        <v>0</v>
      </c>
      <c r="T630" s="131"/>
      <c r="U630" s="131"/>
      <c r="V630" s="41">
        <f>Table432[[#This Row],[BALANCE]]-Table432[[#This Row],[RECIVED AMOUNT2]]</f>
        <v>0</v>
      </c>
    </row>
    <row r="631" spans="1:22" ht="19.95" customHeight="1">
      <c r="A631" s="128">
        <v>45966</v>
      </c>
      <c r="B631" s="3" t="s">
        <v>902</v>
      </c>
      <c r="C631" s="7" t="s">
        <v>674</v>
      </c>
      <c r="D631" s="3" t="s">
        <v>675</v>
      </c>
      <c r="E631" s="3" t="s">
        <v>811</v>
      </c>
      <c r="F631" s="4" t="s">
        <v>26</v>
      </c>
      <c r="G631" s="4">
        <v>998531</v>
      </c>
      <c r="H631" s="23">
        <v>0.18</v>
      </c>
      <c r="I631" s="129">
        <v>10950</v>
      </c>
      <c r="J631" s="129">
        <f t="shared" si="44"/>
        <v>985.5</v>
      </c>
      <c r="K631" s="129">
        <f t="shared" si="45"/>
        <v>985.5</v>
      </c>
      <c r="L631" s="130"/>
      <c r="M631" s="130">
        <f>Table432[[#This Row],[Taxable Amount]]+Table432[[#This Row],[SGST]]+Table432[[#This Row],[CGST]]</f>
        <v>12921</v>
      </c>
      <c r="N631" s="161">
        <f>Table432[[#This Row],[Taxable Amount]]*1%</f>
        <v>109.5</v>
      </c>
      <c r="O631" s="185"/>
      <c r="P631" s="135">
        <v>12811</v>
      </c>
      <c r="Q631" s="205">
        <v>46112</v>
      </c>
      <c r="R631" s="132" t="s">
        <v>959</v>
      </c>
      <c r="S631" s="138">
        <f>Table432[[#This Row],[Invoice Amount]]-Table432[[#This Row],[TDS]]-Table432[[#This Row],[RTN]]-Table432[[#This Row],[RECIVED AMOUNT]]</f>
        <v>0.5</v>
      </c>
      <c r="T631" s="131"/>
      <c r="U631" s="131"/>
      <c r="V631" s="41">
        <f>Table432[[#This Row],[BALANCE]]-Table432[[#This Row],[RECIVED AMOUNT2]]</f>
        <v>0.5</v>
      </c>
    </row>
    <row r="632" spans="1:22" ht="19.95" customHeight="1">
      <c r="A632" s="128">
        <v>45966</v>
      </c>
      <c r="B632" s="3" t="s">
        <v>903</v>
      </c>
      <c r="C632" s="7" t="s">
        <v>674</v>
      </c>
      <c r="D632" s="3" t="s">
        <v>675</v>
      </c>
      <c r="E632" s="3" t="s">
        <v>813</v>
      </c>
      <c r="F632" s="4" t="s">
        <v>26</v>
      </c>
      <c r="G632" s="4">
        <v>998531</v>
      </c>
      <c r="H632" s="23">
        <v>0.18</v>
      </c>
      <c r="I632" s="129">
        <v>4200</v>
      </c>
      <c r="J632" s="129">
        <f t="shared" si="44"/>
        <v>378</v>
      </c>
      <c r="K632" s="129">
        <f t="shared" si="45"/>
        <v>378</v>
      </c>
      <c r="L632" s="130"/>
      <c r="M632" s="130">
        <f>Table432[[#This Row],[Taxable Amount]]+Table432[[#This Row],[SGST]]+Table432[[#This Row],[CGST]]</f>
        <v>4956</v>
      </c>
      <c r="N632" s="161">
        <f>Table432[[#This Row],[Taxable Amount]]*1%</f>
        <v>42</v>
      </c>
      <c r="O632" s="185"/>
      <c r="P632" s="135">
        <v>4914</v>
      </c>
      <c r="Q632" s="205">
        <v>46112</v>
      </c>
      <c r="R632" s="132" t="s">
        <v>959</v>
      </c>
      <c r="S632" s="138">
        <f>Table432[[#This Row],[Invoice Amount]]-Table432[[#This Row],[TDS]]-Table432[[#This Row],[RTN]]-Table432[[#This Row],[RECIVED AMOUNT]]</f>
        <v>0</v>
      </c>
      <c r="T632" s="131"/>
      <c r="U632" s="131"/>
      <c r="V632" s="41">
        <f>Table432[[#This Row],[BALANCE]]-Table432[[#This Row],[RECIVED AMOUNT2]]</f>
        <v>0</v>
      </c>
    </row>
    <row r="633" spans="1:22" ht="19.95" customHeight="1">
      <c r="A633" s="128">
        <v>45966</v>
      </c>
      <c r="B633" s="3" t="s">
        <v>904</v>
      </c>
      <c r="C633" s="7" t="s">
        <v>674</v>
      </c>
      <c r="D633" s="3" t="s">
        <v>675</v>
      </c>
      <c r="E633" s="3" t="s">
        <v>815</v>
      </c>
      <c r="F633" s="4" t="s">
        <v>26</v>
      </c>
      <c r="G633" s="4">
        <v>998531</v>
      </c>
      <c r="H633" s="23">
        <v>0.18</v>
      </c>
      <c r="I633" s="129">
        <v>650</v>
      </c>
      <c r="J633" s="129">
        <f t="shared" si="44"/>
        <v>58.5</v>
      </c>
      <c r="K633" s="129">
        <f t="shared" si="45"/>
        <v>58.5</v>
      </c>
      <c r="L633" s="130"/>
      <c r="M633" s="130">
        <f>Table432[[#This Row],[Taxable Amount]]+Table432[[#This Row],[SGST]]+Table432[[#This Row],[CGST]]</f>
        <v>767</v>
      </c>
      <c r="N633" s="161">
        <f>Table432[[#This Row],[Taxable Amount]]*1%</f>
        <v>6.5</v>
      </c>
      <c r="O633" s="185"/>
      <c r="P633" s="135">
        <v>760</v>
      </c>
      <c r="Q633" s="205">
        <v>46112</v>
      </c>
      <c r="R633" s="132" t="s">
        <v>959</v>
      </c>
      <c r="S633" s="138">
        <f>Table432[[#This Row],[Invoice Amount]]-Table432[[#This Row],[TDS]]-Table432[[#This Row],[RTN]]-Table432[[#This Row],[RECIVED AMOUNT]]</f>
        <v>0.5</v>
      </c>
      <c r="T633" s="131"/>
      <c r="U633" s="131"/>
      <c r="V633" s="41">
        <f>Table432[[#This Row],[BALANCE]]-Table432[[#This Row],[RECIVED AMOUNT2]]</f>
        <v>0.5</v>
      </c>
    </row>
    <row r="634" spans="1:22" s="10" customFormat="1" ht="19.95" customHeight="1">
      <c r="A634" s="226">
        <v>45966</v>
      </c>
      <c r="B634" s="7" t="s">
        <v>905</v>
      </c>
      <c r="C634" s="7" t="s">
        <v>887</v>
      </c>
      <c r="D634" s="163" t="s">
        <v>888</v>
      </c>
      <c r="E634" s="163" t="s">
        <v>750</v>
      </c>
      <c r="F634" s="137" t="s">
        <v>26</v>
      </c>
      <c r="G634" s="5">
        <v>998531</v>
      </c>
      <c r="H634" s="221">
        <v>0.18</v>
      </c>
      <c r="I634" s="214">
        <v>1200</v>
      </c>
      <c r="J634" s="214">
        <f t="shared" si="44"/>
        <v>108</v>
      </c>
      <c r="K634" s="214">
        <f t="shared" si="45"/>
        <v>108</v>
      </c>
      <c r="L634" s="222"/>
      <c r="M634" s="222">
        <f>Table432[[#This Row],[Taxable Amount]]+Table432[[#This Row],[SGST]]+Table432[[#This Row],[CGST]]</f>
        <v>1416</v>
      </c>
      <c r="N634" s="216"/>
      <c r="O634" s="223"/>
      <c r="P634" s="224">
        <v>1416</v>
      </c>
      <c r="Q634" s="205">
        <v>46112</v>
      </c>
      <c r="R634" s="225" t="s">
        <v>959</v>
      </c>
      <c r="S634" s="138">
        <f>Table432[[#This Row],[Invoice Amount]]-Table432[[#This Row],[TDS]]-Table432[[#This Row],[RTN]]-Table432[[#This Row],[RECIVED AMOUNT]]</f>
        <v>0</v>
      </c>
      <c r="T634" s="163"/>
      <c r="U634" s="163"/>
      <c r="V634" s="70">
        <f>Table432[[#This Row],[BALANCE]]-Table432[[#This Row],[RECIVED AMOUNT2]]</f>
        <v>0</v>
      </c>
    </row>
    <row r="635" spans="1:22" s="10" customFormat="1" ht="19.95" customHeight="1">
      <c r="A635" s="226">
        <v>45967</v>
      </c>
      <c r="B635" s="7" t="s">
        <v>906</v>
      </c>
      <c r="C635" s="84" t="s">
        <v>470</v>
      </c>
      <c r="D635" s="163" t="s">
        <v>471</v>
      </c>
      <c r="E635" s="163" t="s">
        <v>472</v>
      </c>
      <c r="F635" s="137" t="s">
        <v>37</v>
      </c>
      <c r="G635" s="137">
        <v>998531</v>
      </c>
      <c r="H635" s="221">
        <v>0.18</v>
      </c>
      <c r="I635" s="214">
        <v>33600</v>
      </c>
      <c r="J635" s="214">
        <f t="shared" si="44"/>
        <v>3024</v>
      </c>
      <c r="K635" s="214">
        <f t="shared" si="45"/>
        <v>3024</v>
      </c>
      <c r="L635" s="222"/>
      <c r="M635" s="222">
        <f>Table432[[#This Row],[Taxable Amount]]+Table432[[#This Row],[SGST]]+Table432[[#This Row],[CGST]]</f>
        <v>39648</v>
      </c>
      <c r="N635" s="216">
        <f>Table432[[#This Row],[Taxable Amount]]*1%</f>
        <v>336</v>
      </c>
      <c r="O635" s="223"/>
      <c r="P635" s="224"/>
      <c r="Q635" s="205">
        <v>46112</v>
      </c>
      <c r="R635" s="225" t="s">
        <v>959</v>
      </c>
      <c r="S635" s="138">
        <f>Table432[[#This Row],[Invoice Amount]]-Table432[[#This Row],[TDS]]-Table432[[#This Row],[RTN]]-Table432[[#This Row],[RECIVED AMOUNT]]</f>
        <v>39312</v>
      </c>
      <c r="T635" s="163"/>
      <c r="U635" s="163"/>
      <c r="V635" s="70">
        <f>Table432[[#This Row],[BALANCE]]-Table432[[#This Row],[RECIVED AMOUNT2]]</f>
        <v>39312</v>
      </c>
    </row>
    <row r="636" spans="1:22" s="10" customFormat="1" ht="19.95" customHeight="1">
      <c r="A636" s="226">
        <v>45967</v>
      </c>
      <c r="B636" s="7" t="s">
        <v>907</v>
      </c>
      <c r="C636" s="163" t="s">
        <v>475</v>
      </c>
      <c r="D636" s="7" t="s">
        <v>476</v>
      </c>
      <c r="E636" s="7" t="s">
        <v>477</v>
      </c>
      <c r="F636" s="137" t="s">
        <v>26</v>
      </c>
      <c r="G636" s="137">
        <v>998531</v>
      </c>
      <c r="H636" s="221">
        <v>0.18</v>
      </c>
      <c r="I636" s="69">
        <v>16000</v>
      </c>
      <c r="J636" s="214">
        <f t="shared" ref="J636:J662" si="46">I636*9/100</f>
        <v>1440</v>
      </c>
      <c r="K636" s="214">
        <f t="shared" ref="K636:K644" si="47">I636*9/100</f>
        <v>1440</v>
      </c>
      <c r="L636" s="222"/>
      <c r="M636" s="222">
        <f>Table432[[#This Row],[Taxable Amount]]+Table432[[#This Row],[SGST]]+Table432[[#This Row],[CGST]]</f>
        <v>18880</v>
      </c>
      <c r="N636" s="216"/>
      <c r="O636" s="223"/>
      <c r="P636" s="227">
        <v>18880</v>
      </c>
      <c r="Q636" s="228">
        <v>45978</v>
      </c>
      <c r="R636" s="225" t="s">
        <v>959</v>
      </c>
      <c r="S636" s="138">
        <f>Table432[[#This Row],[Invoice Amount]]-Table432[[#This Row],[TDS]]-Table432[[#This Row],[RTN]]-Table432[[#This Row],[RECIVED AMOUNT]]</f>
        <v>0</v>
      </c>
      <c r="T636" s="163"/>
      <c r="U636" s="163"/>
      <c r="V636" s="70">
        <f>Table432[[#This Row],[BALANCE]]-Table432[[#This Row],[RECIVED AMOUNT2]]</f>
        <v>0</v>
      </c>
    </row>
    <row r="637" spans="1:22" s="10" customFormat="1" ht="19.95" customHeight="1">
      <c r="A637" s="226">
        <v>45976</v>
      </c>
      <c r="B637" s="7" t="s">
        <v>908</v>
      </c>
      <c r="C637" s="7" t="s">
        <v>518</v>
      </c>
      <c r="D637" s="7" t="s">
        <v>519</v>
      </c>
      <c r="E637" s="7" t="s">
        <v>520</v>
      </c>
      <c r="F637" s="137" t="s">
        <v>37</v>
      </c>
      <c r="G637" s="137">
        <v>998531</v>
      </c>
      <c r="H637" s="221">
        <v>0.18</v>
      </c>
      <c r="I637" s="214">
        <v>26199</v>
      </c>
      <c r="J637" s="214">
        <f t="shared" si="46"/>
        <v>2357.91</v>
      </c>
      <c r="K637" s="214">
        <f t="shared" si="47"/>
        <v>2357.91</v>
      </c>
      <c r="L637" s="222"/>
      <c r="M637" s="222">
        <f>Table432[[#This Row],[Taxable Amount]]+Table432[[#This Row],[SGST]]+Table432[[#This Row],[CGST]]</f>
        <v>30914.82</v>
      </c>
      <c r="N637" s="216">
        <f>Table432[[#This Row],[Taxable Amount]]*1%</f>
        <v>261.99</v>
      </c>
      <c r="O637" s="223"/>
      <c r="P637" s="224"/>
      <c r="Q637" s="228">
        <v>46055</v>
      </c>
      <c r="R637" s="225" t="s">
        <v>959</v>
      </c>
      <c r="S637" s="138">
        <f>Table432[[#This Row],[Invoice Amount]]-Table432[[#This Row],[TDS]]-Table432[[#This Row],[RTN]]-Table432[[#This Row],[RECIVED AMOUNT]]</f>
        <v>30652.829999999998</v>
      </c>
      <c r="T637" s="163"/>
      <c r="U637" s="163"/>
      <c r="V637" s="70">
        <f>Table432[[#This Row],[BALANCE]]-Table432[[#This Row],[RECIVED AMOUNT2]]</f>
        <v>30652.829999999998</v>
      </c>
    </row>
    <row r="638" spans="1:22" s="10" customFormat="1" ht="19.95" customHeight="1">
      <c r="A638" s="226">
        <v>45985</v>
      </c>
      <c r="B638" s="7" t="s">
        <v>909</v>
      </c>
      <c r="C638" s="84" t="s">
        <v>116</v>
      </c>
      <c r="D638" s="163" t="s">
        <v>117</v>
      </c>
      <c r="E638" s="163" t="s">
        <v>59</v>
      </c>
      <c r="F638" s="137" t="s">
        <v>37</v>
      </c>
      <c r="G638" s="137">
        <v>998531</v>
      </c>
      <c r="H638" s="221">
        <v>0.18</v>
      </c>
      <c r="I638" s="214">
        <v>12961.97</v>
      </c>
      <c r="J638" s="214">
        <f t="shared" si="46"/>
        <v>1166.5772999999999</v>
      </c>
      <c r="K638" s="214">
        <f t="shared" si="47"/>
        <v>1166.5772999999999</v>
      </c>
      <c r="L638" s="222"/>
      <c r="M638" s="222">
        <f>Table432[[#This Row],[Taxable Amount]]+Table432[[#This Row],[SGST]]+Table432[[#This Row],[CGST]]</f>
        <v>15295.124599999999</v>
      </c>
      <c r="N638" s="216">
        <f>Table432[[#This Row],[Taxable Amount]]*1%</f>
        <v>129.61969999999999</v>
      </c>
      <c r="O638" s="158">
        <v>0</v>
      </c>
      <c r="P638" s="224"/>
      <c r="Q638" s="228">
        <v>46039</v>
      </c>
      <c r="R638" s="225" t="s">
        <v>959</v>
      </c>
      <c r="S638" s="138">
        <f>Table432[[#This Row],[Invoice Amount]]-Table432[[#This Row],[TDS]]-Table432[[#This Row],[RTN]]-Table432[[#This Row],[RECIVED AMOUNT]]</f>
        <v>15165.5049</v>
      </c>
      <c r="T638" s="163"/>
      <c r="U638" s="163"/>
      <c r="V638" s="70">
        <f>Table432[[#This Row],[BALANCE]]-Table432[[#This Row],[RECIVED AMOUNT2]]</f>
        <v>15165.5049</v>
      </c>
    </row>
    <row r="639" spans="1:22" s="10" customFormat="1" ht="19.95" customHeight="1">
      <c r="A639" s="226">
        <v>45985</v>
      </c>
      <c r="B639" s="7" t="s">
        <v>910</v>
      </c>
      <c r="C639" s="163" t="s">
        <v>607</v>
      </c>
      <c r="D639" s="163" t="s">
        <v>675</v>
      </c>
      <c r="E639" s="163" t="s">
        <v>59</v>
      </c>
      <c r="F639" s="137" t="s">
        <v>26</v>
      </c>
      <c r="G639" s="137">
        <v>998531</v>
      </c>
      <c r="H639" s="221">
        <v>0.18</v>
      </c>
      <c r="I639" s="214">
        <v>30330</v>
      </c>
      <c r="J639" s="214">
        <f t="shared" si="46"/>
        <v>2729.7</v>
      </c>
      <c r="K639" s="214">
        <f t="shared" si="47"/>
        <v>2729.7</v>
      </c>
      <c r="L639" s="222"/>
      <c r="M639" s="222">
        <f>Table432[[#This Row],[Taxable Amount]]+Table432[[#This Row],[SGST]]+Table432[[#This Row],[CGST]]</f>
        <v>35789.399999999994</v>
      </c>
      <c r="N639" s="216">
        <f>Table432[[#This Row],[Taxable Amount]]*1%</f>
        <v>303.3</v>
      </c>
      <c r="O639" s="223"/>
      <c r="P639" s="224">
        <v>35183</v>
      </c>
      <c r="Q639" s="228">
        <v>45986</v>
      </c>
      <c r="R639" s="225" t="s">
        <v>959</v>
      </c>
      <c r="S639" s="138">
        <f>Table432[[#This Row],[Invoice Amount]]-Table432[[#This Row],[TDS]]-Table432[[#This Row],[RTN]]-Table432[[#This Row],[RECIVED AMOUNT]]</f>
        <v>303.09999999999127</v>
      </c>
      <c r="T639" s="163"/>
      <c r="U639" s="163"/>
      <c r="V639" s="70">
        <f>Table432[[#This Row],[BALANCE]]-Table432[[#This Row],[RECIVED AMOUNT2]]</f>
        <v>303.09999999999127</v>
      </c>
    </row>
    <row r="640" spans="1:22" s="10" customFormat="1" ht="19.95" customHeight="1">
      <c r="A640" s="226">
        <v>45986</v>
      </c>
      <c r="B640" s="7" t="s">
        <v>911</v>
      </c>
      <c r="C640" s="163" t="s">
        <v>637</v>
      </c>
      <c r="D640" s="163" t="s">
        <v>638</v>
      </c>
      <c r="E640" s="163" t="s">
        <v>629</v>
      </c>
      <c r="F640" s="137" t="s">
        <v>26</v>
      </c>
      <c r="G640" s="137">
        <v>998531</v>
      </c>
      <c r="H640" s="221">
        <v>0.18</v>
      </c>
      <c r="I640" s="214">
        <v>12400</v>
      </c>
      <c r="J640" s="214">
        <f t="shared" si="46"/>
        <v>1116</v>
      </c>
      <c r="K640" s="214">
        <f t="shared" si="47"/>
        <v>1116</v>
      </c>
      <c r="L640" s="222"/>
      <c r="M640" s="222">
        <f>Table432[[#This Row],[Taxable Amount]]+Table432[[#This Row],[SGST]]+Table432[[#This Row],[CGST]]</f>
        <v>14632</v>
      </c>
      <c r="N640" s="216">
        <f>Table432[[#This Row],[Taxable Amount]]*1%</f>
        <v>124</v>
      </c>
      <c r="O640" s="223">
        <v>310</v>
      </c>
      <c r="P640" s="281">
        <v>14966</v>
      </c>
      <c r="Q640" s="97">
        <v>46025</v>
      </c>
      <c r="R640" s="225" t="s">
        <v>959</v>
      </c>
      <c r="S640" s="138">
        <f>Table432[[#This Row],[Invoice Amount]]-Table432[[#This Row],[TDS]]-Table432[[#This Row],[RTN]]-Table432[[#This Row],[RECIVED AMOUNT]]</f>
        <v>-768</v>
      </c>
      <c r="T640" s="163"/>
      <c r="U640" s="163"/>
      <c r="V640" s="70">
        <f>Table432[[#This Row],[BALANCE]]-Table432[[#This Row],[RECIVED AMOUNT2]]</f>
        <v>-768</v>
      </c>
    </row>
    <row r="641" spans="1:121" s="247" customFormat="1" ht="19.95" customHeight="1">
      <c r="A641" s="293">
        <v>45986</v>
      </c>
      <c r="B641" s="234" t="s">
        <v>912</v>
      </c>
      <c r="C641" s="235" t="s">
        <v>42</v>
      </c>
      <c r="D641" s="235" t="s">
        <v>730</v>
      </c>
      <c r="E641" s="235" t="s">
        <v>953</v>
      </c>
      <c r="F641" s="236" t="s">
        <v>26</v>
      </c>
      <c r="G641" s="236">
        <v>998531</v>
      </c>
      <c r="H641" s="237">
        <v>0.18</v>
      </c>
      <c r="I641" s="238">
        <v>12100</v>
      </c>
      <c r="J641" s="238">
        <f t="shared" si="46"/>
        <v>1089</v>
      </c>
      <c r="K641" s="238">
        <f t="shared" si="47"/>
        <v>1089</v>
      </c>
      <c r="L641" s="294"/>
      <c r="M641" s="294">
        <f>Table432[[#This Row],[Taxable Amount]]+Table432[[#This Row],[SGST]]+Table432[[#This Row],[CGST]]</f>
        <v>14278</v>
      </c>
      <c r="N641" s="240">
        <f>Table432[[#This Row],[Taxable Amount]]*1%</f>
        <v>121</v>
      </c>
      <c r="O641" s="300">
        <v>302</v>
      </c>
      <c r="P641" s="242"/>
      <c r="Q641" s="243">
        <v>46043</v>
      </c>
      <c r="R641" s="244" t="s">
        <v>959</v>
      </c>
      <c r="S641" s="245">
        <f>Table432[[#This Row],[Invoice Amount]]-Table432[[#This Row],[TDS]]-Table432[[#This Row],[RTN]]-Table432[[#This Row],[RECIVED AMOUNT]]</f>
        <v>13855</v>
      </c>
      <c r="T641" s="235"/>
      <c r="U641" s="235"/>
      <c r="V641" s="246">
        <f>Table432[[#This Row],[BALANCE]]-Table432[[#This Row],[RECIVED AMOUNT2]]</f>
        <v>13855</v>
      </c>
    </row>
    <row r="642" spans="1:121" s="247" customFormat="1" ht="19.95" customHeight="1">
      <c r="A642" s="293">
        <v>45986</v>
      </c>
      <c r="B642" s="234" t="s">
        <v>913</v>
      </c>
      <c r="C642" s="235" t="s">
        <v>42</v>
      </c>
      <c r="D642" s="235" t="s">
        <v>730</v>
      </c>
      <c r="E642" s="235" t="s">
        <v>101</v>
      </c>
      <c r="F642" s="236" t="s">
        <v>26</v>
      </c>
      <c r="G642" s="236">
        <v>998531</v>
      </c>
      <c r="H642" s="237">
        <v>0.18</v>
      </c>
      <c r="I642" s="238">
        <v>5050</v>
      </c>
      <c r="J642" s="238">
        <f t="shared" si="46"/>
        <v>454.5</v>
      </c>
      <c r="K642" s="238">
        <f t="shared" si="47"/>
        <v>454.5</v>
      </c>
      <c r="L642" s="294"/>
      <c r="M642" s="294">
        <f>Table432[[#This Row],[Taxable Amount]]+Table432[[#This Row],[SGST]]+Table432[[#This Row],[CGST]]</f>
        <v>5959</v>
      </c>
      <c r="N642" s="240">
        <f>Table432[[#This Row],[Taxable Amount]]*1%</f>
        <v>50.5</v>
      </c>
      <c r="O642" s="300">
        <v>126</v>
      </c>
      <c r="P642" s="242">
        <v>41287</v>
      </c>
      <c r="Q642" s="243">
        <v>46043</v>
      </c>
      <c r="R642" s="244" t="s">
        <v>959</v>
      </c>
      <c r="S642" s="245">
        <f>Table432[[#This Row],[Invoice Amount]]-Table432[[#This Row],[TDS]]-Table432[[#This Row],[RTN]]-Table432[[#This Row],[RECIVED AMOUNT]]</f>
        <v>-35504.5</v>
      </c>
      <c r="T642" s="235"/>
      <c r="U642" s="235"/>
      <c r="V642" s="246">
        <f>Table432[[#This Row],[BALANCE]]-Table432[[#This Row],[RECIVED AMOUNT2]]</f>
        <v>-35504.5</v>
      </c>
    </row>
    <row r="643" spans="1:121" s="247" customFormat="1" ht="19.95" customHeight="1">
      <c r="A643" s="286">
        <v>45986</v>
      </c>
      <c r="B643" s="271" t="s">
        <v>914</v>
      </c>
      <c r="C643" s="235" t="s">
        <v>42</v>
      </c>
      <c r="D643" s="235" t="s">
        <v>730</v>
      </c>
      <c r="E643" s="287" t="s">
        <v>44</v>
      </c>
      <c r="F643" s="288" t="s">
        <v>26</v>
      </c>
      <c r="G643" s="236">
        <v>998531</v>
      </c>
      <c r="H643" s="237">
        <v>0.18</v>
      </c>
      <c r="I643" s="239">
        <v>42048</v>
      </c>
      <c r="J643" s="239">
        <f t="shared" si="46"/>
        <v>3784.32</v>
      </c>
      <c r="K643" s="239">
        <f t="shared" si="47"/>
        <v>3784.32</v>
      </c>
      <c r="L643" s="289"/>
      <c r="M643" s="289">
        <f>Table432[[#This Row],[Taxable Amount]]+Table432[[#This Row],[SGST]]+Table432[[#This Row],[CGST]]</f>
        <v>49616.639999999999</v>
      </c>
      <c r="N643" s="290">
        <f>Table432[[#This Row],[Taxable Amount]]*1%</f>
        <v>420.48</v>
      </c>
      <c r="O643" s="291">
        <v>1051</v>
      </c>
      <c r="P643" s="242">
        <v>40576</v>
      </c>
      <c r="Q643" s="243">
        <v>46006</v>
      </c>
      <c r="R643" s="244" t="s">
        <v>959</v>
      </c>
      <c r="S643" s="245">
        <f>Table432[[#This Row],[Invoice Amount]]-Table432[[#This Row],[TDS]]-Table432[[#This Row],[RTN]]-Table432[[#This Row],[RECIVED AMOUNT]]</f>
        <v>7569.1599999999962</v>
      </c>
      <c r="T643" s="287"/>
      <c r="U643" s="296">
        <v>46073</v>
      </c>
      <c r="V643" s="246">
        <f>Table432[[#This Row],[BALANCE]]-Table432[[#This Row],[RECIVED AMOUNT2]]</f>
        <v>7569.1599999999962</v>
      </c>
    </row>
    <row r="644" spans="1:121" s="248" customFormat="1" ht="19.95" customHeight="1">
      <c r="A644" s="233">
        <v>45986</v>
      </c>
      <c r="B644" s="234" t="s">
        <v>915</v>
      </c>
      <c r="C644" s="235" t="s">
        <v>42</v>
      </c>
      <c r="D644" s="235" t="s">
        <v>730</v>
      </c>
      <c r="E644" s="235" t="s">
        <v>163</v>
      </c>
      <c r="F644" s="236" t="s">
        <v>26</v>
      </c>
      <c r="G644" s="236">
        <v>998531</v>
      </c>
      <c r="H644" s="237">
        <v>0.18</v>
      </c>
      <c r="I644" s="238">
        <v>21950</v>
      </c>
      <c r="J644" s="239">
        <f t="shared" si="46"/>
        <v>1975.5</v>
      </c>
      <c r="K644" s="238">
        <f t="shared" si="47"/>
        <v>1975.5</v>
      </c>
      <c r="L644" s="238"/>
      <c r="M644" s="238">
        <f>Table432[[#This Row],[Taxable Amount]]+Table432[[#This Row],[SGST]]+Table432[[#This Row],[CGST]]</f>
        <v>25901</v>
      </c>
      <c r="N644" s="240">
        <f>Table432[[#This Row],[Taxable Amount]]*1%</f>
        <v>219.5</v>
      </c>
      <c r="O644" s="241">
        <v>549</v>
      </c>
      <c r="P644" s="242">
        <v>25132</v>
      </c>
      <c r="Q644" s="243">
        <v>46024</v>
      </c>
      <c r="R644" s="244" t="s">
        <v>959</v>
      </c>
      <c r="S644" s="245">
        <f>Table432[[#This Row],[Invoice Amount]]-Table432[[#This Row],[TDS]]-Table432[[#This Row],[RTN]]-Table432[[#This Row],[RECIVED AMOUNT]]</f>
        <v>0.5</v>
      </c>
      <c r="T644" s="235"/>
      <c r="U644" s="235"/>
      <c r="V644" s="246">
        <f>Table432[[#This Row],[BALANCE]]-Table432[[#This Row],[RECIVED AMOUNT2]]</f>
        <v>0.5</v>
      </c>
      <c r="W644" s="247"/>
      <c r="X644" s="247"/>
      <c r="Y644" s="247"/>
      <c r="Z644" s="247"/>
      <c r="AA644" s="247"/>
      <c r="AB644" s="247"/>
      <c r="AC644" s="247"/>
      <c r="AD644" s="247"/>
      <c r="AE644" s="247"/>
      <c r="AF644" s="247"/>
      <c r="AG644" s="247"/>
      <c r="AH644" s="247"/>
      <c r="AI644" s="247"/>
      <c r="AJ644" s="247"/>
      <c r="AK644" s="247"/>
      <c r="AL644" s="247"/>
      <c r="AM644" s="247"/>
      <c r="AN644" s="247"/>
      <c r="AO644" s="247"/>
      <c r="AP644" s="247"/>
      <c r="AQ644" s="247"/>
      <c r="AR644" s="247"/>
      <c r="AS644" s="247"/>
      <c r="AT644" s="247"/>
      <c r="AU644" s="247"/>
      <c r="AV644" s="247"/>
      <c r="AW644" s="247"/>
      <c r="AX644" s="247"/>
      <c r="AY644" s="247"/>
      <c r="AZ644" s="247"/>
      <c r="BA644" s="247"/>
      <c r="BB644" s="247"/>
      <c r="BC644" s="247"/>
      <c r="BD644" s="247"/>
      <c r="BE644" s="247"/>
      <c r="BF644" s="247"/>
      <c r="BG644" s="247"/>
      <c r="BH644" s="247"/>
      <c r="BI644" s="247"/>
      <c r="BJ644" s="247"/>
      <c r="BK644" s="247"/>
      <c r="BL644" s="247"/>
      <c r="BM644" s="247"/>
      <c r="BN644" s="247"/>
      <c r="BO644" s="247"/>
      <c r="BP644" s="247"/>
      <c r="BQ644" s="247"/>
      <c r="BR644" s="247"/>
      <c r="BS644" s="247"/>
      <c r="BT644" s="247"/>
      <c r="BU644" s="247"/>
      <c r="BV644" s="247"/>
      <c r="BW644" s="247"/>
      <c r="BX644" s="247"/>
      <c r="BY644" s="247"/>
      <c r="BZ644" s="247"/>
      <c r="CA644" s="247"/>
      <c r="CB644" s="247"/>
      <c r="CC644" s="247"/>
      <c r="CD644" s="247"/>
      <c r="CE644" s="247"/>
      <c r="CF644" s="247"/>
      <c r="CG644" s="247"/>
      <c r="CH644" s="247"/>
      <c r="CI644" s="247"/>
      <c r="CJ644" s="247"/>
      <c r="CK644" s="247"/>
      <c r="CL644" s="247"/>
      <c r="CM644" s="247"/>
      <c r="CN644" s="247"/>
      <c r="CO644" s="247"/>
      <c r="CP644" s="247"/>
      <c r="CQ644" s="247"/>
      <c r="CR644" s="247"/>
      <c r="CS644" s="247"/>
      <c r="CT644" s="247"/>
      <c r="CU644" s="247"/>
      <c r="CV644" s="247"/>
      <c r="CW644" s="247"/>
      <c r="CX644" s="247"/>
      <c r="CY644" s="247"/>
      <c r="CZ644" s="247"/>
      <c r="DA644" s="247"/>
      <c r="DB644" s="247"/>
      <c r="DC644" s="247"/>
      <c r="DD644" s="247"/>
      <c r="DE644" s="247"/>
      <c r="DF644" s="247"/>
      <c r="DG644" s="247"/>
      <c r="DH644" s="247"/>
      <c r="DI644" s="247"/>
      <c r="DJ644" s="247"/>
      <c r="DK644" s="247"/>
      <c r="DL644" s="247"/>
      <c r="DM644" s="247"/>
      <c r="DN644" s="247"/>
      <c r="DO644" s="247"/>
      <c r="DP644" s="247"/>
      <c r="DQ644" s="247"/>
    </row>
    <row r="645" spans="1:121" s="477" customFormat="1" ht="19.95" customHeight="1">
      <c r="A645" s="466">
        <v>45986</v>
      </c>
      <c r="B645" s="482" t="s">
        <v>916</v>
      </c>
      <c r="C645" s="468" t="s">
        <v>319</v>
      </c>
      <c r="D645" s="468" t="s">
        <v>320</v>
      </c>
      <c r="E645" s="468" t="s">
        <v>59</v>
      </c>
      <c r="F645" s="469" t="s">
        <v>26</v>
      </c>
      <c r="G645" s="469">
        <v>998531</v>
      </c>
      <c r="H645" s="470">
        <v>0.18</v>
      </c>
      <c r="I645" s="471">
        <v>28950</v>
      </c>
      <c r="J645" s="483">
        <f t="shared" si="46"/>
        <v>2605.5</v>
      </c>
      <c r="K645" s="471">
        <f t="shared" ref="K645:K662" si="48">I645*9/100</f>
        <v>2605.5</v>
      </c>
      <c r="L645" s="472"/>
      <c r="M645" s="472">
        <f>Table432[[#This Row],[Taxable Amount]]+Table432[[#This Row],[SGST]]+Table432[[#This Row],[CGST]]</f>
        <v>34161</v>
      </c>
      <c r="N645" s="473">
        <v>290</v>
      </c>
      <c r="O645" s="484"/>
      <c r="P645" s="475">
        <v>33871</v>
      </c>
      <c r="Q645" s="478">
        <v>45999</v>
      </c>
      <c r="R645" s="474" t="s">
        <v>959</v>
      </c>
      <c r="S645" s="479">
        <f>Table432[[#This Row],[Invoice Amount]]-Table432[[#This Row],[TDS]]-Table432[[#This Row],[RTN]]-Table432[[#This Row],[RECIVED AMOUNT]]</f>
        <v>0</v>
      </c>
      <c r="T645" s="468"/>
      <c r="U645" s="468"/>
      <c r="V645" s="480">
        <f>Table432[[#This Row],[BALANCE]]-Table432[[#This Row],[RECIVED AMOUNT2]]</f>
        <v>0</v>
      </c>
      <c r="W645" s="481"/>
      <c r="X645" s="481"/>
      <c r="Y645" s="481"/>
      <c r="Z645" s="481"/>
      <c r="AA645" s="481"/>
      <c r="AB645" s="481"/>
      <c r="AC645" s="481"/>
      <c r="AD645" s="481"/>
      <c r="AE645" s="481"/>
      <c r="AF645" s="481"/>
      <c r="AG645" s="481"/>
      <c r="AH645" s="481"/>
      <c r="AI645" s="481"/>
      <c r="AJ645" s="481"/>
      <c r="AK645" s="481"/>
      <c r="AL645" s="481"/>
      <c r="AM645" s="481"/>
      <c r="AN645" s="481"/>
      <c r="AO645" s="481"/>
      <c r="AP645" s="481"/>
      <c r="AQ645" s="481"/>
      <c r="AR645" s="481"/>
      <c r="AS645" s="481"/>
      <c r="AT645" s="481"/>
      <c r="AU645" s="481"/>
      <c r="AV645" s="481"/>
      <c r="AW645" s="481"/>
      <c r="AX645" s="481"/>
      <c r="AY645" s="481"/>
      <c r="AZ645" s="481"/>
      <c r="BA645" s="481"/>
      <c r="BB645" s="481"/>
      <c r="BC645" s="481"/>
      <c r="BD645" s="481"/>
      <c r="BE645" s="481"/>
      <c r="BF645" s="481"/>
      <c r="BG645" s="481"/>
      <c r="BH645" s="481"/>
      <c r="BI645" s="481"/>
      <c r="BJ645" s="481"/>
      <c r="BK645" s="481"/>
      <c r="BL645" s="481"/>
      <c r="BM645" s="481"/>
      <c r="BN645" s="481"/>
      <c r="BO645" s="481"/>
      <c r="BP645" s="481"/>
      <c r="BQ645" s="481"/>
      <c r="BR645" s="481"/>
      <c r="BS645" s="481"/>
      <c r="BT645" s="481"/>
      <c r="BU645" s="481"/>
      <c r="BV645" s="481"/>
      <c r="BW645" s="481"/>
      <c r="BX645" s="481"/>
      <c r="BY645" s="481"/>
      <c r="BZ645" s="481"/>
      <c r="CA645" s="481"/>
      <c r="CB645" s="481"/>
      <c r="CC645" s="481"/>
      <c r="CD645" s="481"/>
      <c r="CE645" s="481"/>
      <c r="CF645" s="481"/>
      <c r="CG645" s="481"/>
      <c r="CH645" s="481"/>
      <c r="CI645" s="481"/>
      <c r="CJ645" s="481"/>
      <c r="CK645" s="481"/>
      <c r="CL645" s="481"/>
      <c r="CM645" s="481"/>
      <c r="CN645" s="481"/>
      <c r="CO645" s="481"/>
      <c r="CP645" s="481"/>
      <c r="CQ645" s="481"/>
      <c r="CR645" s="481"/>
      <c r="CS645" s="481"/>
      <c r="CT645" s="481"/>
      <c r="CU645" s="481"/>
      <c r="CV645" s="481"/>
      <c r="CW645" s="481"/>
      <c r="CX645" s="481"/>
      <c r="CY645" s="481"/>
      <c r="CZ645" s="481"/>
      <c r="DA645" s="481"/>
      <c r="DB645" s="481"/>
      <c r="DC645" s="481"/>
      <c r="DD645" s="481"/>
      <c r="DE645" s="481"/>
      <c r="DF645" s="481"/>
      <c r="DG645" s="481"/>
      <c r="DH645" s="481"/>
      <c r="DI645" s="481"/>
      <c r="DJ645" s="481"/>
      <c r="DK645" s="481"/>
      <c r="DL645" s="481"/>
      <c r="DM645" s="481"/>
      <c r="DN645" s="481"/>
      <c r="DO645" s="481"/>
      <c r="DP645" s="481"/>
      <c r="DQ645" s="481"/>
    </row>
    <row r="646" spans="1:121" s="11" customFormat="1" ht="19.95" customHeight="1">
      <c r="A646" s="226">
        <v>45991</v>
      </c>
      <c r="B646" s="7" t="s">
        <v>917</v>
      </c>
      <c r="C646" s="84" t="s">
        <v>954</v>
      </c>
      <c r="D646" s="163" t="s">
        <v>61</v>
      </c>
      <c r="E646" s="163" t="s">
        <v>62</v>
      </c>
      <c r="F646" s="137" t="s">
        <v>37</v>
      </c>
      <c r="G646" s="137">
        <v>998531</v>
      </c>
      <c r="H646" s="221">
        <v>0.18</v>
      </c>
      <c r="I646" s="214">
        <v>5459.84</v>
      </c>
      <c r="J646" s="229">
        <f t="shared" si="46"/>
        <v>491.38559999999995</v>
      </c>
      <c r="K646" s="214">
        <f t="shared" si="48"/>
        <v>491.38559999999995</v>
      </c>
      <c r="L646" s="222"/>
      <c r="M646" s="222">
        <f>Table432[[#This Row],[Taxable Amount]]+Table432[[#This Row],[SGST]]+Table432[[#This Row],[CGST]]</f>
        <v>6442.6111999999994</v>
      </c>
      <c r="N646" s="216">
        <f>Table432[[#This Row],[Taxable Amount]]*1%</f>
        <v>54.598400000000005</v>
      </c>
      <c r="O646" s="223"/>
      <c r="P646" s="224">
        <v>6441</v>
      </c>
      <c r="Q646" s="228">
        <v>46007</v>
      </c>
      <c r="R646" s="225" t="s">
        <v>959</v>
      </c>
      <c r="S646" s="138">
        <f>Table432[[#This Row],[Invoice Amount]]-Table432[[#This Row],[TDS]]-Table432[[#This Row],[RTN]]-Table432[[#This Row],[RECIVED AMOUNT]]</f>
        <v>-52.987200000000485</v>
      </c>
      <c r="T646" s="163"/>
      <c r="U646" s="163"/>
      <c r="V646" s="70">
        <f>Table432[[#This Row],[BALANCE]]-Table432[[#This Row],[RECIVED AMOUNT2]]</f>
        <v>-52.987200000000485</v>
      </c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</row>
    <row r="647" spans="1:121" s="477" customFormat="1" ht="19.95" customHeight="1">
      <c r="A647" s="466">
        <v>45991</v>
      </c>
      <c r="B647" s="482" t="s">
        <v>918</v>
      </c>
      <c r="C647" s="468" t="s">
        <v>319</v>
      </c>
      <c r="D647" s="468" t="s">
        <v>320</v>
      </c>
      <c r="E647" s="468" t="s">
        <v>85</v>
      </c>
      <c r="F647" s="469" t="s">
        <v>26</v>
      </c>
      <c r="G647" s="469">
        <v>998531</v>
      </c>
      <c r="H647" s="470">
        <v>0.18</v>
      </c>
      <c r="I647" s="471">
        <v>27000</v>
      </c>
      <c r="J647" s="483">
        <f t="shared" si="46"/>
        <v>2430</v>
      </c>
      <c r="K647" s="471">
        <f t="shared" si="48"/>
        <v>2430</v>
      </c>
      <c r="L647" s="472"/>
      <c r="M647" s="472">
        <f>Table432[[#This Row],[Taxable Amount]]+Table432[[#This Row],[SGST]]+Table432[[#This Row],[CGST]]</f>
        <v>31860</v>
      </c>
      <c r="N647" s="473">
        <f>Table432[[#This Row],[Taxable Amount]]*1%</f>
        <v>270</v>
      </c>
      <c r="O647" s="484"/>
      <c r="P647" s="475">
        <v>31590</v>
      </c>
      <c r="Q647" s="478">
        <v>46093</v>
      </c>
      <c r="R647" s="474" t="s">
        <v>959</v>
      </c>
      <c r="S647" s="479">
        <f>Table432[[#This Row],[Invoice Amount]]-Table432[[#This Row],[TDS]]-Table432[[#This Row],[RTN]]-Table432[[#This Row],[RECIVED AMOUNT]]</f>
        <v>0</v>
      </c>
      <c r="T647" s="468"/>
      <c r="U647" s="468"/>
      <c r="V647" s="480">
        <f>Table432[[#This Row],[BALANCE]]-Table432[[#This Row],[RECIVED AMOUNT2]]</f>
        <v>0</v>
      </c>
      <c r="W647" s="481"/>
      <c r="X647" s="481"/>
      <c r="Y647" s="481"/>
      <c r="Z647" s="481"/>
      <c r="AA647" s="481"/>
      <c r="AB647" s="481"/>
      <c r="AC647" s="481"/>
      <c r="AD647" s="481"/>
      <c r="AE647" s="481"/>
      <c r="AF647" s="481"/>
      <c r="AG647" s="481"/>
      <c r="AH647" s="481"/>
      <c r="AI647" s="481"/>
      <c r="AJ647" s="481"/>
      <c r="AK647" s="481"/>
      <c r="AL647" s="481"/>
      <c r="AM647" s="481"/>
      <c r="AN647" s="481"/>
      <c r="AO647" s="481"/>
      <c r="AP647" s="481"/>
      <c r="AQ647" s="481"/>
      <c r="AR647" s="481"/>
      <c r="AS647" s="481"/>
      <c r="AT647" s="481"/>
      <c r="AU647" s="481"/>
      <c r="AV647" s="481"/>
      <c r="AW647" s="481"/>
      <c r="AX647" s="481"/>
      <c r="AY647" s="481"/>
      <c r="AZ647" s="481"/>
      <c r="BA647" s="481"/>
      <c r="BB647" s="481"/>
      <c r="BC647" s="481"/>
      <c r="BD647" s="481"/>
      <c r="BE647" s="481"/>
      <c r="BF647" s="481"/>
      <c r="BG647" s="481"/>
      <c r="BH647" s="481"/>
      <c r="BI647" s="481"/>
      <c r="BJ647" s="481"/>
      <c r="BK647" s="481"/>
      <c r="BL647" s="481"/>
      <c r="BM647" s="481"/>
      <c r="BN647" s="481"/>
      <c r="BO647" s="481"/>
      <c r="BP647" s="481"/>
      <c r="BQ647" s="481"/>
      <c r="BR647" s="481"/>
      <c r="BS647" s="481"/>
      <c r="BT647" s="481"/>
      <c r="BU647" s="481"/>
      <c r="BV647" s="481"/>
      <c r="BW647" s="481"/>
      <c r="BX647" s="481"/>
      <c r="BY647" s="481"/>
      <c r="BZ647" s="481"/>
      <c r="CA647" s="481"/>
      <c r="CB647" s="481"/>
      <c r="CC647" s="481"/>
      <c r="CD647" s="481"/>
      <c r="CE647" s="481"/>
      <c r="CF647" s="481"/>
      <c r="CG647" s="481"/>
      <c r="CH647" s="481"/>
      <c r="CI647" s="481"/>
      <c r="CJ647" s="481"/>
      <c r="CK647" s="481"/>
      <c r="CL647" s="481"/>
      <c r="CM647" s="481"/>
      <c r="CN647" s="481"/>
      <c r="CO647" s="481"/>
      <c r="CP647" s="481"/>
      <c r="CQ647" s="481"/>
      <c r="CR647" s="481"/>
      <c r="CS647" s="481"/>
      <c r="CT647" s="481"/>
      <c r="CU647" s="481"/>
      <c r="CV647" s="481"/>
      <c r="CW647" s="481"/>
      <c r="CX647" s="481"/>
      <c r="CY647" s="481"/>
      <c r="CZ647" s="481"/>
      <c r="DA647" s="481"/>
      <c r="DB647" s="481"/>
      <c r="DC647" s="481"/>
      <c r="DD647" s="481"/>
      <c r="DE647" s="481"/>
      <c r="DF647" s="481"/>
      <c r="DG647" s="481"/>
      <c r="DH647" s="481"/>
      <c r="DI647" s="481"/>
      <c r="DJ647" s="481"/>
      <c r="DK647" s="481"/>
      <c r="DL647" s="481"/>
      <c r="DM647" s="481"/>
      <c r="DN647" s="481"/>
      <c r="DO647" s="481"/>
      <c r="DP647" s="481"/>
      <c r="DQ647" s="481"/>
    </row>
    <row r="648" spans="1:121" s="11" customFormat="1" ht="19.95" customHeight="1">
      <c r="A648" s="226">
        <v>45991</v>
      </c>
      <c r="B648" s="7" t="s">
        <v>919</v>
      </c>
      <c r="C648" s="163" t="s">
        <v>319</v>
      </c>
      <c r="D648" s="163" t="s">
        <v>320</v>
      </c>
      <c r="E648" s="163" t="s">
        <v>89</v>
      </c>
      <c r="F648" s="137" t="s">
        <v>26</v>
      </c>
      <c r="G648" s="137">
        <v>998531</v>
      </c>
      <c r="H648" s="221">
        <v>0.18</v>
      </c>
      <c r="I648" s="214">
        <v>21600</v>
      </c>
      <c r="J648" s="229">
        <f t="shared" si="46"/>
        <v>1944</v>
      </c>
      <c r="K648" s="214">
        <f t="shared" si="48"/>
        <v>1944</v>
      </c>
      <c r="L648" s="222"/>
      <c r="M648" s="222">
        <f>Table432[[#This Row],[Taxable Amount]]+Table432[[#This Row],[SGST]]+Table432[[#This Row],[CGST]]</f>
        <v>25488</v>
      </c>
      <c r="N648" s="216">
        <f>Table432[[#This Row],[Taxable Amount]]*1%</f>
        <v>216</v>
      </c>
      <c r="O648" s="223"/>
      <c r="P648" s="224"/>
      <c r="Q648" s="224"/>
      <c r="R648" s="225" t="s">
        <v>959</v>
      </c>
      <c r="S648" s="138">
        <f>Table432[[#This Row],[Invoice Amount]]-Table432[[#This Row],[TDS]]-Table432[[#This Row],[RTN]]-Table432[[#This Row],[RECIVED AMOUNT]]</f>
        <v>25272</v>
      </c>
      <c r="T648" s="163"/>
      <c r="U648" s="163"/>
      <c r="V648" s="70">
        <f>Table432[[#This Row],[BALANCE]]-Table432[[#This Row],[RECIVED AMOUNT2]]</f>
        <v>25272</v>
      </c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</row>
    <row r="649" spans="1:121" s="11" customFormat="1" ht="19.95" customHeight="1">
      <c r="A649" s="226">
        <v>45991</v>
      </c>
      <c r="B649" s="7" t="s">
        <v>920</v>
      </c>
      <c r="C649" s="84" t="s">
        <v>116</v>
      </c>
      <c r="D649" s="163" t="s">
        <v>117</v>
      </c>
      <c r="E649" s="163" t="s">
        <v>59</v>
      </c>
      <c r="F649" s="137" t="s">
        <v>26</v>
      </c>
      <c r="G649" s="137">
        <v>998531</v>
      </c>
      <c r="H649" s="221">
        <v>0.18</v>
      </c>
      <c r="I649" s="214">
        <v>17300</v>
      </c>
      <c r="J649" s="229">
        <f t="shared" si="46"/>
        <v>1557</v>
      </c>
      <c r="K649" s="214">
        <f t="shared" si="48"/>
        <v>1557</v>
      </c>
      <c r="L649" s="222"/>
      <c r="M649" s="222">
        <f>Table432[[#This Row],[Taxable Amount]]+Table432[[#This Row],[SGST]]+Table432[[#This Row],[CGST]]</f>
        <v>20414</v>
      </c>
      <c r="N649" s="216">
        <f>Table432[[#This Row],[Taxable Amount]]*1%</f>
        <v>173</v>
      </c>
      <c r="O649" s="158">
        <v>0</v>
      </c>
      <c r="P649" s="156">
        <v>35407</v>
      </c>
      <c r="Q649" s="228">
        <v>46039</v>
      </c>
      <c r="R649" s="225" t="s">
        <v>959</v>
      </c>
      <c r="S649" s="138">
        <f>Table432[[#This Row],[Invoice Amount]]-Table432[[#This Row],[TDS]]-Table432[[#This Row],[RTN]]-Table432[[#This Row],[RECIVED AMOUNT]]</f>
        <v>-15166</v>
      </c>
      <c r="T649" s="163"/>
      <c r="U649" s="163"/>
      <c r="V649" s="70">
        <f>Table432[[#This Row],[BALANCE]]-Table432[[#This Row],[RECIVED AMOUNT2]]</f>
        <v>-15166</v>
      </c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</row>
    <row r="650" spans="1:121" s="11" customFormat="1" ht="19.95" customHeight="1">
      <c r="A650" s="226">
        <v>45991</v>
      </c>
      <c r="B650" s="7" t="s">
        <v>921</v>
      </c>
      <c r="C650" s="163" t="s">
        <v>390</v>
      </c>
      <c r="D650" s="163" t="s">
        <v>391</v>
      </c>
      <c r="E650" s="163" t="s">
        <v>260</v>
      </c>
      <c r="F650" s="137" t="s">
        <v>26</v>
      </c>
      <c r="G650" s="137">
        <v>998531</v>
      </c>
      <c r="H650" s="221">
        <v>0.18</v>
      </c>
      <c r="I650" s="214">
        <v>1205.1600000000001</v>
      </c>
      <c r="J650" s="229">
        <f t="shared" si="46"/>
        <v>108.46440000000001</v>
      </c>
      <c r="K650" s="214">
        <f t="shared" si="48"/>
        <v>108.46440000000001</v>
      </c>
      <c r="L650" s="222"/>
      <c r="M650" s="222">
        <f>Table432[[#This Row],[Taxable Amount]]+Table432[[#This Row],[SGST]]+Table432[[#This Row],[CGST]]</f>
        <v>1422.0888000000002</v>
      </c>
      <c r="N650" s="216">
        <f>Table432[[#This Row],[Taxable Amount]]*1%</f>
        <v>12.051600000000001</v>
      </c>
      <c r="O650" s="223"/>
      <c r="P650" s="224"/>
      <c r="Q650" s="228">
        <v>46094</v>
      </c>
      <c r="R650" s="225" t="s">
        <v>959</v>
      </c>
      <c r="S650" s="138">
        <f>Table432[[#This Row],[Invoice Amount]]-Table432[[#This Row],[TDS]]-Table432[[#This Row],[RTN]]-Table432[[#This Row],[RECIVED AMOUNT]]</f>
        <v>1410.0372000000002</v>
      </c>
      <c r="T650" s="163"/>
      <c r="U650" s="163"/>
      <c r="V650" s="70">
        <f>Table432[[#This Row],[BALANCE]]-Table432[[#This Row],[RECIVED AMOUNT2]]</f>
        <v>1410.0372000000002</v>
      </c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</row>
    <row r="651" spans="1:121" s="11" customFormat="1" ht="19.95" customHeight="1">
      <c r="A651" s="226">
        <v>45991</v>
      </c>
      <c r="B651" s="7" t="s">
        <v>922</v>
      </c>
      <c r="C651" s="163" t="s">
        <v>390</v>
      </c>
      <c r="D651" s="163" t="s">
        <v>391</v>
      </c>
      <c r="E651" s="163" t="s">
        <v>260</v>
      </c>
      <c r="F651" s="137" t="s">
        <v>26</v>
      </c>
      <c r="G651" s="137">
        <v>998531</v>
      </c>
      <c r="H651" s="221">
        <v>0.18</v>
      </c>
      <c r="I651" s="214">
        <v>1448.35</v>
      </c>
      <c r="J651" s="229">
        <f t="shared" si="46"/>
        <v>130.35149999999999</v>
      </c>
      <c r="K651" s="214">
        <f t="shared" si="48"/>
        <v>130.35149999999999</v>
      </c>
      <c r="L651" s="222"/>
      <c r="M651" s="222">
        <f>Table432[[#This Row],[Taxable Amount]]+Table432[[#This Row],[SGST]]+Table432[[#This Row],[CGST]]</f>
        <v>1709.0529999999999</v>
      </c>
      <c r="N651" s="216">
        <f>Table432[[#This Row],[Taxable Amount]]*1%</f>
        <v>14.483499999999999</v>
      </c>
      <c r="O651" s="223"/>
      <c r="P651" s="224"/>
      <c r="Q651" s="228">
        <v>46094</v>
      </c>
      <c r="R651" s="225" t="s">
        <v>959</v>
      </c>
      <c r="S651" s="138">
        <f>Table432[[#This Row],[Invoice Amount]]-Table432[[#This Row],[TDS]]-Table432[[#This Row],[RTN]]-Table432[[#This Row],[RECIVED AMOUNT]]</f>
        <v>1694.5694999999998</v>
      </c>
      <c r="T651" s="163"/>
      <c r="U651" s="163"/>
      <c r="V651" s="70">
        <f>Table432[[#This Row],[BALANCE]]-Table432[[#This Row],[RECIVED AMOUNT2]]</f>
        <v>1694.5694999999998</v>
      </c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</row>
    <row r="652" spans="1:121" s="11" customFormat="1" ht="19.95" customHeight="1">
      <c r="A652" s="226">
        <v>45991</v>
      </c>
      <c r="B652" s="7" t="s">
        <v>923</v>
      </c>
      <c r="C652" s="163" t="s">
        <v>390</v>
      </c>
      <c r="D652" s="163" t="s">
        <v>391</v>
      </c>
      <c r="E652" s="163" t="s">
        <v>260</v>
      </c>
      <c r="F652" s="137" t="s">
        <v>26</v>
      </c>
      <c r="G652" s="137">
        <v>998531</v>
      </c>
      <c r="H652" s="221">
        <v>0.18</v>
      </c>
      <c r="I652" s="214">
        <v>2008.6</v>
      </c>
      <c r="J652" s="229">
        <f t="shared" si="46"/>
        <v>180.77399999999997</v>
      </c>
      <c r="K652" s="214">
        <f t="shared" si="48"/>
        <v>180.77399999999997</v>
      </c>
      <c r="L652" s="222"/>
      <c r="M652" s="222">
        <f>Table432[[#This Row],[Taxable Amount]]+Table432[[#This Row],[SGST]]+Table432[[#This Row],[CGST]]</f>
        <v>2370.1479999999997</v>
      </c>
      <c r="N652" s="216">
        <f>Table432[[#This Row],[Taxable Amount]]*1%</f>
        <v>20.085999999999999</v>
      </c>
      <c r="O652" s="223"/>
      <c r="P652" s="224"/>
      <c r="Q652" s="228">
        <v>46094</v>
      </c>
      <c r="R652" s="225" t="s">
        <v>959</v>
      </c>
      <c r="S652" s="138">
        <f>Table432[[#This Row],[Invoice Amount]]-Table432[[#This Row],[TDS]]-Table432[[#This Row],[RTN]]-Table432[[#This Row],[RECIVED AMOUNT]]</f>
        <v>2350.0619999999999</v>
      </c>
      <c r="T652" s="163"/>
      <c r="U652" s="163"/>
      <c r="V652" s="70">
        <f>Table432[[#This Row],[BALANCE]]-Table432[[#This Row],[RECIVED AMOUNT2]]</f>
        <v>2350.0619999999999</v>
      </c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</row>
    <row r="653" spans="1:121" s="11" customFormat="1" ht="19.95" customHeight="1">
      <c r="A653" s="226">
        <v>45991</v>
      </c>
      <c r="B653" s="7" t="s">
        <v>924</v>
      </c>
      <c r="C653" s="163" t="s">
        <v>390</v>
      </c>
      <c r="D653" s="163" t="s">
        <v>391</v>
      </c>
      <c r="E653" s="163" t="s">
        <v>260</v>
      </c>
      <c r="F653" s="137" t="s">
        <v>26</v>
      </c>
      <c r="G653" s="137">
        <v>998531</v>
      </c>
      <c r="H653" s="221">
        <v>0.18</v>
      </c>
      <c r="I653" s="214">
        <v>1035.8399999999999</v>
      </c>
      <c r="J653" s="229">
        <f t="shared" si="46"/>
        <v>93.2256</v>
      </c>
      <c r="K653" s="214">
        <f t="shared" si="48"/>
        <v>93.2256</v>
      </c>
      <c r="L653" s="222"/>
      <c r="M653" s="222">
        <f>Table432[[#This Row],[Taxable Amount]]+Table432[[#This Row],[SGST]]+Table432[[#This Row],[CGST]]</f>
        <v>1222.2911999999999</v>
      </c>
      <c r="N653" s="216">
        <f>Table432[[#This Row],[Taxable Amount]]*1%</f>
        <v>10.3584</v>
      </c>
      <c r="O653" s="223"/>
      <c r="P653" s="224"/>
      <c r="Q653" s="228">
        <v>46094</v>
      </c>
      <c r="R653" s="225" t="s">
        <v>959</v>
      </c>
      <c r="S653" s="138">
        <f>Table432[[#This Row],[Invoice Amount]]-Table432[[#This Row],[TDS]]-Table432[[#This Row],[RTN]]-Table432[[#This Row],[RECIVED AMOUNT]]</f>
        <v>1211.9327999999998</v>
      </c>
      <c r="T653" s="163"/>
      <c r="U653" s="163"/>
      <c r="V653" s="70">
        <f>Table432[[#This Row],[BALANCE]]-Table432[[#This Row],[RECIVED AMOUNT2]]</f>
        <v>1211.9327999999998</v>
      </c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</row>
    <row r="654" spans="1:121" s="11" customFormat="1" ht="19.95" customHeight="1">
      <c r="A654" s="226">
        <v>45991</v>
      </c>
      <c r="B654" s="7" t="s">
        <v>925</v>
      </c>
      <c r="C654" s="163" t="s">
        <v>390</v>
      </c>
      <c r="D654" s="163" t="s">
        <v>391</v>
      </c>
      <c r="E654" s="163" t="s">
        <v>260</v>
      </c>
      <c r="F654" s="137" t="s">
        <v>26</v>
      </c>
      <c r="G654" s="137">
        <v>998531</v>
      </c>
      <c r="H654" s="221">
        <v>0.18</v>
      </c>
      <c r="I654" s="214">
        <v>972.76</v>
      </c>
      <c r="J654" s="229">
        <f t="shared" si="46"/>
        <v>87.548400000000001</v>
      </c>
      <c r="K654" s="214">
        <f t="shared" si="48"/>
        <v>87.548400000000001</v>
      </c>
      <c r="L654" s="222"/>
      <c r="M654" s="222">
        <f>Table432[[#This Row],[Taxable Amount]]+Table432[[#This Row],[SGST]]+Table432[[#This Row],[CGST]]</f>
        <v>1147.8567999999998</v>
      </c>
      <c r="N654" s="216">
        <f>Table432[[#This Row],[Taxable Amount]]*1%</f>
        <v>9.7276000000000007</v>
      </c>
      <c r="O654" s="223"/>
      <c r="P654" s="224"/>
      <c r="Q654" s="228">
        <v>46094</v>
      </c>
      <c r="R654" s="225" t="s">
        <v>959</v>
      </c>
      <c r="S654" s="138">
        <f>Table432[[#This Row],[Invoice Amount]]-Table432[[#This Row],[TDS]]-Table432[[#This Row],[RTN]]-Table432[[#This Row],[RECIVED AMOUNT]]</f>
        <v>1138.1291999999999</v>
      </c>
      <c r="T654" s="163"/>
      <c r="U654" s="163"/>
      <c r="V654" s="70">
        <f>Table432[[#This Row],[BALANCE]]-Table432[[#This Row],[RECIVED AMOUNT2]]</f>
        <v>1138.1291999999999</v>
      </c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</row>
    <row r="655" spans="1:121" s="11" customFormat="1" ht="19.95" customHeight="1">
      <c r="A655" s="226">
        <v>45991</v>
      </c>
      <c r="B655" s="7" t="s">
        <v>926</v>
      </c>
      <c r="C655" s="163" t="s">
        <v>390</v>
      </c>
      <c r="D655" s="163" t="s">
        <v>391</v>
      </c>
      <c r="E655" s="163" t="s">
        <v>260</v>
      </c>
      <c r="F655" s="137" t="s">
        <v>26</v>
      </c>
      <c r="G655" s="137">
        <v>998531</v>
      </c>
      <c r="H655" s="221">
        <v>0.18</v>
      </c>
      <c r="I655" s="214">
        <v>930.43</v>
      </c>
      <c r="J655" s="229">
        <f t="shared" si="46"/>
        <v>83.738699999999994</v>
      </c>
      <c r="K655" s="214">
        <f t="shared" si="48"/>
        <v>83.738699999999994</v>
      </c>
      <c r="L655" s="222"/>
      <c r="M655" s="222">
        <f>Table432[[#This Row],[Taxable Amount]]+Table432[[#This Row],[SGST]]+Table432[[#This Row],[CGST]]</f>
        <v>1097.9074000000001</v>
      </c>
      <c r="N655" s="216">
        <f>Table432[[#This Row],[Taxable Amount]]*1%</f>
        <v>9.3042999999999996</v>
      </c>
      <c r="O655" s="223"/>
      <c r="P655" s="224"/>
      <c r="Q655" s="228">
        <v>46094</v>
      </c>
      <c r="R655" s="225" t="s">
        <v>959</v>
      </c>
      <c r="S655" s="138">
        <f>Table432[[#This Row],[Invoice Amount]]-Table432[[#This Row],[TDS]]-Table432[[#This Row],[RTN]]-Table432[[#This Row],[RECIVED AMOUNT]]</f>
        <v>1088.6031</v>
      </c>
      <c r="T655" s="163"/>
      <c r="U655" s="163"/>
      <c r="V655" s="70">
        <f>Table432[[#This Row],[BALANCE]]-Table432[[#This Row],[RECIVED AMOUNT2]]</f>
        <v>1088.6031</v>
      </c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</row>
    <row r="656" spans="1:121" s="11" customFormat="1" ht="19.95" customHeight="1">
      <c r="A656" s="226">
        <v>45991</v>
      </c>
      <c r="B656" s="7" t="s">
        <v>927</v>
      </c>
      <c r="C656" s="163" t="s">
        <v>390</v>
      </c>
      <c r="D656" s="163" t="s">
        <v>391</v>
      </c>
      <c r="E656" s="163" t="s">
        <v>260</v>
      </c>
      <c r="F656" s="137" t="s">
        <v>26</v>
      </c>
      <c r="G656" s="137">
        <v>998531</v>
      </c>
      <c r="H656" s="221">
        <v>0.18</v>
      </c>
      <c r="I656" s="214">
        <v>698.86</v>
      </c>
      <c r="J656" s="229">
        <f t="shared" si="46"/>
        <v>62.897399999999998</v>
      </c>
      <c r="K656" s="214">
        <f t="shared" si="48"/>
        <v>62.897399999999998</v>
      </c>
      <c r="L656" s="222"/>
      <c r="M656" s="222">
        <f>Table432[[#This Row],[Taxable Amount]]+Table432[[#This Row],[SGST]]+Table432[[#This Row],[CGST]]</f>
        <v>824.65479999999991</v>
      </c>
      <c r="N656" s="216">
        <f>Table432[[#This Row],[Taxable Amount]]*1%</f>
        <v>6.9885999999999999</v>
      </c>
      <c r="O656" s="223"/>
      <c r="P656" s="224">
        <v>9711</v>
      </c>
      <c r="Q656" s="228">
        <v>46094</v>
      </c>
      <c r="R656" s="225" t="s">
        <v>959</v>
      </c>
      <c r="S656" s="138">
        <f>Table432[[#This Row],[Invoice Amount]]-Table432[[#This Row],[TDS]]-Table432[[#This Row],[RTN]]-Table432[[#This Row],[RECIVED AMOUNT]]</f>
        <v>-8893.3338000000003</v>
      </c>
      <c r="T656" s="163"/>
      <c r="U656" s="163"/>
      <c r="V656" s="70">
        <f>Table432[[#This Row],[BALANCE]]-Table432[[#This Row],[RECIVED AMOUNT2]]</f>
        <v>-8893.3338000000003</v>
      </c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</row>
    <row r="657" spans="1:121" s="11" customFormat="1" ht="19.95" customHeight="1">
      <c r="A657" s="226">
        <v>45991</v>
      </c>
      <c r="B657" s="7" t="s">
        <v>928</v>
      </c>
      <c r="C657" s="163" t="s">
        <v>290</v>
      </c>
      <c r="D657" s="163" t="s">
        <v>291</v>
      </c>
      <c r="E657" s="163" t="s">
        <v>25</v>
      </c>
      <c r="F657" s="137" t="s">
        <v>26</v>
      </c>
      <c r="G657" s="137">
        <v>998531</v>
      </c>
      <c r="H657" s="221">
        <v>0.18</v>
      </c>
      <c r="I657" s="214">
        <v>3000</v>
      </c>
      <c r="J657" s="229">
        <f t="shared" si="46"/>
        <v>270</v>
      </c>
      <c r="K657" s="214">
        <f t="shared" si="48"/>
        <v>270</v>
      </c>
      <c r="L657" s="222"/>
      <c r="M657" s="222">
        <f>Table432[[#This Row],[Taxable Amount]]+Table432[[#This Row],[SGST]]+Table432[[#This Row],[CGST]]</f>
        <v>3540</v>
      </c>
      <c r="N657" s="110">
        <f>Table432[[#This Row],[Taxable Amount]]*0%</f>
        <v>0</v>
      </c>
      <c r="O657" s="223"/>
      <c r="P657" s="119">
        <f>Table432[[#This Row],[Taxable Amount]]+Table432[[#This Row],[SGST]]+Table432[[#This Row],[CGST]]</f>
        <v>3540</v>
      </c>
      <c r="Q657" s="59">
        <v>45993</v>
      </c>
      <c r="R657" s="225" t="s">
        <v>959</v>
      </c>
      <c r="S657" s="138">
        <f>Table432[[#This Row],[Invoice Amount]]-Table432[[#This Row],[TDS]]-Table432[[#This Row],[RTN]]-Table432[[#This Row],[RECIVED AMOUNT]]</f>
        <v>0</v>
      </c>
      <c r="T657" s="163"/>
      <c r="U657" s="163"/>
      <c r="V657" s="70">
        <f>Table432[[#This Row],[BALANCE]]-Table432[[#This Row],[RECIVED AMOUNT2]]</f>
        <v>0</v>
      </c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</row>
    <row r="658" spans="1:121" s="11" customFormat="1" ht="19.95" customHeight="1">
      <c r="A658" s="226">
        <v>45991</v>
      </c>
      <c r="B658" s="7" t="s">
        <v>929</v>
      </c>
      <c r="C658" s="163" t="s">
        <v>372</v>
      </c>
      <c r="D658" s="163" t="s">
        <v>794</v>
      </c>
      <c r="E658" s="163" t="s">
        <v>374</v>
      </c>
      <c r="F658" s="137" t="s">
        <v>26</v>
      </c>
      <c r="G658" s="137">
        <v>998531</v>
      </c>
      <c r="H658" s="221">
        <v>0.18</v>
      </c>
      <c r="I658" s="214">
        <v>1250</v>
      </c>
      <c r="J658" s="229">
        <f t="shared" si="46"/>
        <v>112.5</v>
      </c>
      <c r="K658" s="214">
        <f t="shared" si="48"/>
        <v>112.5</v>
      </c>
      <c r="L658" s="222"/>
      <c r="M658" s="222">
        <f>Table432[[#This Row],[Taxable Amount]]+Table432[[#This Row],[SGST]]+Table432[[#This Row],[CGST]]</f>
        <v>1475</v>
      </c>
      <c r="N658" s="216"/>
      <c r="O658" s="223"/>
      <c r="P658" s="224">
        <v>1475</v>
      </c>
      <c r="Q658" s="228">
        <v>46036</v>
      </c>
      <c r="R658" s="225" t="s">
        <v>959</v>
      </c>
      <c r="S658" s="138">
        <f>Table432[[#This Row],[Invoice Amount]]-Table432[[#This Row],[TDS]]-Table432[[#This Row],[RTN]]-Table432[[#This Row],[RECIVED AMOUNT]]</f>
        <v>0</v>
      </c>
      <c r="T658" s="163"/>
      <c r="U658" s="163"/>
      <c r="V658" s="70">
        <f>Table432[[#This Row],[BALANCE]]-Table432[[#This Row],[RECIVED AMOUNT2]]</f>
        <v>0</v>
      </c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</row>
    <row r="659" spans="1:121" s="11" customFormat="1" ht="19.95" customHeight="1">
      <c r="A659" s="226">
        <v>45991</v>
      </c>
      <c r="B659" s="7" t="s">
        <v>930</v>
      </c>
      <c r="C659" s="7" t="s">
        <v>955</v>
      </c>
      <c r="D659" s="163" t="s">
        <v>205</v>
      </c>
      <c r="E659" s="163" t="s">
        <v>67</v>
      </c>
      <c r="F659" s="137" t="s">
        <v>26</v>
      </c>
      <c r="G659" s="137">
        <v>998531</v>
      </c>
      <c r="H659" s="221">
        <v>0.18</v>
      </c>
      <c r="I659" s="214">
        <v>10000</v>
      </c>
      <c r="J659" s="229">
        <f t="shared" si="46"/>
        <v>900</v>
      </c>
      <c r="K659" s="214">
        <f t="shared" si="48"/>
        <v>900</v>
      </c>
      <c r="L659" s="222"/>
      <c r="M659" s="222">
        <f>Table432[[#This Row],[Taxable Amount]]+Table432[[#This Row],[SGST]]+Table432[[#This Row],[CGST]]</f>
        <v>11800</v>
      </c>
      <c r="N659" s="216">
        <f>Table432[[#This Row],[Taxable Amount]]*1%</f>
        <v>100</v>
      </c>
      <c r="O659" s="223"/>
      <c r="P659" s="224">
        <v>23400</v>
      </c>
      <c r="Q659" s="228">
        <v>46049</v>
      </c>
      <c r="R659" s="225" t="s">
        <v>959</v>
      </c>
      <c r="S659" s="138">
        <f>Table432[[#This Row],[Invoice Amount]]-Table432[[#This Row],[TDS]]-Table432[[#This Row],[RTN]]-Table432[[#This Row],[RECIVED AMOUNT]]</f>
        <v>-11700</v>
      </c>
      <c r="T659" s="163"/>
      <c r="U659" s="163"/>
      <c r="V659" s="70">
        <f>Table432[[#This Row],[BALANCE]]-Table432[[#This Row],[RECIVED AMOUNT2]]</f>
        <v>-11700</v>
      </c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</row>
    <row r="660" spans="1:121" s="11" customFormat="1" ht="19.95" customHeight="1">
      <c r="A660" s="226">
        <v>45991</v>
      </c>
      <c r="B660" s="7" t="s">
        <v>931</v>
      </c>
      <c r="C660" s="163" t="s">
        <v>720</v>
      </c>
      <c r="D660" s="163" t="s">
        <v>721</v>
      </c>
      <c r="E660" s="163" t="s">
        <v>722</v>
      </c>
      <c r="F660" s="137" t="s">
        <v>26</v>
      </c>
      <c r="G660" s="137">
        <v>998531</v>
      </c>
      <c r="H660" s="221">
        <v>0.18</v>
      </c>
      <c r="I660" s="214">
        <v>12400</v>
      </c>
      <c r="J660" s="229">
        <f t="shared" si="46"/>
        <v>1116</v>
      </c>
      <c r="K660" s="214">
        <f t="shared" si="48"/>
        <v>1116</v>
      </c>
      <c r="L660" s="222"/>
      <c r="M660" s="222">
        <f>Table432[[#This Row],[Taxable Amount]]+Table432[[#This Row],[SGST]]+Table432[[#This Row],[CGST]]</f>
        <v>14632</v>
      </c>
      <c r="N660" s="216"/>
      <c r="O660" s="223"/>
      <c r="P660" s="224">
        <v>14632</v>
      </c>
      <c r="Q660" s="228">
        <v>46003</v>
      </c>
      <c r="R660" s="225" t="s">
        <v>959</v>
      </c>
      <c r="S660" s="138">
        <f>Table432[[#This Row],[Invoice Amount]]-Table432[[#This Row],[TDS]]-Table432[[#This Row],[RTN]]-Table432[[#This Row],[RECIVED AMOUNT]]</f>
        <v>0</v>
      </c>
      <c r="T660" s="163"/>
      <c r="U660" s="163"/>
      <c r="V660" s="70">
        <f>Table432[[#This Row],[BALANCE]]-Table432[[#This Row],[RECIVED AMOUNT2]]</f>
        <v>0</v>
      </c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</row>
    <row r="661" spans="1:121" s="11" customFormat="1" ht="19.95" customHeight="1">
      <c r="A661" s="226">
        <v>45991</v>
      </c>
      <c r="B661" s="7" t="s">
        <v>932</v>
      </c>
      <c r="C661" s="163" t="s">
        <v>720</v>
      </c>
      <c r="D661" s="163" t="s">
        <v>721</v>
      </c>
      <c r="E661" s="163" t="s">
        <v>750</v>
      </c>
      <c r="F661" s="137" t="s">
        <v>26</v>
      </c>
      <c r="G661" s="137">
        <v>998531</v>
      </c>
      <c r="H661" s="221">
        <v>0.18</v>
      </c>
      <c r="I661" s="214">
        <v>20000</v>
      </c>
      <c r="J661" s="229">
        <f t="shared" si="46"/>
        <v>1800</v>
      </c>
      <c r="K661" s="214">
        <f t="shared" si="48"/>
        <v>1800</v>
      </c>
      <c r="L661" s="222"/>
      <c r="M661" s="222">
        <f>Table432[[#This Row],[Taxable Amount]]+Table432[[#This Row],[SGST]]+Table432[[#This Row],[CGST]]</f>
        <v>23600</v>
      </c>
      <c r="N661" s="216"/>
      <c r="O661" s="223"/>
      <c r="P661" s="224">
        <v>23600</v>
      </c>
      <c r="Q661" s="228">
        <v>46004</v>
      </c>
      <c r="R661" s="225" t="s">
        <v>959</v>
      </c>
      <c r="S661" s="138">
        <f>Table432[[#This Row],[Invoice Amount]]-Table432[[#This Row],[TDS]]-Table432[[#This Row],[RTN]]-Table432[[#This Row],[RECIVED AMOUNT]]</f>
        <v>0</v>
      </c>
      <c r="T661" s="163"/>
      <c r="U661" s="163"/>
      <c r="V661" s="70">
        <f>Table432[[#This Row],[BALANCE]]-Table432[[#This Row],[RECIVED AMOUNT2]]</f>
        <v>0</v>
      </c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</row>
    <row r="662" spans="1:121" s="326" customFormat="1" ht="19.95" customHeight="1">
      <c r="A662" s="314">
        <v>45991</v>
      </c>
      <c r="B662" s="327" t="s">
        <v>933</v>
      </c>
      <c r="C662" s="315" t="s">
        <v>883</v>
      </c>
      <c r="D662" s="315" t="s">
        <v>884</v>
      </c>
      <c r="E662" s="315" t="s">
        <v>89</v>
      </c>
      <c r="F662" s="316" t="s">
        <v>26</v>
      </c>
      <c r="G662" s="316">
        <v>998531</v>
      </c>
      <c r="H662" s="317">
        <v>0.18</v>
      </c>
      <c r="I662" s="318">
        <v>3333</v>
      </c>
      <c r="J662" s="328">
        <f t="shared" si="46"/>
        <v>299.97000000000003</v>
      </c>
      <c r="K662" s="318">
        <f t="shared" si="48"/>
        <v>299.97000000000003</v>
      </c>
      <c r="L662" s="319"/>
      <c r="M662" s="319">
        <f>Table432[[#This Row],[Taxable Amount]]+Table432[[#This Row],[SGST]]+Table432[[#This Row],[CGST]]</f>
        <v>3932.9400000000005</v>
      </c>
      <c r="N662" s="320">
        <f>Table432[[#This Row],[Taxable Amount]]*1%</f>
        <v>33.33</v>
      </c>
      <c r="O662" s="329"/>
      <c r="P662" s="322"/>
      <c r="Q662" s="322"/>
      <c r="R662" s="321" t="s">
        <v>959</v>
      </c>
      <c r="S662" s="323">
        <f>Table432[[#This Row],[Invoice Amount]]-Table432[[#This Row],[TDS]]-Table432[[#This Row],[RTN]]-Table432[[#This Row],[RECIVED AMOUNT]]</f>
        <v>3899.6100000000006</v>
      </c>
      <c r="T662" s="315"/>
      <c r="U662" s="315"/>
      <c r="V662" s="324">
        <f>Table432[[#This Row],[BALANCE]]-Table432[[#This Row],[RECIVED AMOUNT2]]</f>
        <v>3899.6100000000006</v>
      </c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  <c r="AH662" s="325"/>
      <c r="AI662" s="325"/>
      <c r="AJ662" s="325"/>
      <c r="AK662" s="325"/>
      <c r="AL662" s="325"/>
      <c r="AM662" s="325"/>
      <c r="AN662" s="325"/>
      <c r="AO662" s="325"/>
      <c r="AP662" s="325"/>
      <c r="AQ662" s="325"/>
      <c r="AR662" s="325"/>
      <c r="AS662" s="325"/>
      <c r="AT662" s="325"/>
      <c r="AU662" s="325"/>
      <c r="AV662" s="325"/>
      <c r="AW662" s="325"/>
      <c r="AX662" s="325"/>
      <c r="AY662" s="325"/>
      <c r="AZ662" s="325"/>
      <c r="BA662" s="325"/>
      <c r="BB662" s="325"/>
      <c r="BC662" s="325"/>
      <c r="BD662" s="325"/>
      <c r="BE662" s="325"/>
      <c r="BF662" s="325"/>
      <c r="BG662" s="325"/>
      <c r="BH662" s="325"/>
      <c r="BI662" s="325"/>
      <c r="BJ662" s="325"/>
      <c r="BK662" s="325"/>
      <c r="BL662" s="325"/>
      <c r="BM662" s="325"/>
      <c r="BN662" s="325"/>
      <c r="BO662" s="325"/>
      <c r="BP662" s="325"/>
      <c r="BQ662" s="325"/>
      <c r="BR662" s="325"/>
      <c r="BS662" s="325"/>
      <c r="BT662" s="325"/>
      <c r="BU662" s="325"/>
      <c r="BV662" s="325"/>
      <c r="BW662" s="325"/>
      <c r="BX662" s="325"/>
      <c r="BY662" s="325"/>
      <c r="BZ662" s="325"/>
      <c r="CA662" s="325"/>
      <c r="CB662" s="325"/>
      <c r="CC662" s="325"/>
      <c r="CD662" s="325"/>
      <c r="CE662" s="325"/>
      <c r="CF662" s="325"/>
      <c r="CG662" s="325"/>
      <c r="CH662" s="325"/>
      <c r="CI662" s="325"/>
      <c r="CJ662" s="325"/>
      <c r="CK662" s="325"/>
      <c r="CL662" s="325"/>
      <c r="CM662" s="325"/>
      <c r="CN662" s="325"/>
      <c r="CO662" s="325"/>
      <c r="CP662" s="325"/>
      <c r="CQ662" s="325"/>
      <c r="CR662" s="325"/>
      <c r="CS662" s="325"/>
      <c r="CT662" s="325"/>
      <c r="CU662" s="325"/>
      <c r="CV662" s="325"/>
      <c r="CW662" s="325"/>
      <c r="CX662" s="325"/>
      <c r="CY662" s="325"/>
      <c r="CZ662" s="325"/>
      <c r="DA662" s="325"/>
      <c r="DB662" s="325"/>
      <c r="DC662" s="325"/>
      <c r="DD662" s="325"/>
      <c r="DE662" s="325"/>
      <c r="DF662" s="325"/>
      <c r="DG662" s="325"/>
      <c r="DH662" s="325"/>
      <c r="DI662" s="325"/>
      <c r="DJ662" s="325"/>
      <c r="DK662" s="325"/>
      <c r="DL662" s="325"/>
      <c r="DM662" s="325"/>
      <c r="DN662" s="325"/>
      <c r="DO662" s="325"/>
      <c r="DP662" s="325"/>
      <c r="DQ662" s="325"/>
    </row>
    <row r="663" spans="1:121" s="11" customFormat="1" ht="19.95" customHeight="1">
      <c r="A663" s="226">
        <v>45991</v>
      </c>
      <c r="B663" s="7" t="s">
        <v>934</v>
      </c>
      <c r="C663" s="163" t="s">
        <v>885</v>
      </c>
      <c r="D663" s="163" t="s">
        <v>886</v>
      </c>
      <c r="E663" s="163" t="s">
        <v>59</v>
      </c>
      <c r="F663" s="137" t="s">
        <v>26</v>
      </c>
      <c r="G663" s="137">
        <v>998531</v>
      </c>
      <c r="H663" s="221">
        <v>0.18</v>
      </c>
      <c r="I663" s="214">
        <v>3000</v>
      </c>
      <c r="J663" s="214">
        <f t="shared" ref="J663:J668" si="49">I663*9/100</f>
        <v>270</v>
      </c>
      <c r="K663" s="214">
        <f t="shared" ref="K663:K668" si="50">I663*9/100</f>
        <v>270</v>
      </c>
      <c r="L663" s="222"/>
      <c r="M663" s="222">
        <f>Table432[[#This Row],[Taxable Amount]]+Table432[[#This Row],[SGST]]+Table432[[#This Row],[CGST]]</f>
        <v>3540</v>
      </c>
      <c r="N663" s="216"/>
      <c r="O663" s="223"/>
      <c r="P663" s="224"/>
      <c r="Q663" s="205">
        <v>46172</v>
      </c>
      <c r="R663" s="225" t="s">
        <v>959</v>
      </c>
      <c r="S663" s="138">
        <f>Table432[[#This Row],[Invoice Amount]]-Table432[[#This Row],[TDS]]-Table432[[#This Row],[RTN]]-Table432[[#This Row],[RECIVED AMOUNT]]</f>
        <v>3540</v>
      </c>
      <c r="T663" s="163"/>
      <c r="U663" s="163"/>
      <c r="V663" s="70">
        <f>Table432[[#This Row],[BALANCE]]-Table432[[#This Row],[RECIVED AMOUNT2]]</f>
        <v>3540</v>
      </c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</row>
    <row r="664" spans="1:121" s="11" customFormat="1" ht="19.95" customHeight="1">
      <c r="A664" s="226">
        <v>45991</v>
      </c>
      <c r="B664" s="7" t="s">
        <v>935</v>
      </c>
      <c r="C664" s="163" t="s">
        <v>575</v>
      </c>
      <c r="D664" s="163" t="s">
        <v>576</v>
      </c>
      <c r="E664" s="163" t="s">
        <v>577</v>
      </c>
      <c r="F664" s="137" t="s">
        <v>26</v>
      </c>
      <c r="G664" s="137">
        <v>998531</v>
      </c>
      <c r="H664" s="221">
        <v>0.18</v>
      </c>
      <c r="I664" s="214">
        <v>52000</v>
      </c>
      <c r="J664" s="214">
        <f t="shared" si="49"/>
        <v>4680</v>
      </c>
      <c r="K664" s="214">
        <f t="shared" si="50"/>
        <v>4680</v>
      </c>
      <c r="L664" s="222"/>
      <c r="M664" s="222">
        <f>Table432[[#This Row],[Taxable Amount]]+Table432[[#This Row],[SGST]]+Table432[[#This Row],[CGST]]</f>
        <v>61360</v>
      </c>
      <c r="N664" s="216">
        <f>Table432[[#This Row],[Taxable Amount]]*1%</f>
        <v>520</v>
      </c>
      <c r="O664" s="223"/>
      <c r="P664" s="224">
        <v>60840</v>
      </c>
      <c r="Q664" s="228">
        <v>46021</v>
      </c>
      <c r="R664" s="225" t="s">
        <v>959</v>
      </c>
      <c r="S664" s="138">
        <f>Table432[[#This Row],[Invoice Amount]]-Table432[[#This Row],[TDS]]-Table432[[#This Row],[RTN]]-Table432[[#This Row],[RECIVED AMOUNT]]</f>
        <v>0</v>
      </c>
      <c r="T664" s="163"/>
      <c r="U664" s="163"/>
      <c r="V664" s="70">
        <f>Table432[[#This Row],[BALANCE]]-Table432[[#This Row],[RECIVED AMOUNT2]]</f>
        <v>0</v>
      </c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</row>
    <row r="665" spans="1:121" s="12" customFormat="1" ht="19.95" customHeight="1">
      <c r="A665" s="128">
        <v>45992</v>
      </c>
      <c r="B665" s="3" t="s">
        <v>936</v>
      </c>
      <c r="C665" s="131" t="s">
        <v>173</v>
      </c>
      <c r="D665" s="131" t="s">
        <v>174</v>
      </c>
      <c r="E665" s="131" t="s">
        <v>62</v>
      </c>
      <c r="F665" s="136" t="s">
        <v>26</v>
      </c>
      <c r="G665" s="136">
        <v>998531</v>
      </c>
      <c r="H665" s="23">
        <v>0.18</v>
      </c>
      <c r="I665" s="129">
        <v>8800</v>
      </c>
      <c r="J665" s="129">
        <f t="shared" si="49"/>
        <v>792</v>
      </c>
      <c r="K665" s="129">
        <f t="shared" si="50"/>
        <v>792</v>
      </c>
      <c r="L665" s="130"/>
      <c r="M665" s="130">
        <f>Table432[[#This Row],[Taxable Amount]]+Table432[[#This Row],[SGST]]+Table432[[#This Row],[CGST]]</f>
        <v>10384</v>
      </c>
      <c r="N665" s="161">
        <f>Table432[[#This Row],[Taxable Amount]]*1%</f>
        <v>88</v>
      </c>
      <c r="O665" s="185"/>
      <c r="P665" s="135">
        <v>10296</v>
      </c>
      <c r="Q665" s="205">
        <v>46044</v>
      </c>
      <c r="R665" s="132" t="s">
        <v>1160</v>
      </c>
      <c r="S665" s="138">
        <f>Table432[[#This Row],[Invoice Amount]]-Table432[[#This Row],[TDS]]-Table432[[#This Row],[RTN]]-Table432[[#This Row],[RECIVED AMOUNT]]</f>
        <v>0</v>
      </c>
      <c r="T665" s="131"/>
      <c r="U665" s="131"/>
      <c r="V665" s="41">
        <f>Table432[[#This Row],[BALANCE]]-Table432[[#This Row],[RECIVED AMOUNT2]]</f>
        <v>0</v>
      </c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</row>
    <row r="666" spans="1:121" s="12" customFormat="1" ht="19.95" customHeight="1">
      <c r="A666" s="128">
        <v>45996</v>
      </c>
      <c r="B666" s="3" t="s">
        <v>937</v>
      </c>
      <c r="C666" s="131" t="s">
        <v>674</v>
      </c>
      <c r="D666" s="131" t="s">
        <v>675</v>
      </c>
      <c r="E666" s="131" t="s">
        <v>676</v>
      </c>
      <c r="F666" s="136" t="s">
        <v>26</v>
      </c>
      <c r="G666" s="136">
        <v>998531</v>
      </c>
      <c r="H666" s="23">
        <v>0.18</v>
      </c>
      <c r="I666" s="129">
        <v>10150</v>
      </c>
      <c r="J666" s="129">
        <f t="shared" si="49"/>
        <v>913.5</v>
      </c>
      <c r="K666" s="129">
        <f t="shared" si="50"/>
        <v>913.5</v>
      </c>
      <c r="L666" s="130"/>
      <c r="M666" s="130">
        <f>Table432[[#This Row],[Taxable Amount]]+Table432[[#This Row],[SGST]]+Table432[[#This Row],[CGST]]</f>
        <v>11977</v>
      </c>
      <c r="N666" s="161">
        <f>Table432[[#This Row],[Taxable Amount]]*1%</f>
        <v>101.5</v>
      </c>
      <c r="O666" s="185"/>
      <c r="P666" s="135">
        <v>11875</v>
      </c>
      <c r="Q666" s="205">
        <v>46112</v>
      </c>
      <c r="R666" s="132" t="s">
        <v>1160</v>
      </c>
      <c r="S666" s="138">
        <f>Table432[[#This Row],[Invoice Amount]]-Table432[[#This Row],[TDS]]-Table432[[#This Row],[RTN]]-Table432[[#This Row],[RECIVED AMOUNT]]</f>
        <v>0.5</v>
      </c>
      <c r="T666" s="131"/>
      <c r="U666" s="131"/>
      <c r="V666" s="41">
        <f>Table432[[#This Row],[BALANCE]]-Table432[[#This Row],[RECIVED AMOUNT2]]</f>
        <v>0.5</v>
      </c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</row>
    <row r="667" spans="1:121" s="12" customFormat="1" ht="19.95" customHeight="1">
      <c r="A667" s="128">
        <v>45996</v>
      </c>
      <c r="B667" s="3" t="s">
        <v>938</v>
      </c>
      <c r="C667" s="131" t="s">
        <v>674</v>
      </c>
      <c r="D667" s="131" t="s">
        <v>675</v>
      </c>
      <c r="E667" s="131" t="s">
        <v>678</v>
      </c>
      <c r="F667" s="136" t="s">
        <v>26</v>
      </c>
      <c r="G667" s="136">
        <v>998531</v>
      </c>
      <c r="H667" s="23">
        <v>0.18</v>
      </c>
      <c r="I667" s="129">
        <v>2650</v>
      </c>
      <c r="J667" s="129">
        <f t="shared" si="49"/>
        <v>238.5</v>
      </c>
      <c r="K667" s="129">
        <f t="shared" si="50"/>
        <v>238.5</v>
      </c>
      <c r="L667" s="130"/>
      <c r="M667" s="130">
        <f>Table432[[#This Row],[Taxable Amount]]+Table432[[#This Row],[SGST]]+Table432[[#This Row],[CGST]]</f>
        <v>3127</v>
      </c>
      <c r="N667" s="161">
        <f>Table432[[#This Row],[Taxable Amount]]*1%</f>
        <v>26.5</v>
      </c>
      <c r="O667" s="185"/>
      <c r="P667" s="135">
        <v>3100</v>
      </c>
      <c r="Q667" s="205">
        <v>46112</v>
      </c>
      <c r="R667" s="132" t="s">
        <v>1160</v>
      </c>
      <c r="S667" s="138">
        <f>Table432[[#This Row],[Invoice Amount]]-Table432[[#This Row],[TDS]]-Table432[[#This Row],[RTN]]-Table432[[#This Row],[RECIVED AMOUNT]]</f>
        <v>0.5</v>
      </c>
      <c r="T667" s="131"/>
      <c r="U667" s="131"/>
      <c r="V667" s="41">
        <f>Table432[[#This Row],[BALANCE]]-Table432[[#This Row],[RECIVED AMOUNT2]]</f>
        <v>0.5</v>
      </c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</row>
    <row r="668" spans="1:121" s="12" customFormat="1" ht="19.95" customHeight="1">
      <c r="A668" s="128">
        <v>45996</v>
      </c>
      <c r="B668" s="3" t="s">
        <v>939</v>
      </c>
      <c r="C668" s="131" t="s">
        <v>674</v>
      </c>
      <c r="D668" s="131" t="s">
        <v>675</v>
      </c>
      <c r="E668" s="131" t="s">
        <v>680</v>
      </c>
      <c r="F668" s="136" t="s">
        <v>26</v>
      </c>
      <c r="G668" s="136">
        <v>998531</v>
      </c>
      <c r="H668" s="23">
        <v>0.18</v>
      </c>
      <c r="I668" s="129">
        <v>4000</v>
      </c>
      <c r="J668" s="129">
        <f t="shared" si="49"/>
        <v>360</v>
      </c>
      <c r="K668" s="129">
        <f t="shared" si="50"/>
        <v>360</v>
      </c>
      <c r="L668" s="130"/>
      <c r="M668" s="130">
        <f>Table432[[#This Row],[Taxable Amount]]+Table432[[#This Row],[SGST]]+Table432[[#This Row],[CGST]]</f>
        <v>4720</v>
      </c>
      <c r="N668" s="161">
        <f>Table432[[#This Row],[Taxable Amount]]*1%</f>
        <v>40</v>
      </c>
      <c r="O668" s="185"/>
      <c r="P668" s="135">
        <v>4680</v>
      </c>
      <c r="Q668" s="205">
        <v>46112</v>
      </c>
      <c r="R668" s="132" t="s">
        <v>1160</v>
      </c>
      <c r="S668" s="138">
        <f>Table432[[#This Row],[Invoice Amount]]-Table432[[#This Row],[TDS]]-Table432[[#This Row],[RTN]]-Table432[[#This Row],[RECIVED AMOUNT]]</f>
        <v>0</v>
      </c>
      <c r="T668" s="131"/>
      <c r="U668" s="131"/>
      <c r="V668" s="41">
        <f>Table432[[#This Row],[BALANCE]]-Table432[[#This Row],[RECIVED AMOUNT2]]</f>
        <v>0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</row>
    <row r="669" spans="1:121" s="12" customFormat="1" ht="19.95" customHeight="1">
      <c r="A669" s="128">
        <v>45996</v>
      </c>
      <c r="B669" s="165" t="s">
        <v>940</v>
      </c>
      <c r="C669" s="131" t="s">
        <v>674</v>
      </c>
      <c r="D669" s="131" t="s">
        <v>675</v>
      </c>
      <c r="E669" s="165" t="s">
        <v>684</v>
      </c>
      <c r="F669" s="136" t="s">
        <v>26</v>
      </c>
      <c r="G669" s="136">
        <v>998531</v>
      </c>
      <c r="H669" s="23">
        <v>0.18</v>
      </c>
      <c r="I669" s="167">
        <v>2400</v>
      </c>
      <c r="J669" s="167">
        <f t="shared" ref="J669:J678" si="51">I669*9/100</f>
        <v>216</v>
      </c>
      <c r="K669" s="167">
        <f t="shared" ref="K669:K678" si="52">I669*9/100</f>
        <v>216</v>
      </c>
      <c r="L669" s="168"/>
      <c r="M669" s="168">
        <f>Table432[[#This Row],[Taxable Amount]]+Table432[[#This Row],[SGST]]+Table432[[#This Row],[CGST]]</f>
        <v>2832</v>
      </c>
      <c r="N669" s="169">
        <f>Table432[[#This Row],[Taxable Amount]]*1%</f>
        <v>24</v>
      </c>
      <c r="O669" s="186"/>
      <c r="P669" s="135">
        <v>2808</v>
      </c>
      <c r="Q669" s="205">
        <v>46112</v>
      </c>
      <c r="R669" s="132" t="s">
        <v>1160</v>
      </c>
      <c r="S669" s="138">
        <f>Table432[[#This Row],[Invoice Amount]]-Table432[[#This Row],[TDS]]-Table432[[#This Row],[RTN]]-Table432[[#This Row],[RECIVED AMOUNT]]</f>
        <v>0</v>
      </c>
      <c r="T669" s="165"/>
      <c r="U669" s="165"/>
      <c r="V669" s="41">
        <f>Table432[[#This Row],[BALANCE]]-Table432[[#This Row],[RECIVED AMOUNT2]]</f>
        <v>0</v>
      </c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</row>
    <row r="670" spans="1:121" s="12" customFormat="1" ht="19.95" customHeight="1">
      <c r="A670" s="128">
        <v>45996</v>
      </c>
      <c r="B670" s="165" t="s">
        <v>941</v>
      </c>
      <c r="C670" s="131" t="s">
        <v>674</v>
      </c>
      <c r="D670" s="131" t="s">
        <v>675</v>
      </c>
      <c r="E670" s="165" t="s">
        <v>956</v>
      </c>
      <c r="F670" s="136" t="s">
        <v>26</v>
      </c>
      <c r="G670" s="136">
        <v>998531</v>
      </c>
      <c r="H670" s="23">
        <v>0.18</v>
      </c>
      <c r="I670" s="167">
        <v>2050</v>
      </c>
      <c r="J670" s="167">
        <f t="shared" si="51"/>
        <v>184.5</v>
      </c>
      <c r="K670" s="167">
        <f t="shared" si="52"/>
        <v>184.5</v>
      </c>
      <c r="L670" s="168"/>
      <c r="M670" s="168">
        <f>Table432[[#This Row],[Taxable Amount]]+Table432[[#This Row],[SGST]]+Table432[[#This Row],[CGST]]</f>
        <v>2419</v>
      </c>
      <c r="N670" s="169">
        <f>Table432[[#This Row],[Taxable Amount]]*1%</f>
        <v>20.5</v>
      </c>
      <c r="O670" s="186"/>
      <c r="P670" s="135">
        <v>2398</v>
      </c>
      <c r="Q670" s="205">
        <v>46112</v>
      </c>
      <c r="R670" s="132" t="s">
        <v>1160</v>
      </c>
      <c r="S670" s="138">
        <f>Table432[[#This Row],[Invoice Amount]]-Table432[[#This Row],[TDS]]-Table432[[#This Row],[RTN]]-Table432[[#This Row],[RECIVED AMOUNT]]</f>
        <v>0.5</v>
      </c>
      <c r="T670" s="165"/>
      <c r="U670" s="165"/>
      <c r="V670" s="41">
        <f>Table432[[#This Row],[BALANCE]]-Table432[[#This Row],[RECIVED AMOUNT2]]</f>
        <v>0.5</v>
      </c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</row>
    <row r="671" spans="1:121" s="12" customFormat="1" ht="19.95" customHeight="1">
      <c r="A671" s="128">
        <v>45996</v>
      </c>
      <c r="B671" s="165" t="s">
        <v>942</v>
      </c>
      <c r="C671" s="131" t="s">
        <v>674</v>
      </c>
      <c r="D671" s="131" t="s">
        <v>675</v>
      </c>
      <c r="E671" s="165" t="s">
        <v>716</v>
      </c>
      <c r="F671" s="136" t="s">
        <v>26</v>
      </c>
      <c r="G671" s="136">
        <v>998531</v>
      </c>
      <c r="H671" s="23">
        <v>0.18</v>
      </c>
      <c r="I671" s="167">
        <v>1800</v>
      </c>
      <c r="J671" s="167">
        <f t="shared" si="51"/>
        <v>162</v>
      </c>
      <c r="K671" s="167">
        <f t="shared" si="52"/>
        <v>162</v>
      </c>
      <c r="L671" s="168"/>
      <c r="M671" s="168">
        <f>Table432[[#This Row],[Taxable Amount]]+Table432[[#This Row],[SGST]]+Table432[[#This Row],[CGST]]</f>
        <v>2124</v>
      </c>
      <c r="N671" s="169">
        <f>Table432[[#This Row],[Taxable Amount]]*1%</f>
        <v>18</v>
      </c>
      <c r="O671" s="186"/>
      <c r="P671" s="135">
        <v>2106</v>
      </c>
      <c r="Q671" s="205">
        <v>46112</v>
      </c>
      <c r="R671" s="132" t="s">
        <v>1160</v>
      </c>
      <c r="S671" s="138">
        <f>Table432[[#This Row],[Invoice Amount]]-Table432[[#This Row],[TDS]]-Table432[[#This Row],[RTN]]-Table432[[#This Row],[RECIVED AMOUNT]]</f>
        <v>0</v>
      </c>
      <c r="T671" s="165"/>
      <c r="U671" s="165"/>
      <c r="V671" s="41">
        <f>Table432[[#This Row],[BALANCE]]-Table432[[#This Row],[RECIVED AMOUNT2]]</f>
        <v>0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</row>
    <row r="672" spans="1:121" s="12" customFormat="1" ht="19.95" customHeight="1">
      <c r="A672" s="128">
        <v>45996</v>
      </c>
      <c r="B672" s="165" t="s">
        <v>943</v>
      </c>
      <c r="C672" s="131" t="s">
        <v>674</v>
      </c>
      <c r="D672" s="131" t="s">
        <v>675</v>
      </c>
      <c r="E672" s="165" t="s">
        <v>811</v>
      </c>
      <c r="F672" s="166" t="s">
        <v>26</v>
      </c>
      <c r="G672" s="136">
        <v>998531</v>
      </c>
      <c r="H672" s="23">
        <v>0.18</v>
      </c>
      <c r="I672" s="167">
        <v>10000</v>
      </c>
      <c r="J672" s="167">
        <f t="shared" si="51"/>
        <v>900</v>
      </c>
      <c r="K672" s="167">
        <f t="shared" si="52"/>
        <v>900</v>
      </c>
      <c r="L672" s="168"/>
      <c r="M672" s="168">
        <f>Table432[[#This Row],[Taxable Amount]]+Table432[[#This Row],[SGST]]+Table432[[#This Row],[CGST]]</f>
        <v>11800</v>
      </c>
      <c r="N672" s="169">
        <f>Table432[[#This Row],[Taxable Amount]]*1%</f>
        <v>100</v>
      </c>
      <c r="O672" s="186"/>
      <c r="P672" s="135">
        <v>11700</v>
      </c>
      <c r="Q672" s="205">
        <v>46112</v>
      </c>
      <c r="R672" s="132" t="s">
        <v>1160</v>
      </c>
      <c r="S672" s="138">
        <f>Table432[[#This Row],[Invoice Amount]]-Table432[[#This Row],[TDS]]-Table432[[#This Row],[RTN]]-Table432[[#This Row],[RECIVED AMOUNT]]</f>
        <v>0</v>
      </c>
      <c r="T672" s="165"/>
      <c r="U672" s="165"/>
      <c r="V672" s="41">
        <f>Table432[[#This Row],[BALANCE]]-Table432[[#This Row],[RECIVED AMOUNT2]]</f>
        <v>0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</row>
    <row r="673" spans="1:121" s="12" customFormat="1" ht="19.95" customHeight="1">
      <c r="A673" s="128">
        <v>45996</v>
      </c>
      <c r="B673" s="165" t="s">
        <v>944</v>
      </c>
      <c r="C673" s="131" t="s">
        <v>674</v>
      </c>
      <c r="D673" s="131" t="s">
        <v>675</v>
      </c>
      <c r="E673" s="165" t="s">
        <v>957</v>
      </c>
      <c r="F673" s="166" t="s">
        <v>26</v>
      </c>
      <c r="G673" s="136">
        <v>998531</v>
      </c>
      <c r="H673" s="23">
        <v>0.18</v>
      </c>
      <c r="I673" s="167">
        <v>4200</v>
      </c>
      <c r="J673" s="167">
        <f t="shared" si="51"/>
        <v>378</v>
      </c>
      <c r="K673" s="167">
        <f t="shared" si="52"/>
        <v>378</v>
      </c>
      <c r="L673" s="168"/>
      <c r="M673" s="168">
        <f>Table432[[#This Row],[Taxable Amount]]+Table432[[#This Row],[SGST]]+Table432[[#This Row],[CGST]]</f>
        <v>4956</v>
      </c>
      <c r="N673" s="169">
        <f>Table432[[#This Row],[Taxable Amount]]*1%</f>
        <v>42</v>
      </c>
      <c r="O673" s="186"/>
      <c r="P673" s="135">
        <v>4914</v>
      </c>
      <c r="Q673" s="205">
        <v>46112</v>
      </c>
      <c r="R673" s="132" t="s">
        <v>1160</v>
      </c>
      <c r="S673" s="138">
        <f>Table432[[#This Row],[Invoice Amount]]-Table432[[#This Row],[TDS]]-Table432[[#This Row],[RTN]]-Table432[[#This Row],[RECIVED AMOUNT]]</f>
        <v>0</v>
      </c>
      <c r="T673" s="165"/>
      <c r="U673" s="165"/>
      <c r="V673" s="41">
        <f>Table432[[#This Row],[BALANCE]]-Table432[[#This Row],[RECIVED AMOUNT2]]</f>
        <v>0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</row>
    <row r="674" spans="1:121" s="12" customFormat="1" ht="19.95" customHeight="1">
      <c r="A674" s="128">
        <v>45996</v>
      </c>
      <c r="B674" s="165" t="s">
        <v>945</v>
      </c>
      <c r="C674" s="131" t="s">
        <v>674</v>
      </c>
      <c r="D674" s="131" t="s">
        <v>675</v>
      </c>
      <c r="E674" s="165" t="s">
        <v>815</v>
      </c>
      <c r="F674" s="166" t="s">
        <v>26</v>
      </c>
      <c r="G674" s="136">
        <v>998531</v>
      </c>
      <c r="H674" s="23">
        <v>0.18</v>
      </c>
      <c r="I674" s="167">
        <v>850</v>
      </c>
      <c r="J674" s="167">
        <f t="shared" si="51"/>
        <v>76.5</v>
      </c>
      <c r="K674" s="167">
        <f t="shared" si="52"/>
        <v>76.5</v>
      </c>
      <c r="L674" s="168"/>
      <c r="M674" s="168">
        <f>Table432[[#This Row],[Taxable Amount]]+Table432[[#This Row],[SGST]]+Table432[[#This Row],[CGST]]</f>
        <v>1003</v>
      </c>
      <c r="N674" s="169">
        <f>Table432[[#This Row],[Taxable Amount]]*1%</f>
        <v>8.5</v>
      </c>
      <c r="O674" s="186"/>
      <c r="P674" s="135">
        <v>994</v>
      </c>
      <c r="Q674" s="205">
        <v>46112</v>
      </c>
      <c r="R674" s="132" t="s">
        <v>1160</v>
      </c>
      <c r="S674" s="138">
        <f>Table432[[#This Row],[Invoice Amount]]-Table432[[#This Row],[TDS]]-Table432[[#This Row],[RTN]]-Table432[[#This Row],[RECIVED AMOUNT]]</f>
        <v>0.5</v>
      </c>
      <c r="T674" s="165"/>
      <c r="U674" s="165"/>
      <c r="V674" s="41">
        <f>Table432[[#This Row],[BALANCE]]-Table432[[#This Row],[RECIVED AMOUNT2]]</f>
        <v>0.5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</row>
    <row r="675" spans="1:121" s="12" customFormat="1" ht="19.95" customHeight="1">
      <c r="A675" s="164">
        <v>45996</v>
      </c>
      <c r="B675" s="165" t="s">
        <v>946</v>
      </c>
      <c r="C675" s="165" t="s">
        <v>961</v>
      </c>
      <c r="D675" s="165" t="s">
        <v>962</v>
      </c>
      <c r="E675" s="165" t="s">
        <v>515</v>
      </c>
      <c r="F675" s="166" t="s">
        <v>37</v>
      </c>
      <c r="G675" s="136">
        <v>998531</v>
      </c>
      <c r="H675" s="23">
        <v>0.18</v>
      </c>
      <c r="I675" s="167">
        <v>4949</v>
      </c>
      <c r="J675" s="167">
        <f t="shared" si="51"/>
        <v>445.41</v>
      </c>
      <c r="K675" s="167">
        <f t="shared" si="52"/>
        <v>445.41</v>
      </c>
      <c r="L675" s="168"/>
      <c r="M675" s="168">
        <f>Table432[[#This Row],[Taxable Amount]]+Table432[[#This Row],[SGST]]+Table432[[#This Row],[CGST]]</f>
        <v>5839.82</v>
      </c>
      <c r="N675" s="169">
        <f>Table432[[#This Row],[Taxable Amount]]*1%</f>
        <v>49.49</v>
      </c>
      <c r="O675" s="186"/>
      <c r="P675" s="135"/>
      <c r="Q675" s="205">
        <v>46112</v>
      </c>
      <c r="R675" s="132" t="s">
        <v>1160</v>
      </c>
      <c r="S675" s="138">
        <f>Table432[[#This Row],[Invoice Amount]]-Table432[[#This Row],[TDS]]-Table432[[#This Row],[RTN]]-Table432[[#This Row],[RECIVED AMOUNT]]</f>
        <v>5790.33</v>
      </c>
      <c r="T675" s="165"/>
      <c r="U675" s="165"/>
      <c r="V675" s="41">
        <f>Table432[[#This Row],[BALANCE]]-Table432[[#This Row],[RECIVED AMOUNT2]]</f>
        <v>5790.33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</row>
    <row r="676" spans="1:121" s="12" customFormat="1" ht="19.95" customHeight="1">
      <c r="A676" s="164">
        <v>45996</v>
      </c>
      <c r="B676" s="165" t="s">
        <v>947</v>
      </c>
      <c r="C676" s="3" t="s">
        <v>963</v>
      </c>
      <c r="D676" s="7" t="s">
        <v>143</v>
      </c>
      <c r="E676" s="7" t="s">
        <v>515</v>
      </c>
      <c r="F676" s="166" t="s">
        <v>26</v>
      </c>
      <c r="G676" s="136">
        <v>998531</v>
      </c>
      <c r="H676" s="23">
        <v>0.18</v>
      </c>
      <c r="I676" s="167">
        <v>4000</v>
      </c>
      <c r="J676" s="167">
        <f t="shared" si="51"/>
        <v>360</v>
      </c>
      <c r="K676" s="167">
        <f t="shared" si="52"/>
        <v>360</v>
      </c>
      <c r="L676" s="168"/>
      <c r="M676" s="168">
        <f>Table432[[#This Row],[Taxable Amount]]+Table432[[#This Row],[SGST]]+Table432[[#This Row],[CGST]]</f>
        <v>4720</v>
      </c>
      <c r="N676" s="169">
        <f>Table432[[#This Row],[Taxable Amount]]*1%</f>
        <v>40</v>
      </c>
      <c r="O676" s="186"/>
      <c r="P676" s="135">
        <v>4720</v>
      </c>
      <c r="Q676" s="205">
        <v>46009</v>
      </c>
      <c r="R676" s="132" t="s">
        <v>1160</v>
      </c>
      <c r="S676" s="138">
        <f>Table432[[#This Row],[Invoice Amount]]-Table432[[#This Row],[TDS]]-Table432[[#This Row],[RTN]]-Table432[[#This Row],[RECIVED AMOUNT]]</f>
        <v>-40</v>
      </c>
      <c r="T676" s="165"/>
      <c r="U676" s="165"/>
      <c r="V676" s="41">
        <f>Table432[[#This Row],[BALANCE]]-Table432[[#This Row],[RECIVED AMOUNT2]]</f>
        <v>-40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</row>
    <row r="677" spans="1:121" s="12" customFormat="1" ht="19.95" customHeight="1">
      <c r="A677" s="164">
        <v>45999</v>
      </c>
      <c r="B677" s="165" t="s">
        <v>948</v>
      </c>
      <c r="C677" s="165" t="s">
        <v>964</v>
      </c>
      <c r="D677" s="165" t="s">
        <v>965</v>
      </c>
      <c r="E677" s="165" t="s">
        <v>67</v>
      </c>
      <c r="F677" s="166" t="s">
        <v>37</v>
      </c>
      <c r="G677" s="136">
        <v>998531</v>
      </c>
      <c r="H677" s="23">
        <v>0.18</v>
      </c>
      <c r="I677" s="167">
        <v>96756</v>
      </c>
      <c r="J677" s="167">
        <f t="shared" si="51"/>
        <v>8708.0400000000009</v>
      </c>
      <c r="K677" s="167">
        <f t="shared" si="52"/>
        <v>8708.0400000000009</v>
      </c>
      <c r="L677" s="168"/>
      <c r="M677" s="168">
        <f>Table432[[#This Row],[Taxable Amount]]+Table432[[#This Row],[SGST]]+Table432[[#This Row],[CGST]]</f>
        <v>114172.08000000002</v>
      </c>
      <c r="N677" s="169">
        <f>Table432[[#This Row],[Taxable Amount]]*1%</f>
        <v>967.56000000000006</v>
      </c>
      <c r="O677" s="186"/>
      <c r="P677" s="206">
        <v>113205</v>
      </c>
      <c r="Q677" s="205">
        <v>46010</v>
      </c>
      <c r="R677" s="132" t="s">
        <v>1160</v>
      </c>
      <c r="S677" s="138">
        <f>Table432[[#This Row],[Invoice Amount]]-Table432[[#This Row],[TDS]]-Table432[[#This Row],[RTN]]-Table432[[#This Row],[RECIVED AMOUNT]]</f>
        <v>-0.47999999998137355</v>
      </c>
      <c r="T677" s="165"/>
      <c r="U677" s="165"/>
      <c r="V677" s="41">
        <f>Table432[[#This Row],[BALANCE]]-Table432[[#This Row],[RECIVED AMOUNT2]]</f>
        <v>-0.47999999998137355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</row>
    <row r="678" spans="1:121" s="12" customFormat="1" ht="19.95" customHeight="1">
      <c r="A678" s="164">
        <v>46002</v>
      </c>
      <c r="B678" s="165" t="s">
        <v>949</v>
      </c>
      <c r="C678" s="165" t="s">
        <v>642</v>
      </c>
      <c r="D678" s="165" t="s">
        <v>643</v>
      </c>
      <c r="E678" s="165" t="s">
        <v>67</v>
      </c>
      <c r="F678" s="166" t="s">
        <v>26</v>
      </c>
      <c r="G678" s="136">
        <v>998531</v>
      </c>
      <c r="H678" s="23">
        <v>0.18</v>
      </c>
      <c r="I678" s="167">
        <v>5100</v>
      </c>
      <c r="J678" s="167">
        <f t="shared" si="51"/>
        <v>459</v>
      </c>
      <c r="K678" s="167">
        <f t="shared" si="52"/>
        <v>459</v>
      </c>
      <c r="L678" s="168"/>
      <c r="M678" s="168">
        <f>Table432[[#This Row],[Taxable Amount]]+Table432[[#This Row],[SGST]]+Table432[[#This Row],[CGST]]</f>
        <v>6018</v>
      </c>
      <c r="N678" s="169">
        <f>Table432[[#This Row],[Taxable Amount]]*1%</f>
        <v>51</v>
      </c>
      <c r="O678" s="186"/>
      <c r="P678" s="135">
        <v>6018</v>
      </c>
      <c r="Q678" s="205">
        <v>46050</v>
      </c>
      <c r="R678" s="132" t="s">
        <v>1160</v>
      </c>
      <c r="S678" s="138">
        <f>Table432[[#This Row],[Invoice Amount]]-Table432[[#This Row],[TDS]]-Table432[[#This Row],[RTN]]-Table432[[#This Row],[RECIVED AMOUNT]]</f>
        <v>-51</v>
      </c>
      <c r="T678" s="165"/>
      <c r="U678" s="165"/>
      <c r="V678" s="41">
        <f>Table432[[#This Row],[BALANCE]]-Table432[[#This Row],[RECIVED AMOUNT2]]</f>
        <v>-51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</row>
    <row r="679" spans="1:121" s="12" customFormat="1" ht="19.95" customHeight="1">
      <c r="A679" s="164">
        <v>46002</v>
      </c>
      <c r="B679" s="165" t="s">
        <v>950</v>
      </c>
      <c r="C679" s="165" t="s">
        <v>444</v>
      </c>
      <c r="D679" s="165" t="s">
        <v>445</v>
      </c>
      <c r="E679" s="165" t="s">
        <v>89</v>
      </c>
      <c r="F679" s="166" t="s">
        <v>37</v>
      </c>
      <c r="G679" s="136">
        <v>998531</v>
      </c>
      <c r="H679" s="23">
        <v>0.18</v>
      </c>
      <c r="I679" s="167">
        <v>3570</v>
      </c>
      <c r="J679" s="167">
        <f>I679*9/100</f>
        <v>321.3</v>
      </c>
      <c r="K679" s="167">
        <f>I679*9/100</f>
        <v>321.3</v>
      </c>
      <c r="L679" s="168"/>
      <c r="M679" s="168">
        <f>Table432[[#This Row],[Taxable Amount]]+Table432[[#This Row],[SGST]]+Table432[[#This Row],[CGST]]</f>
        <v>4212.6000000000004</v>
      </c>
      <c r="N679" s="169">
        <f>Table432[[#This Row],[Taxable Amount]]*1%</f>
        <v>35.700000000000003</v>
      </c>
      <c r="O679" s="186"/>
      <c r="P679" s="135"/>
      <c r="Q679" s="135"/>
      <c r="R679" s="132" t="s">
        <v>1160</v>
      </c>
      <c r="S679" s="138">
        <f>Table432[[#This Row],[Invoice Amount]]-Table432[[#This Row],[TDS]]-Table432[[#This Row],[RTN]]-Table432[[#This Row],[RECIVED AMOUNT]]</f>
        <v>4176.9000000000005</v>
      </c>
      <c r="T679" s="165"/>
      <c r="U679" s="165"/>
      <c r="V679" s="41">
        <f>Table432[[#This Row],[BALANCE]]-Table432[[#This Row],[RECIVED AMOUNT2]]</f>
        <v>4176.9000000000005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</row>
    <row r="680" spans="1:121" s="12" customFormat="1" ht="19.95" customHeight="1">
      <c r="A680" s="164">
        <v>46003</v>
      </c>
      <c r="B680" s="165" t="s">
        <v>951</v>
      </c>
      <c r="C680" s="165" t="s">
        <v>966</v>
      </c>
      <c r="D680" s="165" t="s">
        <v>967</v>
      </c>
      <c r="E680" s="165" t="s">
        <v>968</v>
      </c>
      <c r="F680" s="166" t="s">
        <v>37</v>
      </c>
      <c r="G680" s="136">
        <v>998531</v>
      </c>
      <c r="H680" s="23">
        <v>0.18</v>
      </c>
      <c r="I680" s="167">
        <v>28000</v>
      </c>
      <c r="J680" s="167">
        <v>2520</v>
      </c>
      <c r="K680" s="167">
        <f>I680*9/100</f>
        <v>2520</v>
      </c>
      <c r="L680" s="168"/>
      <c r="M680" s="168">
        <f>Table432[[#This Row],[Taxable Amount]]+Table432[[#This Row],[SGST]]+Table432[[#This Row],[CGST]]</f>
        <v>33040</v>
      </c>
      <c r="N680" s="169">
        <f>Table432[[#This Row],[Taxable Amount]]*1%</f>
        <v>280</v>
      </c>
      <c r="O680" s="186"/>
      <c r="P680" s="135">
        <v>23600</v>
      </c>
      <c r="Q680" s="205">
        <v>46014</v>
      </c>
      <c r="R680" s="132" t="s">
        <v>1160</v>
      </c>
      <c r="S680" s="138">
        <f>Table432[[#This Row],[Invoice Amount]]-Table432[[#This Row],[TDS]]-Table432[[#This Row],[RTN]]-Table432[[#This Row],[RECIVED AMOUNT]]</f>
        <v>9160</v>
      </c>
      <c r="T680" s="165"/>
      <c r="U680" s="165"/>
      <c r="V680" s="41">
        <f>Table432[[#This Row],[BALANCE]]-Table432[[#This Row],[RECIVED AMOUNT2]]</f>
        <v>9160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</row>
    <row r="681" spans="1:121" s="12" customFormat="1" ht="19.95" customHeight="1">
      <c r="A681" s="164">
        <v>46003</v>
      </c>
      <c r="B681" s="165" t="s">
        <v>952</v>
      </c>
      <c r="C681" s="165" t="s">
        <v>958</v>
      </c>
      <c r="D681" s="165" t="s">
        <v>969</v>
      </c>
      <c r="E681" s="165" t="s">
        <v>515</v>
      </c>
      <c r="F681" s="166" t="s">
        <v>37</v>
      </c>
      <c r="G681" s="136">
        <v>998531</v>
      </c>
      <c r="H681" s="23">
        <v>0.18</v>
      </c>
      <c r="I681" s="167">
        <v>4146.12</v>
      </c>
      <c r="J681" s="167">
        <f>I681*9/100</f>
        <v>373.1508</v>
      </c>
      <c r="K681" s="167">
        <f>I681*9/100</f>
        <v>373.1508</v>
      </c>
      <c r="L681" s="168"/>
      <c r="M681" s="168">
        <f>Table432[[#This Row],[Taxable Amount]]+Table432[[#This Row],[SGST]]+Table432[[#This Row],[CGST]]</f>
        <v>4892.4216000000006</v>
      </c>
      <c r="N681" s="169">
        <f>Table432[[#This Row],[Taxable Amount]]*1%</f>
        <v>41.461199999999998</v>
      </c>
      <c r="O681" s="186"/>
      <c r="P681" s="135">
        <v>4892</v>
      </c>
      <c r="Q681" s="205">
        <v>46007</v>
      </c>
      <c r="R681" s="132" t="s">
        <v>1160</v>
      </c>
      <c r="S681" s="138">
        <f>Table432[[#This Row],[Invoice Amount]]-Table432[[#This Row],[TDS]]-Table432[[#This Row],[RTN]]-Table432[[#This Row],[RECIVED AMOUNT]]</f>
        <v>-41.039599999999155</v>
      </c>
      <c r="T681" s="165"/>
      <c r="U681" s="165"/>
      <c r="V681" s="41">
        <f>Table432[[#This Row],[BALANCE]]-Table432[[#This Row],[RECIVED AMOUNT2]]</f>
        <v>-41.039599999999155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</row>
    <row r="682" spans="1:121" s="12" customFormat="1" ht="19.95" customHeight="1">
      <c r="A682" s="128">
        <v>46008</v>
      </c>
      <c r="B682" s="165" t="s">
        <v>970</v>
      </c>
      <c r="C682" s="131" t="s">
        <v>971</v>
      </c>
      <c r="D682" s="131" t="s">
        <v>972</v>
      </c>
      <c r="E682" s="131" t="s">
        <v>59</v>
      </c>
      <c r="F682" s="136" t="s">
        <v>37</v>
      </c>
      <c r="G682" s="136">
        <v>998531</v>
      </c>
      <c r="H682" s="23">
        <v>0.18</v>
      </c>
      <c r="I682" s="129">
        <v>10500</v>
      </c>
      <c r="J682" s="129">
        <f>I682*9/100</f>
        <v>945</v>
      </c>
      <c r="K682" s="129">
        <f>I682*9/100</f>
        <v>945</v>
      </c>
      <c r="L682" s="130"/>
      <c r="M682" s="130">
        <f>Table432[[#This Row],[Taxable Amount]]+Table432[[#This Row],[SGST]]+Table432[[#This Row],[CGST]]</f>
        <v>12390</v>
      </c>
      <c r="N682" s="161">
        <f>Table432[[#This Row],[Taxable Amount]]*1%</f>
        <v>105</v>
      </c>
      <c r="O682" s="185"/>
      <c r="P682" s="135">
        <v>12390</v>
      </c>
      <c r="Q682" s="205">
        <v>46013</v>
      </c>
      <c r="R682" s="132" t="s">
        <v>1160</v>
      </c>
      <c r="S682" s="138">
        <f>Table432[[#This Row],[Invoice Amount]]-Table432[[#This Row],[TDS]]-Table432[[#This Row],[RTN]]-Table432[[#This Row],[RECIVED AMOUNT]]</f>
        <v>-105</v>
      </c>
      <c r="T682" s="131"/>
      <c r="U682" s="131"/>
      <c r="V682" s="41">
        <f>Table432[[#This Row],[BALANCE]]-Table432[[#This Row],[RECIVED AMOUNT2]]</f>
        <v>-105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</row>
    <row r="683" spans="1:121" ht="19.95" customHeight="1">
      <c r="A683" s="128">
        <v>46016</v>
      </c>
      <c r="B683" s="3" t="s">
        <v>974</v>
      </c>
      <c r="C683" s="131" t="s">
        <v>637</v>
      </c>
      <c r="D683" s="131" t="s">
        <v>638</v>
      </c>
      <c r="E683" s="131" t="s">
        <v>629</v>
      </c>
      <c r="F683" s="136" t="s">
        <v>26</v>
      </c>
      <c r="G683" s="136">
        <v>998531</v>
      </c>
      <c r="H683" s="23">
        <v>0.18</v>
      </c>
      <c r="I683" s="129">
        <v>12400</v>
      </c>
      <c r="J683" s="129">
        <f t="shared" ref="J683:J688" si="53">I683*9/100</f>
        <v>1116</v>
      </c>
      <c r="K683" s="129">
        <f t="shared" ref="K683:K688" si="54">I683*9/100</f>
        <v>1116</v>
      </c>
      <c r="L683" s="130"/>
      <c r="M683" s="130">
        <f>Table432[[#This Row],[Taxable Amount]]+Table432[[#This Row],[SGST]]+Table432[[#This Row],[CGST]]</f>
        <v>14632</v>
      </c>
      <c r="N683" s="161">
        <f>Table432[[#This Row],[Taxable Amount]]*1%</f>
        <v>124</v>
      </c>
      <c r="O683" s="185">
        <v>310</v>
      </c>
      <c r="P683" s="206">
        <v>11198</v>
      </c>
      <c r="Q683" s="205">
        <v>46074</v>
      </c>
      <c r="R683" s="132" t="s">
        <v>1160</v>
      </c>
      <c r="S683" s="138">
        <f>Table432[[#This Row],[Invoice Amount]]-Table432[[#This Row],[TDS]]-Table432[[#This Row],[RTN]]-Table432[[#This Row],[RECIVED AMOUNT]]</f>
        <v>3000</v>
      </c>
      <c r="T683" s="131">
        <v>2232</v>
      </c>
      <c r="U683" s="280">
        <v>46025</v>
      </c>
      <c r="V683" s="41">
        <f>Table432[[#This Row],[BALANCE]]-Table432[[#This Row],[RECIVED AMOUNT2]]</f>
        <v>768</v>
      </c>
    </row>
    <row r="684" spans="1:121" s="247" customFormat="1" ht="19.95" customHeight="1">
      <c r="A684" s="293">
        <v>46016</v>
      </c>
      <c r="B684" s="234" t="s">
        <v>975</v>
      </c>
      <c r="C684" s="235" t="s">
        <v>42</v>
      </c>
      <c r="D684" s="235" t="s">
        <v>730</v>
      </c>
      <c r="E684" s="235" t="s">
        <v>953</v>
      </c>
      <c r="F684" s="236" t="s">
        <v>26</v>
      </c>
      <c r="G684" s="236">
        <v>998531</v>
      </c>
      <c r="H684" s="237">
        <v>0.18</v>
      </c>
      <c r="I684" s="238">
        <v>13660</v>
      </c>
      <c r="J684" s="238">
        <f t="shared" si="53"/>
        <v>1229.4000000000001</v>
      </c>
      <c r="K684" s="238">
        <f t="shared" si="54"/>
        <v>1229.4000000000001</v>
      </c>
      <c r="L684" s="294"/>
      <c r="M684" s="294">
        <f>Table432[[#This Row],[Taxable Amount]]+Table432[[#This Row],[SGST]]+Table432[[#This Row],[CGST]]</f>
        <v>16118.8</v>
      </c>
      <c r="N684" s="240">
        <f>Table432[[#This Row],[Taxable Amount]]*1%</f>
        <v>136.6</v>
      </c>
      <c r="O684" s="300">
        <v>341</v>
      </c>
      <c r="P684" s="295"/>
      <c r="Q684" s="243">
        <v>46080</v>
      </c>
      <c r="R684" s="244" t="s">
        <v>1160</v>
      </c>
      <c r="S684" s="245">
        <f>Table432[[#This Row],[Invoice Amount]]-Table432[[#This Row],[TDS]]-Table432[[#This Row],[RTN]]-Table432[[#This Row],[RECIVED AMOUNT]]</f>
        <v>15641.199999999999</v>
      </c>
      <c r="T684" s="235"/>
      <c r="U684" s="235"/>
      <c r="V684" s="246">
        <f>Table432[[#This Row],[BALANCE]]-Table432[[#This Row],[RECIVED AMOUNT2]]</f>
        <v>15641.199999999999</v>
      </c>
    </row>
    <row r="685" spans="1:121" s="247" customFormat="1" ht="19.95" customHeight="1">
      <c r="A685" s="293">
        <v>46016</v>
      </c>
      <c r="B685" s="234" t="s">
        <v>976</v>
      </c>
      <c r="C685" s="235" t="s">
        <v>42</v>
      </c>
      <c r="D685" s="235" t="s">
        <v>730</v>
      </c>
      <c r="E685" s="235" t="s">
        <v>101</v>
      </c>
      <c r="F685" s="236" t="s">
        <v>26</v>
      </c>
      <c r="G685" s="236">
        <v>998531</v>
      </c>
      <c r="H685" s="237">
        <v>0.18</v>
      </c>
      <c r="I685" s="238">
        <v>5050</v>
      </c>
      <c r="J685" s="238">
        <f t="shared" si="53"/>
        <v>454.5</v>
      </c>
      <c r="K685" s="238">
        <f t="shared" si="54"/>
        <v>454.5</v>
      </c>
      <c r="L685" s="294"/>
      <c r="M685" s="294">
        <f>Table432[[#This Row],[Taxable Amount]]+Table432[[#This Row],[SGST]]+Table432[[#This Row],[CGST]]</f>
        <v>5959</v>
      </c>
      <c r="N685" s="240">
        <f>Table432[[#This Row],[Taxable Amount]]*1%</f>
        <v>50.5</v>
      </c>
      <c r="O685" s="300">
        <v>126</v>
      </c>
      <c r="P685" s="242">
        <v>20667</v>
      </c>
      <c r="Q685" s="243">
        <v>46080</v>
      </c>
      <c r="R685" s="244" t="s">
        <v>1160</v>
      </c>
      <c r="S685" s="245">
        <f>Table432[[#This Row],[Invoice Amount]]-Table432[[#This Row],[TDS]]-Table432[[#This Row],[RTN]]-Table432[[#This Row],[RECIVED AMOUNT]]</f>
        <v>-14884.5</v>
      </c>
      <c r="T685" s="235"/>
      <c r="U685" s="235"/>
      <c r="V685" s="246">
        <f>Table432[[#This Row],[BALANCE]]-Table432[[#This Row],[RECIVED AMOUNT2]]</f>
        <v>-14884.5</v>
      </c>
    </row>
    <row r="686" spans="1:121" s="247" customFormat="1" ht="19.95" customHeight="1">
      <c r="A686" s="286">
        <v>46016</v>
      </c>
      <c r="B686" s="271" t="s">
        <v>977</v>
      </c>
      <c r="C686" s="235" t="s">
        <v>42</v>
      </c>
      <c r="D686" s="235" t="s">
        <v>730</v>
      </c>
      <c r="E686" s="287" t="s">
        <v>44</v>
      </c>
      <c r="F686" s="288" t="s">
        <v>26</v>
      </c>
      <c r="G686" s="236">
        <v>998531</v>
      </c>
      <c r="H686" s="237">
        <v>0.18</v>
      </c>
      <c r="I686" s="239">
        <v>45763</v>
      </c>
      <c r="J686" s="239">
        <f t="shared" si="53"/>
        <v>4118.67</v>
      </c>
      <c r="K686" s="239">
        <f t="shared" si="54"/>
        <v>4118.67</v>
      </c>
      <c r="L686" s="289"/>
      <c r="M686" s="289">
        <f>Table432[[#This Row],[Taxable Amount]]+Table432[[#This Row],[SGST]]+Table432[[#This Row],[CGST]]</f>
        <v>54000.34</v>
      </c>
      <c r="N686" s="290">
        <f>Table432[[#This Row],[Taxable Amount]]*1%</f>
        <v>457.63</v>
      </c>
      <c r="O686" s="291">
        <v>1144</v>
      </c>
      <c r="P686" s="242">
        <v>57532</v>
      </c>
      <c r="Q686" s="243">
        <v>46038</v>
      </c>
      <c r="R686" s="244" t="s">
        <v>1160</v>
      </c>
      <c r="S686" s="245">
        <f>Table432[[#This Row],[Invoice Amount]]-Table432[[#This Row],[TDS]]-Table432[[#This Row],[RTN]]-Table432[[#This Row],[RECIVED AMOUNT]]</f>
        <v>-5133.2900000000009</v>
      </c>
      <c r="T686" s="287"/>
      <c r="U686" s="287"/>
      <c r="V686" s="246">
        <f>Table432[[#This Row],[BALANCE]]-Table432[[#This Row],[RECIVED AMOUNT2]]</f>
        <v>-5133.2900000000009</v>
      </c>
    </row>
    <row r="687" spans="1:121" s="248" customFormat="1" ht="19.95" customHeight="1">
      <c r="A687" s="233">
        <v>46016</v>
      </c>
      <c r="B687" s="234" t="s">
        <v>978</v>
      </c>
      <c r="C687" s="235" t="s">
        <v>42</v>
      </c>
      <c r="D687" s="235" t="s">
        <v>730</v>
      </c>
      <c r="E687" s="235" t="s">
        <v>163</v>
      </c>
      <c r="F687" s="236" t="s">
        <v>26</v>
      </c>
      <c r="G687" s="236">
        <v>998531</v>
      </c>
      <c r="H687" s="237">
        <v>0.18</v>
      </c>
      <c r="I687" s="238">
        <v>21500</v>
      </c>
      <c r="J687" s="239">
        <f t="shared" si="53"/>
        <v>1935</v>
      </c>
      <c r="K687" s="238">
        <f t="shared" si="54"/>
        <v>1935</v>
      </c>
      <c r="L687" s="238"/>
      <c r="M687" s="238">
        <f>Table432[[#This Row],[Taxable Amount]]+Table432[[#This Row],[SGST]]+Table432[[#This Row],[CGST]]</f>
        <v>25370</v>
      </c>
      <c r="N687" s="240">
        <f>Table432[[#This Row],[Taxable Amount]]*1%</f>
        <v>215</v>
      </c>
      <c r="O687" s="241">
        <v>537</v>
      </c>
      <c r="P687" s="242">
        <v>24617</v>
      </c>
      <c r="Q687" s="243">
        <v>46050</v>
      </c>
      <c r="R687" s="132" t="s">
        <v>1160</v>
      </c>
      <c r="S687" s="245">
        <f>Table432[[#This Row],[Invoice Amount]]-Table432[[#This Row],[TDS]]-Table432[[#This Row],[RTN]]-Table432[[#This Row],[RECIVED AMOUNT]]</f>
        <v>1</v>
      </c>
      <c r="T687" s="235"/>
      <c r="U687" s="235"/>
      <c r="V687" s="246">
        <f>Table432[[#This Row],[BALANCE]]-Table432[[#This Row],[RECIVED AMOUNT2]]</f>
        <v>1</v>
      </c>
      <c r="W687" s="247"/>
      <c r="X687" s="247"/>
      <c r="Y687" s="247"/>
      <c r="Z687" s="247"/>
      <c r="AA687" s="247"/>
      <c r="AB687" s="247"/>
      <c r="AC687" s="247"/>
      <c r="AD687" s="247"/>
      <c r="AE687" s="247"/>
      <c r="AF687" s="247"/>
      <c r="AG687" s="247"/>
      <c r="AH687" s="247"/>
      <c r="AI687" s="247"/>
      <c r="AJ687" s="247"/>
      <c r="AK687" s="247"/>
      <c r="AL687" s="247"/>
      <c r="AM687" s="247"/>
      <c r="AN687" s="247"/>
      <c r="AO687" s="247"/>
      <c r="AP687" s="247"/>
      <c r="AQ687" s="247"/>
      <c r="AR687" s="247"/>
      <c r="AS687" s="247"/>
      <c r="AT687" s="247"/>
      <c r="AU687" s="247"/>
      <c r="AV687" s="247"/>
      <c r="AW687" s="247"/>
      <c r="AX687" s="247"/>
      <c r="AY687" s="247"/>
      <c r="AZ687" s="247"/>
      <c r="BA687" s="247"/>
      <c r="BB687" s="247"/>
      <c r="BC687" s="247"/>
      <c r="BD687" s="247"/>
      <c r="BE687" s="247"/>
      <c r="BF687" s="247"/>
      <c r="BG687" s="247"/>
      <c r="BH687" s="247"/>
      <c r="BI687" s="247"/>
      <c r="BJ687" s="247"/>
      <c r="BK687" s="247"/>
      <c r="BL687" s="247"/>
      <c r="BM687" s="247"/>
      <c r="BN687" s="247"/>
      <c r="BO687" s="247"/>
      <c r="BP687" s="247"/>
      <c r="BQ687" s="247"/>
      <c r="BR687" s="247"/>
      <c r="BS687" s="247"/>
      <c r="BT687" s="247"/>
      <c r="BU687" s="247"/>
      <c r="BV687" s="247"/>
      <c r="BW687" s="247"/>
      <c r="BX687" s="247"/>
      <c r="BY687" s="247"/>
      <c r="BZ687" s="247"/>
      <c r="CA687" s="247"/>
      <c r="CB687" s="247"/>
      <c r="CC687" s="247"/>
      <c r="CD687" s="247"/>
      <c r="CE687" s="247"/>
      <c r="CF687" s="247"/>
      <c r="CG687" s="247"/>
      <c r="CH687" s="247"/>
      <c r="CI687" s="247"/>
      <c r="CJ687" s="247"/>
      <c r="CK687" s="247"/>
      <c r="CL687" s="247"/>
      <c r="CM687" s="247"/>
      <c r="CN687" s="247"/>
      <c r="CO687" s="247"/>
      <c r="CP687" s="247"/>
      <c r="CQ687" s="247"/>
      <c r="CR687" s="247"/>
      <c r="CS687" s="247"/>
      <c r="CT687" s="247"/>
      <c r="CU687" s="247"/>
      <c r="CV687" s="247"/>
      <c r="CW687" s="247"/>
      <c r="CX687" s="247"/>
      <c r="CY687" s="247"/>
      <c r="CZ687" s="247"/>
      <c r="DA687" s="247"/>
      <c r="DB687" s="247"/>
      <c r="DC687" s="247"/>
      <c r="DD687" s="247"/>
      <c r="DE687" s="247"/>
      <c r="DF687" s="247"/>
      <c r="DG687" s="247"/>
      <c r="DH687" s="247"/>
      <c r="DI687" s="247"/>
      <c r="DJ687" s="247"/>
      <c r="DK687" s="247"/>
      <c r="DL687" s="247"/>
      <c r="DM687" s="247"/>
      <c r="DN687" s="247"/>
      <c r="DO687" s="247"/>
      <c r="DP687" s="247"/>
      <c r="DQ687" s="247"/>
    </row>
    <row r="688" spans="1:121" s="477" customFormat="1" ht="19.95" customHeight="1">
      <c r="A688" s="466">
        <v>46016</v>
      </c>
      <c r="B688" s="482" t="s">
        <v>979</v>
      </c>
      <c r="C688" s="468" t="s">
        <v>319</v>
      </c>
      <c r="D688" s="468" t="s">
        <v>320</v>
      </c>
      <c r="E688" s="468" t="s">
        <v>59</v>
      </c>
      <c r="F688" s="469" t="s">
        <v>26</v>
      </c>
      <c r="G688" s="469">
        <v>998531</v>
      </c>
      <c r="H688" s="470">
        <v>0.18</v>
      </c>
      <c r="I688" s="471">
        <v>28200</v>
      </c>
      <c r="J688" s="483">
        <f t="shared" si="53"/>
        <v>2538</v>
      </c>
      <c r="K688" s="471">
        <f t="shared" si="54"/>
        <v>2538</v>
      </c>
      <c r="L688" s="472"/>
      <c r="M688" s="472">
        <f>Table432[[#This Row],[Taxable Amount]]+Table432[[#This Row],[SGST]]+Table432[[#This Row],[CGST]]</f>
        <v>33276</v>
      </c>
      <c r="N688" s="473">
        <v>282</v>
      </c>
      <c r="O688" s="484"/>
      <c r="P688" s="475">
        <v>32994</v>
      </c>
      <c r="Q688" s="478">
        <v>46032</v>
      </c>
      <c r="R688" s="474" t="s">
        <v>1160</v>
      </c>
      <c r="S688" s="479">
        <f>Table432[[#This Row],[Invoice Amount]]-Table432[[#This Row],[TDS]]-Table432[[#This Row],[RTN]]-Table432[[#This Row],[RECIVED AMOUNT]]</f>
        <v>0</v>
      </c>
      <c r="T688" s="468"/>
      <c r="U688" s="468"/>
      <c r="V688" s="480">
        <f>Table432[[#This Row],[BALANCE]]-Table432[[#This Row],[RECIVED AMOUNT2]]</f>
        <v>0</v>
      </c>
      <c r="W688" s="481"/>
      <c r="X688" s="481"/>
      <c r="Y688" s="481"/>
      <c r="Z688" s="481"/>
      <c r="AA688" s="481"/>
      <c r="AB688" s="481"/>
      <c r="AC688" s="481"/>
      <c r="AD688" s="481"/>
      <c r="AE688" s="481"/>
      <c r="AF688" s="481"/>
      <c r="AG688" s="481"/>
      <c r="AH688" s="481"/>
      <c r="AI688" s="481"/>
      <c r="AJ688" s="481"/>
      <c r="AK688" s="481"/>
      <c r="AL688" s="481"/>
      <c r="AM688" s="481"/>
      <c r="AN688" s="481"/>
      <c r="AO688" s="481"/>
      <c r="AP688" s="481"/>
      <c r="AQ688" s="481"/>
      <c r="AR688" s="481"/>
      <c r="AS688" s="481"/>
      <c r="AT688" s="481"/>
      <c r="AU688" s="481"/>
      <c r="AV688" s="481"/>
      <c r="AW688" s="481"/>
      <c r="AX688" s="481"/>
      <c r="AY688" s="481"/>
      <c r="AZ688" s="481"/>
      <c r="BA688" s="481"/>
      <c r="BB688" s="481"/>
      <c r="BC688" s="481"/>
      <c r="BD688" s="481"/>
      <c r="BE688" s="481"/>
      <c r="BF688" s="481"/>
      <c r="BG688" s="481"/>
      <c r="BH688" s="481"/>
      <c r="BI688" s="481"/>
      <c r="BJ688" s="481"/>
      <c r="BK688" s="481"/>
      <c r="BL688" s="481"/>
      <c r="BM688" s="481"/>
      <c r="BN688" s="481"/>
      <c r="BO688" s="481"/>
      <c r="BP688" s="481"/>
      <c r="BQ688" s="481"/>
      <c r="BR688" s="481"/>
      <c r="BS688" s="481"/>
      <c r="BT688" s="481"/>
      <c r="BU688" s="481"/>
      <c r="BV688" s="481"/>
      <c r="BW688" s="481"/>
      <c r="BX688" s="481"/>
      <c r="BY688" s="481"/>
      <c r="BZ688" s="481"/>
      <c r="CA688" s="481"/>
      <c r="CB688" s="481"/>
      <c r="CC688" s="481"/>
      <c r="CD688" s="481"/>
      <c r="CE688" s="481"/>
      <c r="CF688" s="481"/>
      <c r="CG688" s="481"/>
      <c r="CH688" s="481"/>
      <c r="CI688" s="481"/>
      <c r="CJ688" s="481"/>
      <c r="CK688" s="481"/>
      <c r="CL688" s="481"/>
      <c r="CM688" s="481"/>
      <c r="CN688" s="481"/>
      <c r="CO688" s="481"/>
      <c r="CP688" s="481"/>
      <c r="CQ688" s="481"/>
      <c r="CR688" s="481"/>
      <c r="CS688" s="481"/>
      <c r="CT688" s="481"/>
      <c r="CU688" s="481"/>
      <c r="CV688" s="481"/>
      <c r="CW688" s="481"/>
      <c r="CX688" s="481"/>
      <c r="CY688" s="481"/>
      <c r="CZ688" s="481"/>
      <c r="DA688" s="481"/>
      <c r="DB688" s="481"/>
      <c r="DC688" s="481"/>
      <c r="DD688" s="481"/>
      <c r="DE688" s="481"/>
      <c r="DF688" s="481"/>
      <c r="DG688" s="481"/>
      <c r="DH688" s="481"/>
      <c r="DI688" s="481"/>
      <c r="DJ688" s="481"/>
      <c r="DK688" s="481"/>
      <c r="DL688" s="481"/>
      <c r="DM688" s="481"/>
      <c r="DN688" s="481"/>
      <c r="DO688" s="481"/>
      <c r="DP688" s="481"/>
      <c r="DQ688" s="481"/>
    </row>
    <row r="689" spans="1:121" s="11" customFormat="1" ht="19.95" customHeight="1">
      <c r="A689" s="226">
        <v>46016</v>
      </c>
      <c r="B689" s="7" t="s">
        <v>980</v>
      </c>
      <c r="C689" s="163" t="s">
        <v>319</v>
      </c>
      <c r="D689" s="163" t="s">
        <v>320</v>
      </c>
      <c r="E689" s="163" t="s">
        <v>59</v>
      </c>
      <c r="F689" s="137" t="s">
        <v>37</v>
      </c>
      <c r="G689" s="137">
        <v>998531</v>
      </c>
      <c r="H689" s="221">
        <v>0.18</v>
      </c>
      <c r="I689" s="214">
        <v>29770</v>
      </c>
      <c r="J689" s="229">
        <f t="shared" ref="J689" si="55">I689*9/100</f>
        <v>2679.3</v>
      </c>
      <c r="K689" s="214">
        <f t="shared" ref="K689" si="56">I689*9/100</f>
        <v>2679.3</v>
      </c>
      <c r="L689" s="222"/>
      <c r="M689" s="222">
        <f>Table432[[#This Row],[Taxable Amount]]+Table432[[#This Row],[SGST]]+Table432[[#This Row],[CGST]]</f>
        <v>35128.6</v>
      </c>
      <c r="N689" s="216"/>
      <c r="O689" s="223"/>
      <c r="P689" s="224"/>
      <c r="Q689" s="228"/>
      <c r="R689" s="225" t="s">
        <v>1160</v>
      </c>
      <c r="S689" s="93">
        <f>Table432[[#This Row],[Invoice Amount]]-Table432[[#This Row],[TDS]]-Table432[[#This Row],[RTN]]-Table432[[#This Row],[RECIVED AMOUNT]]</f>
        <v>35128.6</v>
      </c>
      <c r="T689" s="163"/>
      <c r="U689" s="163"/>
      <c r="V689" s="70">
        <f>Table432[[#This Row],[BALANCE]]-Table432[[#This Row],[RECIVED AMOUNT2]]</f>
        <v>35128.6</v>
      </c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</row>
    <row r="690" spans="1:121" s="12" customFormat="1" ht="19.95" customHeight="1">
      <c r="A690" s="128">
        <v>46018</v>
      </c>
      <c r="B690" s="3" t="s">
        <v>984</v>
      </c>
      <c r="C690" s="131" t="s">
        <v>981</v>
      </c>
      <c r="D690" s="131" t="s">
        <v>982</v>
      </c>
      <c r="E690" s="131" t="s">
        <v>983</v>
      </c>
      <c r="F690" s="136" t="s">
        <v>26</v>
      </c>
      <c r="G690" s="136">
        <v>998531</v>
      </c>
      <c r="H690" s="23">
        <v>0.18</v>
      </c>
      <c r="I690" s="129">
        <v>850</v>
      </c>
      <c r="J690" s="129">
        <f t="shared" ref="J690:J745" si="57">I690*9/100</f>
        <v>76.5</v>
      </c>
      <c r="K690" s="129">
        <f t="shared" ref="K690:K745" si="58">I690*9/100</f>
        <v>76.5</v>
      </c>
      <c r="L690" s="130"/>
      <c r="M690" s="130">
        <f>Table432[[#This Row],[Taxable Amount]]+Table432[[#This Row],[SGST]]+Table432[[#This Row],[CGST]]</f>
        <v>1003</v>
      </c>
      <c r="N690" s="161">
        <f>Table432[[#This Row],[Taxable Amount]]*1%</f>
        <v>8.5</v>
      </c>
      <c r="O690" s="132"/>
      <c r="P690" s="135"/>
      <c r="Q690" s="135" t="s">
        <v>1165</v>
      </c>
      <c r="R690" s="132" t="s">
        <v>1160</v>
      </c>
      <c r="S690" s="138">
        <f>Table432[[#This Row],[Invoice Amount]]-Table432[[#This Row],[TDS]]-Table432[[#This Row],[RTN]]-Table432[[#This Row],[RECIVED AMOUNT]]</f>
        <v>994.5</v>
      </c>
      <c r="T690" s="131"/>
      <c r="U690" s="131"/>
      <c r="V690" s="41">
        <f>Table432[[#This Row],[BALANCE]]-Table432[[#This Row],[RECIVED AMOUNT2]]</f>
        <v>994.5</v>
      </c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</row>
    <row r="691" spans="1:121" s="12" customFormat="1" ht="19.95" customHeight="1">
      <c r="A691" s="128">
        <v>46018</v>
      </c>
      <c r="B691" s="3" t="s">
        <v>985</v>
      </c>
      <c r="C691" s="131" t="s">
        <v>981</v>
      </c>
      <c r="D691" s="131" t="s">
        <v>982</v>
      </c>
      <c r="E691" s="131" t="s">
        <v>983</v>
      </c>
      <c r="F691" s="136" t="s">
        <v>26</v>
      </c>
      <c r="G691" s="136">
        <v>998531</v>
      </c>
      <c r="H691" s="23">
        <v>0.18</v>
      </c>
      <c r="I691" s="129">
        <v>850</v>
      </c>
      <c r="J691" s="129">
        <f t="shared" si="57"/>
        <v>76.5</v>
      </c>
      <c r="K691" s="129">
        <f t="shared" si="58"/>
        <v>76.5</v>
      </c>
      <c r="L691" s="130"/>
      <c r="M691" s="130">
        <f>Table432[[#This Row],[Taxable Amount]]+Table432[[#This Row],[SGST]]+Table432[[#This Row],[CGST]]</f>
        <v>1003</v>
      </c>
      <c r="N691" s="161">
        <f>Table432[[#This Row],[Taxable Amount]]*1%</f>
        <v>8.5</v>
      </c>
      <c r="O691" s="132"/>
      <c r="P691" s="135"/>
      <c r="Q691" s="135" t="s">
        <v>1165</v>
      </c>
      <c r="R691" s="132" t="s">
        <v>1160</v>
      </c>
      <c r="S691" s="138">
        <f>Table432[[#This Row],[Invoice Amount]]-Table432[[#This Row],[TDS]]-Table432[[#This Row],[RTN]]-Table432[[#This Row],[RECIVED AMOUNT]]</f>
        <v>994.5</v>
      </c>
      <c r="T691" s="131"/>
      <c r="U691" s="131"/>
      <c r="V691" s="41">
        <f>Table432[[#This Row],[BALANCE]]-Table432[[#This Row],[RECIVED AMOUNT2]]</f>
        <v>994.5</v>
      </c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</row>
    <row r="692" spans="1:121" s="12" customFormat="1" ht="19.95" customHeight="1">
      <c r="A692" s="128">
        <v>46018</v>
      </c>
      <c r="B692" s="3" t="s">
        <v>986</v>
      </c>
      <c r="C692" s="131" t="s">
        <v>981</v>
      </c>
      <c r="D692" s="131" t="s">
        <v>982</v>
      </c>
      <c r="E692" s="131" t="s">
        <v>990</v>
      </c>
      <c r="F692" s="136" t="s">
        <v>26</v>
      </c>
      <c r="G692" s="136">
        <v>998531</v>
      </c>
      <c r="H692" s="23">
        <v>0.18</v>
      </c>
      <c r="I692" s="129">
        <v>1500</v>
      </c>
      <c r="J692" s="129">
        <f t="shared" si="57"/>
        <v>135</v>
      </c>
      <c r="K692" s="129">
        <f t="shared" si="58"/>
        <v>135</v>
      </c>
      <c r="L692" s="130"/>
      <c r="M692" s="130">
        <f>Table432[[#This Row],[Taxable Amount]]+Table432[[#This Row],[SGST]]+Table432[[#This Row],[CGST]]</f>
        <v>1770</v>
      </c>
      <c r="N692" s="161">
        <f>Table432[[#This Row],[Taxable Amount]]*1%</f>
        <v>15</v>
      </c>
      <c r="O692" s="132"/>
      <c r="P692" s="135"/>
      <c r="Q692" s="135" t="s">
        <v>1165</v>
      </c>
      <c r="R692" s="132" t="s">
        <v>1160</v>
      </c>
      <c r="S692" s="138">
        <f>Table432[[#This Row],[Invoice Amount]]-Table432[[#This Row],[TDS]]-Table432[[#This Row],[RTN]]-Table432[[#This Row],[RECIVED AMOUNT]]</f>
        <v>1755</v>
      </c>
      <c r="T692" s="131"/>
      <c r="U692" s="131"/>
      <c r="V692" s="41">
        <f>Table432[[#This Row],[BALANCE]]-Table432[[#This Row],[RECIVED AMOUNT2]]</f>
        <v>1755</v>
      </c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</row>
    <row r="693" spans="1:121" s="12" customFormat="1" ht="19.95" customHeight="1">
      <c r="A693" s="128">
        <v>46020</v>
      </c>
      <c r="B693" s="3" t="s">
        <v>987</v>
      </c>
      <c r="C693" s="131" t="s">
        <v>981</v>
      </c>
      <c r="D693" s="131" t="s">
        <v>982</v>
      </c>
      <c r="E693" s="131" t="s">
        <v>991</v>
      </c>
      <c r="F693" s="136" t="s">
        <v>26</v>
      </c>
      <c r="G693" s="136">
        <v>998531</v>
      </c>
      <c r="H693" s="23">
        <v>0.18</v>
      </c>
      <c r="I693" s="129">
        <v>1500</v>
      </c>
      <c r="J693" s="129">
        <f t="shared" si="57"/>
        <v>135</v>
      </c>
      <c r="K693" s="129">
        <f t="shared" si="58"/>
        <v>135</v>
      </c>
      <c r="L693" s="130"/>
      <c r="M693" s="130">
        <f>Table432[[#This Row],[Taxable Amount]]+Table432[[#This Row],[SGST]]+Table432[[#This Row],[CGST]]</f>
        <v>1770</v>
      </c>
      <c r="N693" s="161">
        <f>Table432[[#This Row],[Taxable Amount]]*1%</f>
        <v>15</v>
      </c>
      <c r="O693" s="132"/>
      <c r="P693" s="135"/>
      <c r="Q693" s="135" t="s">
        <v>1165</v>
      </c>
      <c r="R693" s="132" t="s">
        <v>1160</v>
      </c>
      <c r="S693" s="138">
        <f>Table432[[#This Row],[Invoice Amount]]-Table432[[#This Row],[TDS]]-Table432[[#This Row],[RTN]]-Table432[[#This Row],[RECIVED AMOUNT]]</f>
        <v>1755</v>
      </c>
      <c r="T693" s="131"/>
      <c r="U693" s="131"/>
      <c r="V693" s="41">
        <f>Table432[[#This Row],[BALANCE]]-Table432[[#This Row],[RECIVED AMOUNT2]]</f>
        <v>1755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</row>
    <row r="694" spans="1:121" s="12" customFormat="1" ht="19.95" customHeight="1">
      <c r="A694" s="128">
        <v>46020</v>
      </c>
      <c r="B694" s="3" t="s">
        <v>988</v>
      </c>
      <c r="C694" s="131" t="s">
        <v>981</v>
      </c>
      <c r="D694" s="131" t="s">
        <v>982</v>
      </c>
      <c r="E694" s="131" t="s">
        <v>991</v>
      </c>
      <c r="F694" s="136" t="s">
        <v>26</v>
      </c>
      <c r="G694" s="136">
        <v>998531</v>
      </c>
      <c r="H694" s="23">
        <v>0.18</v>
      </c>
      <c r="I694" s="129">
        <v>850</v>
      </c>
      <c r="J694" s="129">
        <f t="shared" si="57"/>
        <v>76.5</v>
      </c>
      <c r="K694" s="129">
        <f t="shared" si="58"/>
        <v>76.5</v>
      </c>
      <c r="L694" s="130"/>
      <c r="M694" s="130">
        <f>Table432[[#This Row],[Taxable Amount]]+Table432[[#This Row],[SGST]]+Table432[[#This Row],[CGST]]</f>
        <v>1003</v>
      </c>
      <c r="N694" s="161">
        <f>Table432[[#This Row],[Taxable Amount]]*1%</f>
        <v>8.5</v>
      </c>
      <c r="O694" s="132"/>
      <c r="P694" s="135"/>
      <c r="Q694" s="135" t="s">
        <v>1165</v>
      </c>
      <c r="R694" s="132" t="s">
        <v>1160</v>
      </c>
      <c r="S694" s="138">
        <f>Table432[[#This Row],[Invoice Amount]]-Table432[[#This Row],[TDS]]-Table432[[#This Row],[RTN]]-Table432[[#This Row],[RECIVED AMOUNT]]</f>
        <v>994.5</v>
      </c>
      <c r="T694" s="131"/>
      <c r="U694" s="131"/>
      <c r="V694" s="41">
        <f>Table432[[#This Row],[BALANCE]]-Table432[[#This Row],[RECIVED AMOUNT2]]</f>
        <v>994.5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</row>
    <row r="695" spans="1:121" s="12" customFormat="1" ht="19.95" customHeight="1">
      <c r="A695" s="128">
        <v>46020</v>
      </c>
      <c r="B695" s="3" t="s">
        <v>989</v>
      </c>
      <c r="C695" s="131" t="s">
        <v>981</v>
      </c>
      <c r="D695" s="131" t="s">
        <v>982</v>
      </c>
      <c r="E695" s="131" t="s">
        <v>992</v>
      </c>
      <c r="F695" s="136" t="s">
        <v>26</v>
      </c>
      <c r="G695" s="136">
        <v>998531</v>
      </c>
      <c r="H695" s="23">
        <v>0.18</v>
      </c>
      <c r="I695" s="129">
        <v>850</v>
      </c>
      <c r="J695" s="129">
        <f t="shared" si="57"/>
        <v>76.5</v>
      </c>
      <c r="K695" s="129">
        <f t="shared" si="58"/>
        <v>76.5</v>
      </c>
      <c r="L695" s="130"/>
      <c r="M695" s="130">
        <f>Table432[[#This Row],[Taxable Amount]]+Table432[[#This Row],[SGST]]+Table432[[#This Row],[CGST]]</f>
        <v>1003</v>
      </c>
      <c r="N695" s="161">
        <f>Table432[[#This Row],[Taxable Amount]]*1%</f>
        <v>8.5</v>
      </c>
      <c r="O695" s="132"/>
      <c r="P695" s="135"/>
      <c r="Q695" s="135" t="s">
        <v>1165</v>
      </c>
      <c r="R695" s="132" t="s">
        <v>1160</v>
      </c>
      <c r="S695" s="138">
        <f>Table432[[#This Row],[Invoice Amount]]-Table432[[#This Row],[TDS]]-Table432[[#This Row],[RTN]]-Table432[[#This Row],[RECIVED AMOUNT]]</f>
        <v>994.5</v>
      </c>
      <c r="T695" s="131"/>
      <c r="U695" s="131"/>
      <c r="V695" s="41">
        <f>Table432[[#This Row],[BALANCE]]-Table432[[#This Row],[RECIVED AMOUNT2]]</f>
        <v>994.5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</row>
    <row r="696" spans="1:121" s="12" customFormat="1" ht="19.95" customHeight="1">
      <c r="A696" s="128">
        <v>46020</v>
      </c>
      <c r="B696" s="3" t="s">
        <v>993</v>
      </c>
      <c r="C696" s="131" t="s">
        <v>981</v>
      </c>
      <c r="D696" s="131" t="s">
        <v>982</v>
      </c>
      <c r="E696" s="131" t="s">
        <v>59</v>
      </c>
      <c r="F696" s="136" t="s">
        <v>26</v>
      </c>
      <c r="G696" s="136">
        <v>998531</v>
      </c>
      <c r="H696" s="23">
        <v>0.18</v>
      </c>
      <c r="I696" s="129">
        <v>850</v>
      </c>
      <c r="J696" s="129">
        <f t="shared" si="57"/>
        <v>76.5</v>
      </c>
      <c r="K696" s="129">
        <f t="shared" si="58"/>
        <v>76.5</v>
      </c>
      <c r="L696" s="130"/>
      <c r="M696" s="130">
        <f>Table432[[#This Row],[Taxable Amount]]+Table432[[#This Row],[SGST]]+Table432[[#This Row],[CGST]]</f>
        <v>1003</v>
      </c>
      <c r="N696" s="161">
        <f>Table432[[#This Row],[Taxable Amount]]*1%</f>
        <v>8.5</v>
      </c>
      <c r="O696" s="132"/>
      <c r="P696" s="135">
        <v>8555</v>
      </c>
      <c r="Q696" s="135" t="s">
        <v>1165</v>
      </c>
      <c r="R696" s="132" t="s">
        <v>1160</v>
      </c>
      <c r="S696" s="138">
        <f>Table432[[#This Row],[Invoice Amount]]-Table432[[#This Row],[TDS]]-Table432[[#This Row],[RTN]]-Table432[[#This Row],[RECIVED AMOUNT]]</f>
        <v>-7560.5</v>
      </c>
      <c r="T696" s="131"/>
      <c r="U696" s="131"/>
      <c r="V696" s="41">
        <f>Table432[[#This Row],[BALANCE]]-Table432[[#This Row],[RECIVED AMOUNT2]]</f>
        <v>-7560.5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</row>
    <row r="697" spans="1:121" s="477" customFormat="1" ht="19.95" customHeight="1">
      <c r="A697" s="466">
        <v>46022</v>
      </c>
      <c r="B697" s="482" t="s">
        <v>994</v>
      </c>
      <c r="C697" s="468" t="s">
        <v>319</v>
      </c>
      <c r="D697" s="468" t="s">
        <v>320</v>
      </c>
      <c r="E697" s="468" t="s">
        <v>85</v>
      </c>
      <c r="F697" s="469" t="s">
        <v>26</v>
      </c>
      <c r="G697" s="469">
        <v>998531</v>
      </c>
      <c r="H697" s="470">
        <v>0.18</v>
      </c>
      <c r="I697" s="471">
        <v>17900</v>
      </c>
      <c r="J697" s="483">
        <f t="shared" si="57"/>
        <v>1611</v>
      </c>
      <c r="K697" s="471">
        <f t="shared" si="58"/>
        <v>1611</v>
      </c>
      <c r="L697" s="472"/>
      <c r="M697" s="472">
        <f>Table432[[#This Row],[Taxable Amount]]+Table432[[#This Row],[SGST]]+Table432[[#This Row],[CGST]]</f>
        <v>21122</v>
      </c>
      <c r="N697" s="473">
        <f>Table432[[#This Row],[Taxable Amount]]*1%</f>
        <v>179</v>
      </c>
      <c r="O697" s="484"/>
      <c r="P697" s="475">
        <v>20943</v>
      </c>
      <c r="Q697" s="478">
        <v>46093</v>
      </c>
      <c r="R697" s="474" t="s">
        <v>1160</v>
      </c>
      <c r="S697" s="479">
        <f>Table432[[#This Row],[Invoice Amount]]-Table432[[#This Row],[TDS]]-Table432[[#This Row],[RTN]]-Table432[[#This Row],[RECIVED AMOUNT]]</f>
        <v>0</v>
      </c>
      <c r="T697" s="468"/>
      <c r="U697" s="468"/>
      <c r="V697" s="480">
        <f>Table432[[#This Row],[BALANCE]]-Table432[[#This Row],[RECIVED AMOUNT2]]</f>
        <v>0</v>
      </c>
      <c r="W697" s="481"/>
      <c r="X697" s="481"/>
      <c r="Y697" s="481"/>
      <c r="Z697" s="481"/>
      <c r="AA697" s="481"/>
      <c r="AB697" s="481"/>
      <c r="AC697" s="481"/>
      <c r="AD697" s="481"/>
      <c r="AE697" s="481"/>
      <c r="AF697" s="481"/>
      <c r="AG697" s="481"/>
      <c r="AH697" s="481"/>
      <c r="AI697" s="481"/>
      <c r="AJ697" s="481"/>
      <c r="AK697" s="481"/>
      <c r="AL697" s="481"/>
      <c r="AM697" s="481"/>
      <c r="AN697" s="481"/>
      <c r="AO697" s="481"/>
      <c r="AP697" s="481"/>
      <c r="AQ697" s="481"/>
      <c r="AR697" s="481"/>
      <c r="AS697" s="481"/>
      <c r="AT697" s="481"/>
      <c r="AU697" s="481"/>
      <c r="AV697" s="481"/>
      <c r="AW697" s="481"/>
      <c r="AX697" s="481"/>
      <c r="AY697" s="481"/>
      <c r="AZ697" s="481"/>
      <c r="BA697" s="481"/>
      <c r="BB697" s="481"/>
      <c r="BC697" s="481"/>
      <c r="BD697" s="481"/>
      <c r="BE697" s="481"/>
      <c r="BF697" s="481"/>
      <c r="BG697" s="481"/>
      <c r="BH697" s="481"/>
      <c r="BI697" s="481"/>
      <c r="BJ697" s="481"/>
      <c r="BK697" s="481"/>
      <c r="BL697" s="481"/>
      <c r="BM697" s="481"/>
      <c r="BN697" s="481"/>
      <c r="BO697" s="481"/>
      <c r="BP697" s="481"/>
      <c r="BQ697" s="481"/>
      <c r="BR697" s="481"/>
      <c r="BS697" s="481"/>
      <c r="BT697" s="481"/>
      <c r="BU697" s="481"/>
      <c r="BV697" s="481"/>
      <c r="BW697" s="481"/>
      <c r="BX697" s="481"/>
      <c r="BY697" s="481"/>
      <c r="BZ697" s="481"/>
      <c r="CA697" s="481"/>
      <c r="CB697" s="481"/>
      <c r="CC697" s="481"/>
      <c r="CD697" s="481"/>
      <c r="CE697" s="481"/>
      <c r="CF697" s="481"/>
      <c r="CG697" s="481"/>
      <c r="CH697" s="481"/>
      <c r="CI697" s="481"/>
      <c r="CJ697" s="481"/>
      <c r="CK697" s="481"/>
      <c r="CL697" s="481"/>
      <c r="CM697" s="481"/>
      <c r="CN697" s="481"/>
      <c r="CO697" s="481"/>
      <c r="CP697" s="481"/>
      <c r="CQ697" s="481"/>
      <c r="CR697" s="481"/>
      <c r="CS697" s="481"/>
      <c r="CT697" s="481"/>
      <c r="CU697" s="481"/>
      <c r="CV697" s="481"/>
      <c r="CW697" s="481"/>
      <c r="CX697" s="481"/>
      <c r="CY697" s="481"/>
      <c r="CZ697" s="481"/>
      <c r="DA697" s="481"/>
      <c r="DB697" s="481"/>
      <c r="DC697" s="481"/>
      <c r="DD697" s="481"/>
      <c r="DE697" s="481"/>
      <c r="DF697" s="481"/>
      <c r="DG697" s="481"/>
      <c r="DH697" s="481"/>
      <c r="DI697" s="481"/>
      <c r="DJ697" s="481"/>
      <c r="DK697" s="481"/>
      <c r="DL697" s="481"/>
      <c r="DM697" s="481"/>
      <c r="DN697" s="481"/>
      <c r="DO697" s="481"/>
      <c r="DP697" s="481"/>
      <c r="DQ697" s="481"/>
    </row>
    <row r="698" spans="1:121" s="12" customFormat="1" ht="19.95" customHeight="1">
      <c r="A698" s="128">
        <v>46022</v>
      </c>
      <c r="B698" s="3" t="s">
        <v>995</v>
      </c>
      <c r="C698" s="131" t="s">
        <v>319</v>
      </c>
      <c r="D698" s="131" t="s">
        <v>320</v>
      </c>
      <c r="E698" s="131" t="s">
        <v>89</v>
      </c>
      <c r="F698" s="136" t="s">
        <v>26</v>
      </c>
      <c r="G698" s="136">
        <v>998531</v>
      </c>
      <c r="H698" s="23">
        <v>0.18</v>
      </c>
      <c r="I698" s="129">
        <v>33550</v>
      </c>
      <c r="J698" s="167">
        <f t="shared" si="57"/>
        <v>3019.5</v>
      </c>
      <c r="K698" s="129">
        <f t="shared" si="58"/>
        <v>3019.5</v>
      </c>
      <c r="L698" s="130"/>
      <c r="M698" s="130">
        <f>Table432[[#This Row],[Taxable Amount]]+Table432[[#This Row],[SGST]]+Table432[[#This Row],[CGST]]</f>
        <v>39589</v>
      </c>
      <c r="N698" s="161">
        <f>Table432[[#This Row],[Taxable Amount]]*1%</f>
        <v>335.5</v>
      </c>
      <c r="O698" s="185"/>
      <c r="P698" s="135"/>
      <c r="Q698" s="135"/>
      <c r="R698" s="132" t="s">
        <v>1160</v>
      </c>
      <c r="S698" s="138">
        <f>Table432[[#This Row],[Invoice Amount]]-Table432[[#This Row],[TDS]]-Table432[[#This Row],[RTN]]-Table432[[#This Row],[RECIVED AMOUNT]]</f>
        <v>39253.5</v>
      </c>
      <c r="T698" s="131"/>
      <c r="U698" s="131"/>
      <c r="V698" s="41">
        <f>Table432[[#This Row],[BALANCE]]-Table432[[#This Row],[RECIVED AMOUNT2]]</f>
        <v>39253.5</v>
      </c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</row>
    <row r="699" spans="1:121" s="12" customFormat="1" ht="19.95" customHeight="1">
      <c r="A699" s="128">
        <v>46022</v>
      </c>
      <c r="B699" s="3" t="s">
        <v>996</v>
      </c>
      <c r="C699" s="21" t="s">
        <v>116</v>
      </c>
      <c r="D699" s="131" t="s">
        <v>117</v>
      </c>
      <c r="E699" s="131" t="s">
        <v>59</v>
      </c>
      <c r="F699" s="136" t="s">
        <v>26</v>
      </c>
      <c r="G699" s="136">
        <v>998531</v>
      </c>
      <c r="H699" s="23">
        <v>0.18</v>
      </c>
      <c r="I699" s="129">
        <v>17300</v>
      </c>
      <c r="J699" s="167">
        <f t="shared" si="57"/>
        <v>1557</v>
      </c>
      <c r="K699" s="129">
        <f t="shared" si="58"/>
        <v>1557</v>
      </c>
      <c r="L699" s="130"/>
      <c r="M699" s="130">
        <f>Table432[[#This Row],[Taxable Amount]]+Table432[[#This Row],[SGST]]+Table432[[#This Row],[CGST]]</f>
        <v>20414</v>
      </c>
      <c r="N699" s="161">
        <f>Table432[[#This Row],[Taxable Amount]]*1%</f>
        <v>173</v>
      </c>
      <c r="O699" s="157">
        <v>0</v>
      </c>
      <c r="P699" s="148">
        <v>20241</v>
      </c>
      <c r="Q699" s="205">
        <v>46072</v>
      </c>
      <c r="R699" s="132" t="s">
        <v>1160</v>
      </c>
      <c r="S699" s="138">
        <f>Table432[[#This Row],[Invoice Amount]]-Table432[[#This Row],[TDS]]-Table432[[#This Row],[RTN]]-Table432[[#This Row],[RECIVED AMOUNT]]</f>
        <v>0</v>
      </c>
      <c r="T699" s="131"/>
      <c r="U699" s="131"/>
      <c r="V699" s="41">
        <f>Table432[[#This Row],[BALANCE]]-Table432[[#This Row],[RECIVED AMOUNT2]]</f>
        <v>0</v>
      </c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</row>
    <row r="700" spans="1:121" s="12" customFormat="1" ht="19.95" customHeight="1">
      <c r="A700" s="128">
        <v>46022</v>
      </c>
      <c r="B700" s="3" t="s">
        <v>997</v>
      </c>
      <c r="C700" s="131" t="s">
        <v>390</v>
      </c>
      <c r="D700" s="131" t="s">
        <v>391</v>
      </c>
      <c r="E700" s="131" t="s">
        <v>260</v>
      </c>
      <c r="F700" s="136" t="s">
        <v>26</v>
      </c>
      <c r="G700" s="136">
        <v>998531</v>
      </c>
      <c r="H700" s="23">
        <v>0.18</v>
      </c>
      <c r="I700" s="129">
        <v>1205.1600000000001</v>
      </c>
      <c r="J700" s="167">
        <f t="shared" si="57"/>
        <v>108.46440000000001</v>
      </c>
      <c r="K700" s="129">
        <f t="shared" si="58"/>
        <v>108.46440000000001</v>
      </c>
      <c r="L700" s="130"/>
      <c r="M700" s="130">
        <f>Table432[[#This Row],[Taxable Amount]]+Table432[[#This Row],[SGST]]+Table432[[#This Row],[CGST]]</f>
        <v>1422.0888000000002</v>
      </c>
      <c r="N700" s="161">
        <f>Table432[[#This Row],[Taxable Amount]]*1%</f>
        <v>12.051600000000001</v>
      </c>
      <c r="O700" s="185"/>
      <c r="P700" s="135"/>
      <c r="Q700" s="205">
        <v>46108</v>
      </c>
      <c r="R700" s="132" t="s">
        <v>1160</v>
      </c>
      <c r="S700" s="138">
        <f>Table432[[#This Row],[Invoice Amount]]-Table432[[#This Row],[TDS]]-Table432[[#This Row],[RTN]]-Table432[[#This Row],[RECIVED AMOUNT]]</f>
        <v>1410.0372000000002</v>
      </c>
      <c r="T700" s="131"/>
      <c r="U700" s="131"/>
      <c r="V700" s="41">
        <f>Table432[[#This Row],[BALANCE]]-Table432[[#This Row],[RECIVED AMOUNT2]]</f>
        <v>1410.0372000000002</v>
      </c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</row>
    <row r="701" spans="1:121" s="12" customFormat="1" ht="19.95" customHeight="1">
      <c r="A701" s="128">
        <v>46022</v>
      </c>
      <c r="B701" s="3" t="s">
        <v>998</v>
      </c>
      <c r="C701" s="131" t="s">
        <v>390</v>
      </c>
      <c r="D701" s="131" t="s">
        <v>391</v>
      </c>
      <c r="E701" s="131" t="s">
        <v>260</v>
      </c>
      <c r="F701" s="136" t="s">
        <v>26</v>
      </c>
      <c r="G701" s="136">
        <v>998531</v>
      </c>
      <c r="H701" s="23">
        <v>0.18</v>
      </c>
      <c r="I701" s="129">
        <v>1448.35</v>
      </c>
      <c r="J701" s="167">
        <f t="shared" si="57"/>
        <v>130.35149999999999</v>
      </c>
      <c r="K701" s="129">
        <f t="shared" si="58"/>
        <v>130.35149999999999</v>
      </c>
      <c r="L701" s="130"/>
      <c r="M701" s="130">
        <f>Table432[[#This Row],[Taxable Amount]]+Table432[[#This Row],[SGST]]+Table432[[#This Row],[CGST]]</f>
        <v>1709.0529999999999</v>
      </c>
      <c r="N701" s="161">
        <f>Table432[[#This Row],[Taxable Amount]]*1%</f>
        <v>14.483499999999999</v>
      </c>
      <c r="O701" s="185"/>
      <c r="P701" s="135"/>
      <c r="Q701" s="205">
        <v>46108</v>
      </c>
      <c r="R701" s="132" t="s">
        <v>1160</v>
      </c>
      <c r="S701" s="138">
        <f>Table432[[#This Row],[Invoice Amount]]-Table432[[#This Row],[TDS]]-Table432[[#This Row],[RTN]]-Table432[[#This Row],[RECIVED AMOUNT]]</f>
        <v>1694.5694999999998</v>
      </c>
      <c r="T701" s="131"/>
      <c r="U701" s="131"/>
      <c r="V701" s="41">
        <f>Table432[[#This Row],[BALANCE]]-Table432[[#This Row],[RECIVED AMOUNT2]]</f>
        <v>1694.5694999999998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</row>
    <row r="702" spans="1:121" s="12" customFormat="1" ht="19.95" customHeight="1">
      <c r="A702" s="128">
        <v>46022</v>
      </c>
      <c r="B702" s="3" t="s">
        <v>999</v>
      </c>
      <c r="C702" s="131" t="s">
        <v>390</v>
      </c>
      <c r="D702" s="131" t="s">
        <v>391</v>
      </c>
      <c r="E702" s="131" t="s">
        <v>260</v>
      </c>
      <c r="F702" s="136" t="s">
        <v>26</v>
      </c>
      <c r="G702" s="136">
        <v>998531</v>
      </c>
      <c r="H702" s="23">
        <v>0.18</v>
      </c>
      <c r="I702" s="129">
        <v>2008.6</v>
      </c>
      <c r="J702" s="167">
        <f t="shared" si="57"/>
        <v>180.77399999999997</v>
      </c>
      <c r="K702" s="129">
        <f t="shared" si="58"/>
        <v>180.77399999999997</v>
      </c>
      <c r="L702" s="130"/>
      <c r="M702" s="130">
        <f>Table432[[#This Row],[Taxable Amount]]+Table432[[#This Row],[SGST]]+Table432[[#This Row],[CGST]]</f>
        <v>2370.1479999999997</v>
      </c>
      <c r="N702" s="161">
        <f>Table432[[#This Row],[Taxable Amount]]*1%</f>
        <v>20.085999999999999</v>
      </c>
      <c r="O702" s="185"/>
      <c r="P702" s="135"/>
      <c r="Q702" s="205">
        <v>46108</v>
      </c>
      <c r="R702" s="132" t="s">
        <v>1160</v>
      </c>
      <c r="S702" s="138">
        <f>Table432[[#This Row],[Invoice Amount]]-Table432[[#This Row],[TDS]]-Table432[[#This Row],[RTN]]-Table432[[#This Row],[RECIVED AMOUNT]]</f>
        <v>2350.0619999999999</v>
      </c>
      <c r="T702" s="131"/>
      <c r="U702" s="131"/>
      <c r="V702" s="41">
        <f>Table432[[#This Row],[BALANCE]]-Table432[[#This Row],[RECIVED AMOUNT2]]</f>
        <v>2350.0619999999999</v>
      </c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</row>
    <row r="703" spans="1:121" s="12" customFormat="1" ht="19.95" customHeight="1">
      <c r="A703" s="128">
        <v>46022</v>
      </c>
      <c r="B703" s="3" t="s">
        <v>1000</v>
      </c>
      <c r="C703" s="131" t="s">
        <v>390</v>
      </c>
      <c r="D703" s="131" t="s">
        <v>391</v>
      </c>
      <c r="E703" s="131" t="s">
        <v>260</v>
      </c>
      <c r="F703" s="136" t="s">
        <v>26</v>
      </c>
      <c r="G703" s="136">
        <v>998531</v>
      </c>
      <c r="H703" s="23">
        <v>0.18</v>
      </c>
      <c r="I703" s="129">
        <v>1035.8399999999999</v>
      </c>
      <c r="J703" s="167">
        <f t="shared" si="57"/>
        <v>93.2256</v>
      </c>
      <c r="K703" s="129">
        <f t="shared" si="58"/>
        <v>93.2256</v>
      </c>
      <c r="L703" s="130"/>
      <c r="M703" s="130">
        <f>Table432[[#This Row],[Taxable Amount]]+Table432[[#This Row],[SGST]]+Table432[[#This Row],[CGST]]</f>
        <v>1222.2911999999999</v>
      </c>
      <c r="N703" s="161">
        <f>Table432[[#This Row],[Taxable Amount]]*1%</f>
        <v>10.3584</v>
      </c>
      <c r="O703" s="185"/>
      <c r="P703" s="135"/>
      <c r="Q703" s="205">
        <v>46108</v>
      </c>
      <c r="R703" s="132" t="s">
        <v>1160</v>
      </c>
      <c r="S703" s="138">
        <f>Table432[[#This Row],[Invoice Amount]]-Table432[[#This Row],[TDS]]-Table432[[#This Row],[RTN]]-Table432[[#This Row],[RECIVED AMOUNT]]</f>
        <v>1211.9327999999998</v>
      </c>
      <c r="T703" s="131"/>
      <c r="U703" s="131"/>
      <c r="V703" s="41">
        <f>Table432[[#This Row],[BALANCE]]-Table432[[#This Row],[RECIVED AMOUNT2]]</f>
        <v>1211.9327999999998</v>
      </c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</row>
    <row r="704" spans="1:121" s="12" customFormat="1" ht="19.95" customHeight="1">
      <c r="A704" s="128">
        <v>46022</v>
      </c>
      <c r="B704" s="3" t="s">
        <v>1001</v>
      </c>
      <c r="C704" s="131" t="s">
        <v>390</v>
      </c>
      <c r="D704" s="131" t="s">
        <v>391</v>
      </c>
      <c r="E704" s="131" t="s">
        <v>260</v>
      </c>
      <c r="F704" s="136" t="s">
        <v>26</v>
      </c>
      <c r="G704" s="136">
        <v>998531</v>
      </c>
      <c r="H704" s="23">
        <v>0.18</v>
      </c>
      <c r="I704" s="129">
        <v>972.76</v>
      </c>
      <c r="J704" s="167">
        <f t="shared" si="57"/>
        <v>87.548400000000001</v>
      </c>
      <c r="K704" s="129">
        <f t="shared" si="58"/>
        <v>87.548400000000001</v>
      </c>
      <c r="L704" s="130"/>
      <c r="M704" s="130">
        <f>Table432[[#This Row],[Taxable Amount]]+Table432[[#This Row],[SGST]]+Table432[[#This Row],[CGST]]</f>
        <v>1147.8567999999998</v>
      </c>
      <c r="N704" s="161">
        <f>Table432[[#This Row],[Taxable Amount]]*1%</f>
        <v>9.7276000000000007</v>
      </c>
      <c r="O704" s="185"/>
      <c r="P704" s="135"/>
      <c r="Q704" s="205">
        <v>46108</v>
      </c>
      <c r="R704" s="132" t="s">
        <v>1160</v>
      </c>
      <c r="S704" s="138">
        <f>Table432[[#This Row],[Invoice Amount]]-Table432[[#This Row],[TDS]]-Table432[[#This Row],[RTN]]-Table432[[#This Row],[RECIVED AMOUNT]]</f>
        <v>1138.1291999999999</v>
      </c>
      <c r="T704" s="131"/>
      <c r="U704" s="131"/>
      <c r="V704" s="41">
        <f>Table432[[#This Row],[BALANCE]]-Table432[[#This Row],[RECIVED AMOUNT2]]</f>
        <v>1138.1291999999999</v>
      </c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</row>
    <row r="705" spans="1:121" s="12" customFormat="1" ht="19.95" customHeight="1">
      <c r="A705" s="128">
        <v>46022</v>
      </c>
      <c r="B705" s="3" t="s">
        <v>1002</v>
      </c>
      <c r="C705" s="131" t="s">
        <v>390</v>
      </c>
      <c r="D705" s="131" t="s">
        <v>391</v>
      </c>
      <c r="E705" s="131" t="s">
        <v>260</v>
      </c>
      <c r="F705" s="136" t="s">
        <v>26</v>
      </c>
      <c r="G705" s="136">
        <v>998531</v>
      </c>
      <c r="H705" s="23">
        <v>0.18</v>
      </c>
      <c r="I705" s="129">
        <v>930.43</v>
      </c>
      <c r="J705" s="167">
        <f t="shared" si="57"/>
        <v>83.738699999999994</v>
      </c>
      <c r="K705" s="129">
        <f t="shared" si="58"/>
        <v>83.738699999999994</v>
      </c>
      <c r="L705" s="130"/>
      <c r="M705" s="130">
        <f>Table432[[#This Row],[Taxable Amount]]+Table432[[#This Row],[SGST]]+Table432[[#This Row],[CGST]]</f>
        <v>1097.9074000000001</v>
      </c>
      <c r="N705" s="161">
        <f>Table432[[#This Row],[Taxable Amount]]*1%</f>
        <v>9.3042999999999996</v>
      </c>
      <c r="O705" s="185"/>
      <c r="P705" s="135"/>
      <c r="Q705" s="205">
        <v>46108</v>
      </c>
      <c r="R705" s="132" t="s">
        <v>1160</v>
      </c>
      <c r="S705" s="138">
        <f>Table432[[#This Row],[Invoice Amount]]-Table432[[#This Row],[TDS]]-Table432[[#This Row],[RTN]]-Table432[[#This Row],[RECIVED AMOUNT]]</f>
        <v>1088.6031</v>
      </c>
      <c r="T705" s="131"/>
      <c r="U705" s="131"/>
      <c r="V705" s="41">
        <f>Table432[[#This Row],[BALANCE]]-Table432[[#This Row],[RECIVED AMOUNT2]]</f>
        <v>1088.6031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</row>
    <row r="706" spans="1:121" s="12" customFormat="1" ht="19.95" customHeight="1">
      <c r="A706" s="128">
        <v>46022</v>
      </c>
      <c r="B706" s="3" t="s">
        <v>1003</v>
      </c>
      <c r="C706" s="131" t="s">
        <v>390</v>
      </c>
      <c r="D706" s="131" t="s">
        <v>391</v>
      </c>
      <c r="E706" s="131" t="s">
        <v>260</v>
      </c>
      <c r="F706" s="136" t="s">
        <v>26</v>
      </c>
      <c r="G706" s="136">
        <v>998531</v>
      </c>
      <c r="H706" s="23">
        <v>0.18</v>
      </c>
      <c r="I706" s="129">
        <v>698.86</v>
      </c>
      <c r="J706" s="167">
        <f t="shared" si="57"/>
        <v>62.897399999999998</v>
      </c>
      <c r="K706" s="129">
        <f t="shared" si="58"/>
        <v>62.897399999999998</v>
      </c>
      <c r="L706" s="130"/>
      <c r="M706" s="130">
        <f>Table432[[#This Row],[Taxable Amount]]+Table432[[#This Row],[SGST]]+Table432[[#This Row],[CGST]]</f>
        <v>824.65479999999991</v>
      </c>
      <c r="N706" s="161">
        <f>Table432[[#This Row],[Taxable Amount]]*1%</f>
        <v>6.9885999999999999</v>
      </c>
      <c r="O706" s="185"/>
      <c r="P706" s="135">
        <v>9712</v>
      </c>
      <c r="Q706" s="205">
        <v>46108</v>
      </c>
      <c r="R706" s="132" t="s">
        <v>1160</v>
      </c>
      <c r="S706" s="138">
        <f>Table432[[#This Row],[Invoice Amount]]-Table432[[#This Row],[TDS]]-Table432[[#This Row],[RTN]]-Table432[[#This Row],[RECIVED AMOUNT]]</f>
        <v>-8894.3338000000003</v>
      </c>
      <c r="T706" s="131"/>
      <c r="U706" s="131"/>
      <c r="V706" s="41">
        <f>Table432[[#This Row],[BALANCE]]-Table432[[#This Row],[RECIVED AMOUNT2]]</f>
        <v>-8894.3338000000003</v>
      </c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</row>
    <row r="707" spans="1:121" s="12" customFormat="1" ht="19.95" customHeight="1">
      <c r="A707" s="128">
        <v>46022</v>
      </c>
      <c r="B707" s="3" t="s">
        <v>1004</v>
      </c>
      <c r="C707" s="131" t="s">
        <v>290</v>
      </c>
      <c r="D707" s="131" t="s">
        <v>291</v>
      </c>
      <c r="E707" s="131" t="s">
        <v>25</v>
      </c>
      <c r="F707" s="136" t="s">
        <v>26</v>
      </c>
      <c r="G707" s="136">
        <v>998531</v>
      </c>
      <c r="H707" s="23">
        <v>0.18</v>
      </c>
      <c r="I707" s="129">
        <v>3000</v>
      </c>
      <c r="J707" s="167">
        <f t="shared" si="57"/>
        <v>270</v>
      </c>
      <c r="K707" s="129">
        <f t="shared" si="58"/>
        <v>270</v>
      </c>
      <c r="L707" s="130"/>
      <c r="M707" s="130">
        <f>Table432[[#This Row],[Taxable Amount]]+Table432[[#This Row],[SGST]]+Table432[[#This Row],[CGST]]</f>
        <v>3540</v>
      </c>
      <c r="N707" s="110">
        <f>Table432[[#This Row],[Taxable Amount]]*0%</f>
        <v>0</v>
      </c>
      <c r="O707" s="185"/>
      <c r="P707" s="119">
        <f>Table432[[#This Row],[Taxable Amount]]+Table432[[#This Row],[SGST]]+Table432[[#This Row],[CGST]]</f>
        <v>3540</v>
      </c>
      <c r="Q707" s="134">
        <v>46044</v>
      </c>
      <c r="R707" s="132" t="s">
        <v>1160</v>
      </c>
      <c r="S707" s="138">
        <f>Table432[[#This Row],[Invoice Amount]]-Table432[[#This Row],[TDS]]-Table432[[#This Row],[RTN]]-Table432[[#This Row],[RECIVED AMOUNT]]</f>
        <v>0</v>
      </c>
      <c r="T707" s="131"/>
      <c r="U707" s="131"/>
      <c r="V707" s="41">
        <f>Table432[[#This Row],[BALANCE]]-Table432[[#This Row],[RECIVED AMOUNT2]]</f>
        <v>0</v>
      </c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</row>
    <row r="708" spans="1:121" s="12" customFormat="1" ht="19.95" customHeight="1">
      <c r="A708" s="128">
        <v>46022</v>
      </c>
      <c r="B708" s="3" t="s">
        <v>1005</v>
      </c>
      <c r="C708" s="131" t="s">
        <v>372</v>
      </c>
      <c r="D708" s="131" t="s">
        <v>794</v>
      </c>
      <c r="E708" s="131" t="s">
        <v>374</v>
      </c>
      <c r="F708" s="136" t="s">
        <v>26</v>
      </c>
      <c r="G708" s="136">
        <v>998531</v>
      </c>
      <c r="H708" s="23">
        <v>0.18</v>
      </c>
      <c r="I708" s="129">
        <v>1250</v>
      </c>
      <c r="J708" s="167">
        <f t="shared" si="57"/>
        <v>112.5</v>
      </c>
      <c r="K708" s="129">
        <f t="shared" si="58"/>
        <v>112.5</v>
      </c>
      <c r="L708" s="130"/>
      <c r="M708" s="130">
        <f>Table432[[#This Row],[Taxable Amount]]+Table432[[#This Row],[SGST]]+Table432[[#This Row],[CGST]]</f>
        <v>1475</v>
      </c>
      <c r="N708" s="161"/>
      <c r="O708" s="185"/>
      <c r="P708" s="135"/>
      <c r="Q708" s="135"/>
      <c r="R708" s="132" t="s">
        <v>1160</v>
      </c>
      <c r="S708" s="138">
        <f>Table432[[#This Row],[Invoice Amount]]-Table432[[#This Row],[TDS]]-Table432[[#This Row],[RTN]]-Table432[[#This Row],[RECIVED AMOUNT]]</f>
        <v>1475</v>
      </c>
      <c r="T708" s="131"/>
      <c r="U708" s="131"/>
      <c r="V708" s="41">
        <f>Table432[[#This Row],[BALANCE]]-Table432[[#This Row],[RECIVED AMOUNT2]]</f>
        <v>1475</v>
      </c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</row>
    <row r="709" spans="1:121" s="12" customFormat="1" ht="19.95" customHeight="1">
      <c r="A709" s="128">
        <v>46022</v>
      </c>
      <c r="B709" s="3" t="s">
        <v>1006</v>
      </c>
      <c r="C709" s="3" t="s">
        <v>955</v>
      </c>
      <c r="D709" s="131" t="s">
        <v>205</v>
      </c>
      <c r="E709" s="131" t="s">
        <v>67</v>
      </c>
      <c r="F709" s="136" t="s">
        <v>26</v>
      </c>
      <c r="G709" s="136">
        <v>998531</v>
      </c>
      <c r="H709" s="23">
        <v>0.18</v>
      </c>
      <c r="I709" s="129">
        <v>10000</v>
      </c>
      <c r="J709" s="167">
        <f t="shared" si="57"/>
        <v>900</v>
      </c>
      <c r="K709" s="129">
        <f t="shared" si="58"/>
        <v>900</v>
      </c>
      <c r="L709" s="130"/>
      <c r="M709" s="130">
        <f>Table432[[#This Row],[Taxable Amount]]+Table432[[#This Row],[SGST]]+Table432[[#This Row],[CGST]]</f>
        <v>11800</v>
      </c>
      <c r="N709" s="161">
        <f>Table432[[#This Row],[Taxable Amount]]*1%</f>
        <v>100</v>
      </c>
      <c r="O709" s="185"/>
      <c r="P709" s="135">
        <v>11700</v>
      </c>
      <c r="Q709" s="205">
        <v>46087</v>
      </c>
      <c r="R709" s="132" t="s">
        <v>1160</v>
      </c>
      <c r="S709" s="138">
        <f>Table432[[#This Row],[Invoice Amount]]-Table432[[#This Row],[TDS]]-Table432[[#This Row],[RTN]]-Table432[[#This Row],[RECIVED AMOUNT]]</f>
        <v>0</v>
      </c>
      <c r="T709" s="131"/>
      <c r="U709" s="131"/>
      <c r="V709" s="41">
        <f>Table432[[#This Row],[BALANCE]]-Table432[[#This Row],[RECIVED AMOUNT2]]</f>
        <v>0</v>
      </c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</row>
    <row r="710" spans="1:121" s="12" customFormat="1" ht="19.95" customHeight="1">
      <c r="A710" s="128">
        <v>46022</v>
      </c>
      <c r="B710" s="3" t="s">
        <v>1007</v>
      </c>
      <c r="C710" s="131" t="s">
        <v>720</v>
      </c>
      <c r="D710" s="131" t="s">
        <v>721</v>
      </c>
      <c r="E710" s="131" t="s">
        <v>722</v>
      </c>
      <c r="F710" s="136" t="s">
        <v>26</v>
      </c>
      <c r="G710" s="136">
        <v>998531</v>
      </c>
      <c r="H710" s="23">
        <v>0.18</v>
      </c>
      <c r="I710" s="129">
        <v>12700</v>
      </c>
      <c r="J710" s="167">
        <f t="shared" si="57"/>
        <v>1143</v>
      </c>
      <c r="K710" s="129">
        <f t="shared" si="58"/>
        <v>1143</v>
      </c>
      <c r="L710" s="130"/>
      <c r="M710" s="130">
        <f>Table432[[#This Row],[Taxable Amount]]+Table432[[#This Row],[SGST]]+Table432[[#This Row],[CGST]]</f>
        <v>14986</v>
      </c>
      <c r="N710" s="161"/>
      <c r="O710" s="185"/>
      <c r="P710" s="135">
        <v>14986</v>
      </c>
      <c r="Q710" s="205">
        <v>46038</v>
      </c>
      <c r="R710" s="132" t="s">
        <v>1160</v>
      </c>
      <c r="S710" s="138">
        <f>Table432[[#This Row],[Invoice Amount]]-Table432[[#This Row],[TDS]]-Table432[[#This Row],[RTN]]-Table432[[#This Row],[RECIVED AMOUNT]]</f>
        <v>0</v>
      </c>
      <c r="T710" s="131"/>
      <c r="U710" s="131"/>
      <c r="V710" s="41">
        <f>Table432[[#This Row],[BALANCE]]-Table432[[#This Row],[RECIVED AMOUNT2]]</f>
        <v>0</v>
      </c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</row>
    <row r="711" spans="1:121" s="12" customFormat="1" ht="19.95" customHeight="1">
      <c r="A711" s="128">
        <v>46022</v>
      </c>
      <c r="B711" s="3" t="s">
        <v>1008</v>
      </c>
      <c r="C711" s="131" t="s">
        <v>720</v>
      </c>
      <c r="D711" s="131" t="s">
        <v>721</v>
      </c>
      <c r="E711" s="131" t="s">
        <v>750</v>
      </c>
      <c r="F711" s="136" t="s">
        <v>26</v>
      </c>
      <c r="G711" s="136">
        <v>998531</v>
      </c>
      <c r="H711" s="23">
        <v>0.18</v>
      </c>
      <c r="I711" s="129">
        <v>11000</v>
      </c>
      <c r="J711" s="167">
        <f t="shared" si="57"/>
        <v>990</v>
      </c>
      <c r="K711" s="129">
        <f t="shared" si="58"/>
        <v>990</v>
      </c>
      <c r="L711" s="130"/>
      <c r="M711" s="130">
        <f>Table432[[#This Row],[Taxable Amount]]+Table432[[#This Row],[SGST]]+Table432[[#This Row],[CGST]]</f>
        <v>12980</v>
      </c>
      <c r="N711" s="161"/>
      <c r="O711" s="185"/>
      <c r="P711" s="135">
        <v>12980</v>
      </c>
      <c r="Q711" s="205">
        <v>46050</v>
      </c>
      <c r="R711" s="132" t="s">
        <v>1160</v>
      </c>
      <c r="S711" s="138">
        <f>Table432[[#This Row],[Invoice Amount]]-Table432[[#This Row],[TDS]]-Table432[[#This Row],[RTN]]-Table432[[#This Row],[RECIVED AMOUNT]]</f>
        <v>0</v>
      </c>
      <c r="T711" s="131"/>
      <c r="U711" s="131"/>
      <c r="V711" s="41">
        <f>Table432[[#This Row],[BALANCE]]-Table432[[#This Row],[RECIVED AMOUNT2]]</f>
        <v>0</v>
      </c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</row>
    <row r="712" spans="1:121" s="326" customFormat="1" ht="19.95" customHeight="1">
      <c r="A712" s="314">
        <v>46022</v>
      </c>
      <c r="B712" s="327" t="s">
        <v>1009</v>
      </c>
      <c r="C712" s="315" t="s">
        <v>883</v>
      </c>
      <c r="D712" s="315" t="s">
        <v>884</v>
      </c>
      <c r="E712" s="315" t="s">
        <v>89</v>
      </c>
      <c r="F712" s="316" t="s">
        <v>26</v>
      </c>
      <c r="G712" s="316">
        <v>998531</v>
      </c>
      <c r="H712" s="317">
        <v>0.18</v>
      </c>
      <c r="I712" s="318">
        <v>3333</v>
      </c>
      <c r="J712" s="328">
        <f t="shared" si="57"/>
        <v>299.97000000000003</v>
      </c>
      <c r="K712" s="318">
        <f t="shared" si="58"/>
        <v>299.97000000000003</v>
      </c>
      <c r="L712" s="319"/>
      <c r="M712" s="319">
        <f>Table432[[#This Row],[Taxable Amount]]+Table432[[#This Row],[SGST]]+Table432[[#This Row],[CGST]]</f>
        <v>3932.9400000000005</v>
      </c>
      <c r="N712" s="320">
        <f>Table432[[#This Row],[Taxable Amount]]*1%</f>
        <v>33.33</v>
      </c>
      <c r="O712" s="329"/>
      <c r="P712" s="322"/>
      <c r="Q712" s="322"/>
      <c r="R712" s="321" t="s">
        <v>1160</v>
      </c>
      <c r="S712" s="323">
        <f>Table432[[#This Row],[Invoice Amount]]-Table432[[#This Row],[TDS]]-Table432[[#This Row],[RTN]]-Table432[[#This Row],[RECIVED AMOUNT]]</f>
        <v>3899.6100000000006</v>
      </c>
      <c r="T712" s="315"/>
      <c r="U712" s="315"/>
      <c r="V712" s="324">
        <f>Table432[[#This Row],[BALANCE]]-Table432[[#This Row],[RECIVED AMOUNT2]]</f>
        <v>3899.6100000000006</v>
      </c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  <c r="AH712" s="325"/>
      <c r="AI712" s="325"/>
      <c r="AJ712" s="325"/>
      <c r="AK712" s="325"/>
      <c r="AL712" s="325"/>
      <c r="AM712" s="325"/>
      <c r="AN712" s="325"/>
      <c r="AO712" s="325"/>
      <c r="AP712" s="325"/>
      <c r="AQ712" s="325"/>
      <c r="AR712" s="325"/>
      <c r="AS712" s="325"/>
      <c r="AT712" s="325"/>
      <c r="AU712" s="325"/>
      <c r="AV712" s="325"/>
      <c r="AW712" s="325"/>
      <c r="AX712" s="325"/>
      <c r="AY712" s="325"/>
      <c r="AZ712" s="325"/>
      <c r="BA712" s="325"/>
      <c r="BB712" s="325"/>
      <c r="BC712" s="325"/>
      <c r="BD712" s="325"/>
      <c r="BE712" s="325"/>
      <c r="BF712" s="325"/>
      <c r="BG712" s="325"/>
      <c r="BH712" s="325"/>
      <c r="BI712" s="325"/>
      <c r="BJ712" s="325"/>
      <c r="BK712" s="325"/>
      <c r="BL712" s="325"/>
      <c r="BM712" s="325"/>
      <c r="BN712" s="325"/>
      <c r="BO712" s="325"/>
      <c r="BP712" s="325"/>
      <c r="BQ712" s="325"/>
      <c r="BR712" s="325"/>
      <c r="BS712" s="325"/>
      <c r="BT712" s="325"/>
      <c r="BU712" s="325"/>
      <c r="BV712" s="325"/>
      <c r="BW712" s="325"/>
      <c r="BX712" s="325"/>
      <c r="BY712" s="325"/>
      <c r="BZ712" s="325"/>
      <c r="CA712" s="325"/>
      <c r="CB712" s="325"/>
      <c r="CC712" s="325"/>
      <c r="CD712" s="325"/>
      <c r="CE712" s="325"/>
      <c r="CF712" s="325"/>
      <c r="CG712" s="325"/>
      <c r="CH712" s="325"/>
      <c r="CI712" s="325"/>
      <c r="CJ712" s="325"/>
      <c r="CK712" s="325"/>
      <c r="CL712" s="325"/>
      <c r="CM712" s="325"/>
      <c r="CN712" s="325"/>
      <c r="CO712" s="325"/>
      <c r="CP712" s="325"/>
      <c r="CQ712" s="325"/>
      <c r="CR712" s="325"/>
      <c r="CS712" s="325"/>
      <c r="CT712" s="325"/>
      <c r="CU712" s="325"/>
      <c r="CV712" s="325"/>
      <c r="CW712" s="325"/>
      <c r="CX712" s="325"/>
      <c r="CY712" s="325"/>
      <c r="CZ712" s="325"/>
      <c r="DA712" s="325"/>
      <c r="DB712" s="325"/>
      <c r="DC712" s="325"/>
      <c r="DD712" s="325"/>
      <c r="DE712" s="325"/>
      <c r="DF712" s="325"/>
      <c r="DG712" s="325"/>
      <c r="DH712" s="325"/>
      <c r="DI712" s="325"/>
      <c r="DJ712" s="325"/>
      <c r="DK712" s="325"/>
      <c r="DL712" s="325"/>
      <c r="DM712" s="325"/>
      <c r="DN712" s="325"/>
      <c r="DO712" s="325"/>
      <c r="DP712" s="325"/>
      <c r="DQ712" s="325"/>
    </row>
    <row r="713" spans="1:121" s="12" customFormat="1" ht="19.95" customHeight="1">
      <c r="A713" s="128">
        <v>46022</v>
      </c>
      <c r="B713" s="3" t="s">
        <v>1010</v>
      </c>
      <c r="C713" s="131" t="s">
        <v>885</v>
      </c>
      <c r="D713" s="131" t="s">
        <v>886</v>
      </c>
      <c r="E713" s="131" t="s">
        <v>59</v>
      </c>
      <c r="F713" s="136" t="s">
        <v>26</v>
      </c>
      <c r="G713" s="136">
        <v>998531</v>
      </c>
      <c r="H713" s="23">
        <v>0.18</v>
      </c>
      <c r="I713" s="129">
        <v>3000</v>
      </c>
      <c r="J713" s="129">
        <f t="shared" si="57"/>
        <v>270</v>
      </c>
      <c r="K713" s="129">
        <f t="shared" si="58"/>
        <v>270</v>
      </c>
      <c r="L713" s="130"/>
      <c r="M713" s="130">
        <f>Table432[[#This Row],[Taxable Amount]]+Table432[[#This Row],[SGST]]+Table432[[#This Row],[CGST]]</f>
        <v>3540</v>
      </c>
      <c r="N713" s="161"/>
      <c r="O713" s="185"/>
      <c r="P713" s="135"/>
      <c r="Q713" s="205">
        <v>46172</v>
      </c>
      <c r="R713" s="132" t="s">
        <v>1160</v>
      </c>
      <c r="S713" s="138">
        <f>Table432[[#This Row],[Invoice Amount]]-Table432[[#This Row],[TDS]]-Table432[[#This Row],[RTN]]-Table432[[#This Row],[RECIVED AMOUNT]]</f>
        <v>3540</v>
      </c>
      <c r="T713" s="131"/>
      <c r="U713" s="131"/>
      <c r="V713" s="41">
        <f>Table432[[#This Row],[BALANCE]]-Table432[[#This Row],[RECIVED AMOUNT2]]</f>
        <v>3540</v>
      </c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</row>
    <row r="714" spans="1:121" s="12" customFormat="1" ht="19.95" customHeight="1">
      <c r="A714" s="128">
        <v>46023</v>
      </c>
      <c r="B714" s="3" t="s">
        <v>1011</v>
      </c>
      <c r="C714" s="131" t="s">
        <v>173</v>
      </c>
      <c r="D714" s="131" t="s">
        <v>174</v>
      </c>
      <c r="E714" s="131" t="s">
        <v>62</v>
      </c>
      <c r="F714" s="136" t="s">
        <v>26</v>
      </c>
      <c r="G714" s="136">
        <v>998531</v>
      </c>
      <c r="H714" s="23">
        <v>0.18</v>
      </c>
      <c r="I714" s="129">
        <v>8800</v>
      </c>
      <c r="J714" s="129">
        <f t="shared" si="57"/>
        <v>792</v>
      </c>
      <c r="K714" s="129">
        <f t="shared" si="58"/>
        <v>792</v>
      </c>
      <c r="L714" s="130"/>
      <c r="M714" s="130">
        <f>Table432[[#This Row],[Taxable Amount]]+Table432[[#This Row],[SGST]]+Table432[[#This Row],[CGST]]</f>
        <v>10384</v>
      </c>
      <c r="N714" s="161">
        <f>Table432[[#This Row],[Taxable Amount]]*1%</f>
        <v>88</v>
      </c>
      <c r="O714" s="185"/>
      <c r="P714" s="135">
        <v>10296</v>
      </c>
      <c r="Q714" s="205">
        <v>46171</v>
      </c>
      <c r="R714" s="132" t="s">
        <v>1161</v>
      </c>
      <c r="S714" s="138">
        <f>Table432[[#This Row],[Invoice Amount]]-Table432[[#This Row],[TDS]]-Table432[[#This Row],[RTN]]-Table432[[#This Row],[RECIVED AMOUNT]]</f>
        <v>0</v>
      </c>
      <c r="T714" s="131"/>
      <c r="U714" s="131"/>
      <c r="V714" s="41">
        <f>Table432[[#This Row],[BALANCE]]-Table432[[#This Row],[RECIVED AMOUNT2]]</f>
        <v>0</v>
      </c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</row>
    <row r="715" spans="1:121" s="12" customFormat="1" ht="19.95" customHeight="1">
      <c r="A715" s="128">
        <v>46027</v>
      </c>
      <c r="B715" s="3" t="s">
        <v>1012</v>
      </c>
      <c r="C715" s="131" t="s">
        <v>674</v>
      </c>
      <c r="D715" s="131" t="s">
        <v>675</v>
      </c>
      <c r="E715" s="131" t="s">
        <v>676</v>
      </c>
      <c r="F715" s="136" t="s">
        <v>26</v>
      </c>
      <c r="G715" s="136">
        <v>998531</v>
      </c>
      <c r="H715" s="23">
        <v>0.18</v>
      </c>
      <c r="I715" s="129">
        <v>11000</v>
      </c>
      <c r="J715" s="129">
        <f t="shared" si="57"/>
        <v>990</v>
      </c>
      <c r="K715" s="129">
        <f t="shared" si="58"/>
        <v>990</v>
      </c>
      <c r="L715" s="130"/>
      <c r="M715" s="130">
        <f>Table432[[#This Row],[Taxable Amount]]+Table432[[#This Row],[SGST]]+Table432[[#This Row],[CGST]]</f>
        <v>12980</v>
      </c>
      <c r="N715" s="161">
        <f>Table432[[#This Row],[Taxable Amount]]*1%</f>
        <v>110</v>
      </c>
      <c r="O715" s="185"/>
      <c r="P715" s="135">
        <v>12870</v>
      </c>
      <c r="Q715" s="205">
        <v>46112</v>
      </c>
      <c r="R715" s="132" t="s">
        <v>1161</v>
      </c>
      <c r="S715" s="138">
        <f>Table432[[#This Row],[Invoice Amount]]-Table432[[#This Row],[TDS]]-Table432[[#This Row],[RTN]]-Table432[[#This Row],[RECIVED AMOUNT]]</f>
        <v>0</v>
      </c>
      <c r="T715" s="131"/>
      <c r="U715" s="131"/>
      <c r="V715" s="41">
        <f>Table432[[#This Row],[BALANCE]]-Table432[[#This Row],[RECIVED AMOUNT2]]</f>
        <v>0</v>
      </c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</row>
    <row r="716" spans="1:121" s="12" customFormat="1" ht="19.95" customHeight="1">
      <c r="A716" s="128">
        <v>46027</v>
      </c>
      <c r="B716" s="3" t="s">
        <v>1013</v>
      </c>
      <c r="C716" s="131" t="s">
        <v>674</v>
      </c>
      <c r="D716" s="131" t="s">
        <v>675</v>
      </c>
      <c r="E716" s="131" t="s">
        <v>678</v>
      </c>
      <c r="F716" s="136" t="s">
        <v>26</v>
      </c>
      <c r="G716" s="136">
        <v>998531</v>
      </c>
      <c r="H716" s="23">
        <v>0.18</v>
      </c>
      <c r="I716" s="129">
        <v>3000</v>
      </c>
      <c r="J716" s="129">
        <f t="shared" si="57"/>
        <v>270</v>
      </c>
      <c r="K716" s="129">
        <f t="shared" si="58"/>
        <v>270</v>
      </c>
      <c r="L716" s="130"/>
      <c r="M716" s="130">
        <f>Table432[[#This Row],[Taxable Amount]]+Table432[[#This Row],[SGST]]+Table432[[#This Row],[CGST]]</f>
        <v>3540</v>
      </c>
      <c r="N716" s="161">
        <f>Table432[[#This Row],[Taxable Amount]]*1%</f>
        <v>30</v>
      </c>
      <c r="O716" s="185"/>
      <c r="P716" s="135">
        <v>3510</v>
      </c>
      <c r="Q716" s="205">
        <v>46112</v>
      </c>
      <c r="R716" s="132" t="s">
        <v>1161</v>
      </c>
      <c r="S716" s="138">
        <f>Table432[[#This Row],[Invoice Amount]]-Table432[[#This Row],[TDS]]-Table432[[#This Row],[RTN]]-Table432[[#This Row],[RECIVED AMOUNT]]</f>
        <v>0</v>
      </c>
      <c r="T716" s="131"/>
      <c r="U716" s="131"/>
      <c r="V716" s="41">
        <f>Table432[[#This Row],[BALANCE]]-Table432[[#This Row],[RECIVED AMOUNT2]]</f>
        <v>0</v>
      </c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</row>
    <row r="717" spans="1:121" s="12" customFormat="1" ht="19.95" customHeight="1">
      <c r="A717" s="128">
        <v>46027</v>
      </c>
      <c r="B717" s="3" t="s">
        <v>1014</v>
      </c>
      <c r="C717" s="131" t="s">
        <v>674</v>
      </c>
      <c r="D717" s="131" t="s">
        <v>675</v>
      </c>
      <c r="E717" s="131" t="s">
        <v>680</v>
      </c>
      <c r="F717" s="136" t="s">
        <v>26</v>
      </c>
      <c r="G717" s="136">
        <v>998531</v>
      </c>
      <c r="H717" s="23">
        <v>0.18</v>
      </c>
      <c r="I717" s="129">
        <v>4000</v>
      </c>
      <c r="J717" s="129">
        <f t="shared" si="57"/>
        <v>360</v>
      </c>
      <c r="K717" s="129">
        <f t="shared" si="58"/>
        <v>360</v>
      </c>
      <c r="L717" s="130"/>
      <c r="M717" s="130">
        <f>Table432[[#This Row],[Taxable Amount]]+Table432[[#This Row],[SGST]]+Table432[[#This Row],[CGST]]</f>
        <v>4720</v>
      </c>
      <c r="N717" s="161">
        <f>Table432[[#This Row],[Taxable Amount]]*1%</f>
        <v>40</v>
      </c>
      <c r="O717" s="185"/>
      <c r="P717" s="135">
        <v>4680</v>
      </c>
      <c r="Q717" s="205">
        <v>46112</v>
      </c>
      <c r="R717" s="132" t="s">
        <v>1161</v>
      </c>
      <c r="S717" s="138">
        <f>Table432[[#This Row],[Invoice Amount]]-Table432[[#This Row],[TDS]]-Table432[[#This Row],[RTN]]-Table432[[#This Row],[RECIVED AMOUNT]]</f>
        <v>0</v>
      </c>
      <c r="T717" s="131"/>
      <c r="U717" s="131"/>
      <c r="V717" s="41">
        <f>Table432[[#This Row],[BALANCE]]-Table432[[#This Row],[RECIVED AMOUNT2]]</f>
        <v>0</v>
      </c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</row>
    <row r="718" spans="1:121" s="12" customFormat="1" ht="19.95" customHeight="1">
      <c r="A718" s="128">
        <v>46027</v>
      </c>
      <c r="B718" s="3" t="s">
        <v>1015</v>
      </c>
      <c r="C718" s="131" t="s">
        <v>674</v>
      </c>
      <c r="D718" s="131" t="s">
        <v>675</v>
      </c>
      <c r="E718" s="165" t="s">
        <v>684</v>
      </c>
      <c r="F718" s="136" t="s">
        <v>26</v>
      </c>
      <c r="G718" s="136">
        <v>998531</v>
      </c>
      <c r="H718" s="23">
        <v>0.18</v>
      </c>
      <c r="I718" s="167">
        <v>2350</v>
      </c>
      <c r="J718" s="167">
        <f t="shared" si="57"/>
        <v>211.5</v>
      </c>
      <c r="K718" s="167">
        <f t="shared" si="58"/>
        <v>211.5</v>
      </c>
      <c r="L718" s="168"/>
      <c r="M718" s="168">
        <f>Table432[[#This Row],[Taxable Amount]]+Table432[[#This Row],[SGST]]+Table432[[#This Row],[CGST]]</f>
        <v>2773</v>
      </c>
      <c r="N718" s="169">
        <f>Table432[[#This Row],[Taxable Amount]]*1%</f>
        <v>23.5</v>
      </c>
      <c r="O718" s="186"/>
      <c r="P718" s="135">
        <v>2749</v>
      </c>
      <c r="Q718" s="205">
        <v>46112</v>
      </c>
      <c r="R718" s="132" t="s">
        <v>1161</v>
      </c>
      <c r="S718" s="138">
        <f>Table432[[#This Row],[Invoice Amount]]-Table432[[#This Row],[TDS]]-Table432[[#This Row],[RTN]]-Table432[[#This Row],[RECIVED AMOUNT]]</f>
        <v>0.5</v>
      </c>
      <c r="T718" s="165"/>
      <c r="U718" s="165"/>
      <c r="V718" s="41">
        <f>Table432[[#This Row],[BALANCE]]-Table432[[#This Row],[RECIVED AMOUNT2]]</f>
        <v>0.5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</row>
    <row r="719" spans="1:121" s="12" customFormat="1" ht="19.95" customHeight="1">
      <c r="A719" s="128">
        <v>46027</v>
      </c>
      <c r="B719" s="3" t="s">
        <v>1016</v>
      </c>
      <c r="C719" s="131" t="s">
        <v>674</v>
      </c>
      <c r="D719" s="131" t="s">
        <v>675</v>
      </c>
      <c r="E719" s="165" t="s">
        <v>956</v>
      </c>
      <c r="F719" s="136" t="s">
        <v>26</v>
      </c>
      <c r="G719" s="136">
        <v>998531</v>
      </c>
      <c r="H719" s="23">
        <v>0.18</v>
      </c>
      <c r="I719" s="167">
        <v>2100</v>
      </c>
      <c r="J719" s="167">
        <f t="shared" si="57"/>
        <v>189</v>
      </c>
      <c r="K719" s="167">
        <f t="shared" si="58"/>
        <v>189</v>
      </c>
      <c r="L719" s="168"/>
      <c r="M719" s="168">
        <f>Table432[[#This Row],[Taxable Amount]]+Table432[[#This Row],[SGST]]+Table432[[#This Row],[CGST]]</f>
        <v>2478</v>
      </c>
      <c r="N719" s="169">
        <f>Table432[[#This Row],[Taxable Amount]]*1%</f>
        <v>21</v>
      </c>
      <c r="O719" s="186"/>
      <c r="P719" s="135">
        <v>2457</v>
      </c>
      <c r="Q719" s="205">
        <v>46112</v>
      </c>
      <c r="R719" s="132" t="s">
        <v>1161</v>
      </c>
      <c r="S719" s="138">
        <f>Table432[[#This Row],[Invoice Amount]]-Table432[[#This Row],[TDS]]-Table432[[#This Row],[RTN]]-Table432[[#This Row],[RECIVED AMOUNT]]</f>
        <v>0</v>
      </c>
      <c r="T719" s="165"/>
      <c r="U719" s="165"/>
      <c r="V719" s="41">
        <f>Table432[[#This Row],[BALANCE]]-Table432[[#This Row],[RECIVED AMOUNT2]]</f>
        <v>0</v>
      </c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</row>
    <row r="720" spans="1:121" s="12" customFormat="1" ht="19.95" customHeight="1">
      <c r="A720" s="128">
        <v>46027</v>
      </c>
      <c r="B720" s="3" t="s">
        <v>1017</v>
      </c>
      <c r="C720" s="131" t="s">
        <v>674</v>
      </c>
      <c r="D720" s="131" t="s">
        <v>675</v>
      </c>
      <c r="E720" s="165" t="s">
        <v>716</v>
      </c>
      <c r="F720" s="136" t="s">
        <v>26</v>
      </c>
      <c r="G720" s="136">
        <v>998531</v>
      </c>
      <c r="H720" s="23">
        <v>0.18</v>
      </c>
      <c r="I720" s="167">
        <v>2050</v>
      </c>
      <c r="J720" s="167">
        <f t="shared" si="57"/>
        <v>184.5</v>
      </c>
      <c r="K720" s="167">
        <f t="shared" si="58"/>
        <v>184.5</v>
      </c>
      <c r="L720" s="168"/>
      <c r="M720" s="168">
        <f>Table432[[#This Row],[Taxable Amount]]+Table432[[#This Row],[SGST]]+Table432[[#This Row],[CGST]]</f>
        <v>2419</v>
      </c>
      <c r="N720" s="169">
        <f>Table432[[#This Row],[Taxable Amount]]*1%</f>
        <v>20.5</v>
      </c>
      <c r="O720" s="186"/>
      <c r="P720" s="135">
        <v>2398</v>
      </c>
      <c r="Q720" s="205">
        <v>46112</v>
      </c>
      <c r="R720" s="132" t="s">
        <v>1161</v>
      </c>
      <c r="S720" s="138">
        <f>Table432[[#This Row],[Invoice Amount]]-Table432[[#This Row],[TDS]]-Table432[[#This Row],[RTN]]-Table432[[#This Row],[RECIVED AMOUNT]]</f>
        <v>0.5</v>
      </c>
      <c r="T720" s="165"/>
      <c r="U720" s="165"/>
      <c r="V720" s="41">
        <f>Table432[[#This Row],[BALANCE]]-Table432[[#This Row],[RECIVED AMOUNT2]]</f>
        <v>0.5</v>
      </c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</row>
    <row r="721" spans="1:121" s="12" customFormat="1" ht="19.95" customHeight="1">
      <c r="A721" s="128">
        <v>46027</v>
      </c>
      <c r="B721" s="3" t="s">
        <v>1018</v>
      </c>
      <c r="C721" s="131" t="s">
        <v>674</v>
      </c>
      <c r="D721" s="131" t="s">
        <v>675</v>
      </c>
      <c r="E721" s="165" t="s">
        <v>811</v>
      </c>
      <c r="F721" s="166" t="s">
        <v>26</v>
      </c>
      <c r="G721" s="136">
        <v>998531</v>
      </c>
      <c r="H721" s="23">
        <v>0.18</v>
      </c>
      <c r="I721" s="167">
        <v>11250</v>
      </c>
      <c r="J721" s="167">
        <f t="shared" si="57"/>
        <v>1012.5</v>
      </c>
      <c r="K721" s="167">
        <f t="shared" si="58"/>
        <v>1012.5</v>
      </c>
      <c r="L721" s="168"/>
      <c r="M721" s="168">
        <f>Table432[[#This Row],[Taxable Amount]]+Table432[[#This Row],[SGST]]+Table432[[#This Row],[CGST]]</f>
        <v>13275</v>
      </c>
      <c r="N721" s="169">
        <f>Table432[[#This Row],[Taxable Amount]]*1%</f>
        <v>112.5</v>
      </c>
      <c r="O721" s="186"/>
      <c r="P721" s="135">
        <v>13162</v>
      </c>
      <c r="Q721" s="205">
        <v>46112</v>
      </c>
      <c r="R721" s="132" t="s">
        <v>1161</v>
      </c>
      <c r="S721" s="138">
        <f>Table432[[#This Row],[Invoice Amount]]-Table432[[#This Row],[TDS]]-Table432[[#This Row],[RTN]]-Table432[[#This Row],[RECIVED AMOUNT]]</f>
        <v>0.5</v>
      </c>
      <c r="T721" s="165"/>
      <c r="U721" s="165"/>
      <c r="V721" s="41">
        <f>Table432[[#This Row],[BALANCE]]-Table432[[#This Row],[RECIVED AMOUNT2]]</f>
        <v>0.5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</row>
    <row r="722" spans="1:121" s="12" customFormat="1" ht="19.95" customHeight="1">
      <c r="A722" s="128">
        <v>46027</v>
      </c>
      <c r="B722" s="3" t="s">
        <v>1019</v>
      </c>
      <c r="C722" s="131" t="s">
        <v>674</v>
      </c>
      <c r="D722" s="131" t="s">
        <v>675</v>
      </c>
      <c r="E722" s="165" t="s">
        <v>957</v>
      </c>
      <c r="F722" s="166" t="s">
        <v>26</v>
      </c>
      <c r="G722" s="136">
        <v>998531</v>
      </c>
      <c r="H722" s="23">
        <v>0.18</v>
      </c>
      <c r="I722" s="167">
        <v>4200</v>
      </c>
      <c r="J722" s="167">
        <f t="shared" si="57"/>
        <v>378</v>
      </c>
      <c r="K722" s="167">
        <f t="shared" si="58"/>
        <v>378</v>
      </c>
      <c r="L722" s="168"/>
      <c r="M722" s="168">
        <f>Table432[[#This Row],[Taxable Amount]]+Table432[[#This Row],[SGST]]+Table432[[#This Row],[CGST]]</f>
        <v>4956</v>
      </c>
      <c r="N722" s="169">
        <f>Table432[[#This Row],[Taxable Amount]]*1%</f>
        <v>42</v>
      </c>
      <c r="O722" s="186"/>
      <c r="P722" s="135">
        <v>4914</v>
      </c>
      <c r="Q722" s="205">
        <v>46112</v>
      </c>
      <c r="R722" s="132" t="s">
        <v>1161</v>
      </c>
      <c r="S722" s="138">
        <f>Table432[[#This Row],[Invoice Amount]]-Table432[[#This Row],[TDS]]-Table432[[#This Row],[RTN]]-Table432[[#This Row],[RECIVED AMOUNT]]</f>
        <v>0</v>
      </c>
      <c r="T722" s="165"/>
      <c r="U722" s="165"/>
      <c r="V722" s="41">
        <f>Table432[[#This Row],[BALANCE]]-Table432[[#This Row],[RECIVED AMOUNT2]]</f>
        <v>0</v>
      </c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</row>
    <row r="723" spans="1:121" s="12" customFormat="1" ht="19.95" customHeight="1">
      <c r="A723" s="128">
        <v>46027</v>
      </c>
      <c r="B723" s="3" t="s">
        <v>1020</v>
      </c>
      <c r="C723" s="131" t="s">
        <v>674</v>
      </c>
      <c r="D723" s="131" t="s">
        <v>675</v>
      </c>
      <c r="E723" s="165" t="s">
        <v>815</v>
      </c>
      <c r="F723" s="166" t="s">
        <v>26</v>
      </c>
      <c r="G723" s="136">
        <v>998531</v>
      </c>
      <c r="H723" s="23">
        <v>0.18</v>
      </c>
      <c r="I723" s="167">
        <v>700</v>
      </c>
      <c r="J723" s="167">
        <f t="shared" si="57"/>
        <v>63</v>
      </c>
      <c r="K723" s="167">
        <f t="shared" si="58"/>
        <v>63</v>
      </c>
      <c r="L723" s="168"/>
      <c r="M723" s="168">
        <f>Table432[[#This Row],[Taxable Amount]]+Table432[[#This Row],[SGST]]+Table432[[#This Row],[CGST]]</f>
        <v>826</v>
      </c>
      <c r="N723" s="169">
        <f>Table432[[#This Row],[Taxable Amount]]*1%</f>
        <v>7</v>
      </c>
      <c r="O723" s="186"/>
      <c r="P723" s="135">
        <v>819</v>
      </c>
      <c r="Q723" s="205">
        <v>46112</v>
      </c>
      <c r="R723" s="132" t="s">
        <v>1161</v>
      </c>
      <c r="S723" s="138">
        <f>Table432[[#This Row],[Invoice Amount]]-Table432[[#This Row],[TDS]]-Table432[[#This Row],[RTN]]-Table432[[#This Row],[RECIVED AMOUNT]]</f>
        <v>0</v>
      </c>
      <c r="T723" s="165"/>
      <c r="U723" s="165"/>
      <c r="V723" s="41">
        <f>Table432[[#This Row],[BALANCE]]-Table432[[#This Row],[RECIVED AMOUNT2]]</f>
        <v>0</v>
      </c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</row>
    <row r="724" spans="1:121" s="12" customFormat="1" ht="19.95" customHeight="1">
      <c r="A724" s="128">
        <v>46027</v>
      </c>
      <c r="B724" s="3" t="s">
        <v>1021</v>
      </c>
      <c r="C724" s="131" t="s">
        <v>444</v>
      </c>
      <c r="D724" s="165" t="s">
        <v>445</v>
      </c>
      <c r="E724" s="131" t="s">
        <v>232</v>
      </c>
      <c r="F724" s="136" t="s">
        <v>26</v>
      </c>
      <c r="G724" s="136">
        <v>998531</v>
      </c>
      <c r="H724" s="23">
        <v>0.18</v>
      </c>
      <c r="I724" s="129">
        <v>5850</v>
      </c>
      <c r="J724" s="129">
        <f t="shared" si="57"/>
        <v>526.5</v>
      </c>
      <c r="K724" s="129">
        <f t="shared" si="58"/>
        <v>526.5</v>
      </c>
      <c r="L724" s="130"/>
      <c r="M724" s="130">
        <f>Table432[[#This Row],[Taxable Amount]]+Table432[[#This Row],[SGST]]+Table432[[#This Row],[CGST]]</f>
        <v>6903</v>
      </c>
      <c r="N724" s="161">
        <f>Table432[[#This Row],[Taxable Amount]]*1%</f>
        <v>58.5</v>
      </c>
      <c r="O724" s="132"/>
      <c r="P724" s="135"/>
      <c r="Q724" s="205"/>
      <c r="R724" s="132" t="s">
        <v>1161</v>
      </c>
      <c r="S724" s="138">
        <f>Table432[[#This Row],[Invoice Amount]]-Table432[[#This Row],[TDS]]-Table432[[#This Row],[RTN]]-Table432[[#This Row],[RECIVED AMOUNT]]</f>
        <v>6844.5</v>
      </c>
      <c r="T724" s="131"/>
      <c r="U724" s="131"/>
      <c r="V724" s="41">
        <f>Table432[[#This Row],[BALANCE]]-Table432[[#This Row],[RECIVED AMOUNT2]]</f>
        <v>6844.5</v>
      </c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</row>
    <row r="725" spans="1:121" s="12" customFormat="1" ht="19.95" customHeight="1">
      <c r="A725" s="128">
        <v>46027</v>
      </c>
      <c r="B725" s="3" t="s">
        <v>1022</v>
      </c>
      <c r="C725" s="131" t="s">
        <v>23</v>
      </c>
      <c r="D725" s="131" t="s">
        <v>24</v>
      </c>
      <c r="E725" s="131" t="s">
        <v>62</v>
      </c>
      <c r="F725" s="136" t="s">
        <v>26</v>
      </c>
      <c r="G725" s="136">
        <v>998531</v>
      </c>
      <c r="H725" s="23">
        <v>0.18</v>
      </c>
      <c r="I725" s="129">
        <v>6825</v>
      </c>
      <c r="J725" s="129">
        <f t="shared" si="57"/>
        <v>614.25</v>
      </c>
      <c r="K725" s="129">
        <f t="shared" si="58"/>
        <v>614.25</v>
      </c>
      <c r="L725" s="130"/>
      <c r="M725" s="130">
        <f>Table432[[#This Row],[Taxable Amount]]+Table432[[#This Row],[SGST]]+Table432[[#This Row],[CGST]]</f>
        <v>8053.5</v>
      </c>
      <c r="N725" s="161">
        <f>Table432[[#This Row],[Taxable Amount]]*1%</f>
        <v>68.25</v>
      </c>
      <c r="O725" s="132"/>
      <c r="P725" s="135"/>
      <c r="Q725" s="205">
        <v>46158</v>
      </c>
      <c r="R725" s="132" t="s">
        <v>1161</v>
      </c>
      <c r="S725" s="138">
        <f>Table432[[#This Row],[Invoice Amount]]-Table432[[#This Row],[TDS]]-Table432[[#This Row],[RTN]]-Table432[[#This Row],[RECIVED AMOUNT]]</f>
        <v>7985.25</v>
      </c>
      <c r="T725" s="131"/>
      <c r="U725" s="131"/>
      <c r="V725" s="41">
        <f>Table432[[#This Row],[BALANCE]]-Table432[[#This Row],[RECIVED AMOUNT2]]</f>
        <v>7985.25</v>
      </c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</row>
    <row r="726" spans="1:121" s="12" customFormat="1" ht="19.95" customHeight="1">
      <c r="A726" s="128">
        <v>46027</v>
      </c>
      <c r="B726" s="3" t="s">
        <v>1023</v>
      </c>
      <c r="C726" s="131" t="s">
        <v>518</v>
      </c>
      <c r="D726" s="3" t="s">
        <v>519</v>
      </c>
      <c r="E726" s="3" t="s">
        <v>520</v>
      </c>
      <c r="F726" s="136" t="s">
        <v>37</v>
      </c>
      <c r="G726" s="136">
        <v>998531</v>
      </c>
      <c r="H726" s="23">
        <v>0.18</v>
      </c>
      <c r="I726" s="129">
        <v>43322</v>
      </c>
      <c r="J726" s="129">
        <f t="shared" si="57"/>
        <v>3898.98</v>
      </c>
      <c r="K726" s="129">
        <f t="shared" si="58"/>
        <v>3898.98</v>
      </c>
      <c r="L726" s="130"/>
      <c r="M726" s="130">
        <f>Table432[[#This Row],[Taxable Amount]]+Table432[[#This Row],[SGST]]+Table432[[#This Row],[CGST]]</f>
        <v>51119.960000000006</v>
      </c>
      <c r="N726" s="161">
        <f>Table432[[#This Row],[Taxable Amount]]*1%</f>
        <v>433.22</v>
      </c>
      <c r="O726" s="132"/>
      <c r="P726" s="135">
        <v>81215</v>
      </c>
      <c r="Q726" s="205">
        <v>46055</v>
      </c>
      <c r="R726" s="132" t="s">
        <v>1161</v>
      </c>
      <c r="S726" s="138">
        <f>Table432[[#This Row],[Invoice Amount]]-Table432[[#This Row],[TDS]]-Table432[[#This Row],[RTN]]-Table432[[#This Row],[RECIVED AMOUNT]]</f>
        <v>-30528.259999999995</v>
      </c>
      <c r="T726" s="131"/>
      <c r="U726" s="131"/>
      <c r="V726" s="41">
        <f>Table432[[#This Row],[BALANCE]]-Table432[[#This Row],[RECIVED AMOUNT2]]</f>
        <v>-30528.259999999995</v>
      </c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</row>
    <row r="727" spans="1:121" s="12" customFormat="1" ht="19.95" customHeight="1">
      <c r="A727" s="128">
        <v>46027</v>
      </c>
      <c r="B727" s="3" t="s">
        <v>1024</v>
      </c>
      <c r="C727" s="131" t="s">
        <v>567</v>
      </c>
      <c r="D727" s="7" t="s">
        <v>568</v>
      </c>
      <c r="E727" s="131" t="s">
        <v>232</v>
      </c>
      <c r="F727" s="136" t="s">
        <v>26</v>
      </c>
      <c r="G727" s="136">
        <v>998531</v>
      </c>
      <c r="H727" s="23">
        <v>0.18</v>
      </c>
      <c r="I727" s="129">
        <v>3000</v>
      </c>
      <c r="J727" s="129">
        <f t="shared" si="57"/>
        <v>270</v>
      </c>
      <c r="K727" s="129">
        <f t="shared" si="58"/>
        <v>270</v>
      </c>
      <c r="L727" s="130"/>
      <c r="M727" s="130">
        <f>Table432[[#This Row],[Taxable Amount]]+Table432[[#This Row],[SGST]]+Table432[[#This Row],[CGST]]</f>
        <v>3540</v>
      </c>
      <c r="N727" s="161">
        <f>Table432[[#This Row],[Taxable Amount]]*1%</f>
        <v>30</v>
      </c>
      <c r="O727" s="132"/>
      <c r="P727" s="135"/>
      <c r="Q727" s="135"/>
      <c r="R727" s="132" t="s">
        <v>1161</v>
      </c>
      <c r="S727" s="138">
        <f>Table432[[#This Row],[Invoice Amount]]-Table432[[#This Row],[TDS]]-Table432[[#This Row],[RTN]]-Table432[[#This Row],[RECIVED AMOUNT]]</f>
        <v>3510</v>
      </c>
      <c r="T727" s="131"/>
      <c r="U727" s="131"/>
      <c r="V727" s="41">
        <f>Table432[[#This Row],[BALANCE]]-Table432[[#This Row],[RECIVED AMOUNT2]]</f>
        <v>3510</v>
      </c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</row>
    <row r="728" spans="1:121" s="12" customFormat="1" ht="19.95" customHeight="1">
      <c r="A728" s="128">
        <v>46029</v>
      </c>
      <c r="B728" s="3" t="s">
        <v>1026</v>
      </c>
      <c r="C728" s="131" t="s">
        <v>396</v>
      </c>
      <c r="D728" s="131" t="s">
        <v>397</v>
      </c>
      <c r="E728" s="131" t="s">
        <v>260</v>
      </c>
      <c r="F728" s="136" t="s">
        <v>26</v>
      </c>
      <c r="G728" s="136">
        <v>998531</v>
      </c>
      <c r="H728" s="23">
        <v>0.18</v>
      </c>
      <c r="I728" s="129">
        <v>3700</v>
      </c>
      <c r="J728" s="129">
        <f t="shared" si="57"/>
        <v>333</v>
      </c>
      <c r="K728" s="129">
        <f t="shared" si="58"/>
        <v>333</v>
      </c>
      <c r="L728" s="130"/>
      <c r="M728" s="130">
        <f>Table432[[#This Row],[Taxable Amount]]+Table432[[#This Row],[SGST]]+Table432[[#This Row],[CGST]]</f>
        <v>4366</v>
      </c>
      <c r="N728" s="161">
        <f>Table432[[#This Row],[Taxable Amount]]*1%</f>
        <v>37</v>
      </c>
      <c r="O728" s="132"/>
      <c r="P728" s="135">
        <v>4322</v>
      </c>
      <c r="Q728" s="205">
        <v>46038</v>
      </c>
      <c r="R728" s="132" t="s">
        <v>1161</v>
      </c>
      <c r="S728" s="138">
        <f>Table432[[#This Row],[Invoice Amount]]-Table432[[#This Row],[TDS]]-Table432[[#This Row],[RTN]]-Table432[[#This Row],[RECIVED AMOUNT]]</f>
        <v>7</v>
      </c>
      <c r="T728" s="131"/>
      <c r="U728" s="131"/>
      <c r="V728" s="41">
        <f>Table432[[#This Row],[BALANCE]]-Table432[[#This Row],[RECIVED AMOUNT2]]</f>
        <v>7</v>
      </c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</row>
    <row r="729" spans="1:121" s="12" customFormat="1" ht="19.95" customHeight="1">
      <c r="A729" s="128">
        <v>46031</v>
      </c>
      <c r="B729" s="3" t="s">
        <v>1027</v>
      </c>
      <c r="C729" s="131" t="s">
        <v>1036</v>
      </c>
      <c r="D729" s="131" t="s">
        <v>1037</v>
      </c>
      <c r="E729" s="131" t="s">
        <v>44</v>
      </c>
      <c r="F729" s="136" t="s">
        <v>37</v>
      </c>
      <c r="G729" s="136">
        <v>998531</v>
      </c>
      <c r="H729" s="23">
        <v>0.18</v>
      </c>
      <c r="I729" s="129">
        <v>29634</v>
      </c>
      <c r="J729" s="129">
        <f t="shared" si="57"/>
        <v>2667.06</v>
      </c>
      <c r="K729" s="129">
        <f t="shared" si="58"/>
        <v>2667.06</v>
      </c>
      <c r="L729" s="130"/>
      <c r="M729" s="130">
        <f>Table432[[#This Row],[Taxable Amount]]+Table432[[#This Row],[SGST]]+Table432[[#This Row],[CGST]]</f>
        <v>34968.120000000003</v>
      </c>
      <c r="N729" s="161">
        <f>Table432[[#This Row],[Taxable Amount]]*1%</f>
        <v>296.34000000000003</v>
      </c>
      <c r="O729" s="132"/>
      <c r="P729" s="135">
        <v>34968</v>
      </c>
      <c r="Q729" s="205">
        <v>46044</v>
      </c>
      <c r="R729" s="132" t="s">
        <v>1161</v>
      </c>
      <c r="S729" s="138">
        <f>Table432[[#This Row],[Invoice Amount]]-Table432[[#This Row],[TDS]]-Table432[[#This Row],[RTN]]-Table432[[#This Row],[RECIVED AMOUNT]]</f>
        <v>-296.21999999999389</v>
      </c>
      <c r="T729" s="131"/>
      <c r="U729" s="131"/>
      <c r="V729" s="41">
        <f>Table432[[#This Row],[BALANCE]]-Table432[[#This Row],[RECIVED AMOUNT2]]</f>
        <v>-296.21999999999389</v>
      </c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</row>
    <row r="730" spans="1:121" s="12" customFormat="1" ht="19.95" customHeight="1">
      <c r="A730" s="128">
        <v>46032</v>
      </c>
      <c r="B730" s="3" t="s">
        <v>1028</v>
      </c>
      <c r="C730" s="131" t="s">
        <v>1038</v>
      </c>
      <c r="D730" s="131" t="s">
        <v>1039</v>
      </c>
      <c r="E730" s="131" t="s">
        <v>1040</v>
      </c>
      <c r="F730" s="136" t="s">
        <v>26</v>
      </c>
      <c r="G730" s="136">
        <v>998531</v>
      </c>
      <c r="H730" s="23">
        <v>0.18</v>
      </c>
      <c r="I730" s="129">
        <v>7000</v>
      </c>
      <c r="J730" s="129">
        <f t="shared" si="57"/>
        <v>630</v>
      </c>
      <c r="K730" s="129">
        <f t="shared" si="58"/>
        <v>630</v>
      </c>
      <c r="L730" s="130"/>
      <c r="M730" s="130">
        <f>Table432[[#This Row],[Taxable Amount]]+Table432[[#This Row],[SGST]]+Table432[[#This Row],[CGST]]</f>
        <v>8260</v>
      </c>
      <c r="N730" s="161">
        <f>Table432[[#This Row],[Taxable Amount]]*1%</f>
        <v>70</v>
      </c>
      <c r="O730" s="132"/>
      <c r="P730" s="135">
        <v>8260</v>
      </c>
      <c r="Q730" s="205">
        <v>46032</v>
      </c>
      <c r="R730" s="132" t="s">
        <v>1161</v>
      </c>
      <c r="S730" s="138">
        <f>Table432[[#This Row],[Invoice Amount]]-Table432[[#This Row],[TDS]]-Table432[[#This Row],[RTN]]-Table432[[#This Row],[RECIVED AMOUNT]]</f>
        <v>-70</v>
      </c>
      <c r="T730" s="131"/>
      <c r="U730" s="131"/>
      <c r="V730" s="41">
        <f>Table432[[#This Row],[BALANCE]]-Table432[[#This Row],[RECIVED AMOUNT2]]</f>
        <v>-70</v>
      </c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</row>
    <row r="731" spans="1:121" s="326" customFormat="1" ht="19.95" customHeight="1">
      <c r="A731" s="314">
        <v>46034</v>
      </c>
      <c r="B731" s="327" t="s">
        <v>1029</v>
      </c>
      <c r="C731" s="315" t="s">
        <v>575</v>
      </c>
      <c r="D731" s="315" t="s">
        <v>576</v>
      </c>
      <c r="E731" s="315" t="s">
        <v>577</v>
      </c>
      <c r="F731" s="316" t="s">
        <v>26</v>
      </c>
      <c r="G731" s="316">
        <v>998531</v>
      </c>
      <c r="H731" s="317">
        <v>0.18</v>
      </c>
      <c r="I731" s="318">
        <v>29700</v>
      </c>
      <c r="J731" s="318">
        <f t="shared" si="57"/>
        <v>2673</v>
      </c>
      <c r="K731" s="318">
        <f t="shared" si="58"/>
        <v>2673</v>
      </c>
      <c r="L731" s="319"/>
      <c r="M731" s="319">
        <f>Table432[[#This Row],[Taxable Amount]]+Table432[[#This Row],[SGST]]+Table432[[#This Row],[CGST]]</f>
        <v>35046</v>
      </c>
      <c r="N731" s="320">
        <f>Table432[[#This Row],[Taxable Amount]]*1%</f>
        <v>297</v>
      </c>
      <c r="O731" s="321"/>
      <c r="P731" s="322"/>
      <c r="Q731" s="322"/>
      <c r="R731" s="321" t="s">
        <v>1161</v>
      </c>
      <c r="S731" s="323">
        <f>Table432[[#This Row],[Invoice Amount]]-Table432[[#This Row],[TDS]]-Table432[[#This Row],[RTN]]-Table432[[#This Row],[RECIVED AMOUNT]]</f>
        <v>34749</v>
      </c>
      <c r="T731" s="315"/>
      <c r="U731" s="315"/>
      <c r="V731" s="324">
        <f>Table432[[#This Row],[BALANCE]]-Table432[[#This Row],[RECIVED AMOUNT2]]</f>
        <v>34749</v>
      </c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  <c r="AH731" s="325"/>
      <c r="AI731" s="325"/>
      <c r="AJ731" s="325"/>
      <c r="AK731" s="325"/>
      <c r="AL731" s="325"/>
      <c r="AM731" s="325"/>
      <c r="AN731" s="325"/>
      <c r="AO731" s="325"/>
      <c r="AP731" s="325"/>
      <c r="AQ731" s="325"/>
      <c r="AR731" s="325"/>
      <c r="AS731" s="325"/>
      <c r="AT731" s="325"/>
      <c r="AU731" s="325"/>
      <c r="AV731" s="325"/>
      <c r="AW731" s="325"/>
      <c r="AX731" s="325"/>
      <c r="AY731" s="325"/>
      <c r="AZ731" s="325"/>
      <c r="BA731" s="325"/>
      <c r="BB731" s="325"/>
      <c r="BC731" s="325"/>
      <c r="BD731" s="325"/>
      <c r="BE731" s="325"/>
      <c r="BF731" s="325"/>
      <c r="BG731" s="325"/>
      <c r="BH731" s="325"/>
      <c r="BI731" s="325"/>
      <c r="BJ731" s="325"/>
      <c r="BK731" s="325"/>
      <c r="BL731" s="325"/>
      <c r="BM731" s="325"/>
      <c r="BN731" s="325"/>
      <c r="BO731" s="325"/>
      <c r="BP731" s="325"/>
      <c r="BQ731" s="325"/>
      <c r="BR731" s="325"/>
      <c r="BS731" s="325"/>
      <c r="BT731" s="325"/>
      <c r="BU731" s="325"/>
      <c r="BV731" s="325"/>
      <c r="BW731" s="325"/>
      <c r="BX731" s="325"/>
      <c r="BY731" s="325"/>
      <c r="BZ731" s="325"/>
      <c r="CA731" s="325"/>
      <c r="CB731" s="325"/>
      <c r="CC731" s="325"/>
      <c r="CD731" s="325"/>
      <c r="CE731" s="325"/>
      <c r="CF731" s="325"/>
      <c r="CG731" s="325"/>
      <c r="CH731" s="325"/>
      <c r="CI731" s="325"/>
      <c r="CJ731" s="325"/>
      <c r="CK731" s="325"/>
      <c r="CL731" s="325"/>
      <c r="CM731" s="325"/>
      <c r="CN731" s="325"/>
      <c r="CO731" s="325"/>
      <c r="CP731" s="325"/>
      <c r="CQ731" s="325"/>
      <c r="CR731" s="325"/>
      <c r="CS731" s="325"/>
      <c r="CT731" s="325"/>
      <c r="CU731" s="325"/>
      <c r="CV731" s="325"/>
      <c r="CW731" s="325"/>
      <c r="CX731" s="325"/>
      <c r="CY731" s="325"/>
      <c r="CZ731" s="325"/>
      <c r="DA731" s="325"/>
      <c r="DB731" s="325"/>
      <c r="DC731" s="325"/>
      <c r="DD731" s="325"/>
      <c r="DE731" s="325"/>
      <c r="DF731" s="325"/>
      <c r="DG731" s="325"/>
      <c r="DH731" s="325"/>
      <c r="DI731" s="325"/>
      <c r="DJ731" s="325"/>
      <c r="DK731" s="325"/>
      <c r="DL731" s="325"/>
      <c r="DM731" s="325"/>
      <c r="DN731" s="325"/>
      <c r="DO731" s="325"/>
      <c r="DP731" s="325"/>
      <c r="DQ731" s="325"/>
    </row>
    <row r="732" spans="1:121" s="12" customFormat="1" ht="19.95" customHeight="1">
      <c r="A732" s="128">
        <v>46041</v>
      </c>
      <c r="B732" s="3" t="s">
        <v>1030</v>
      </c>
      <c r="C732" s="131" t="s">
        <v>883</v>
      </c>
      <c r="D732" s="131" t="s">
        <v>884</v>
      </c>
      <c r="E732" s="131" t="s">
        <v>89</v>
      </c>
      <c r="F732" s="136" t="s">
        <v>26</v>
      </c>
      <c r="G732" s="136">
        <v>998531</v>
      </c>
      <c r="H732" s="23">
        <v>0.18</v>
      </c>
      <c r="I732" s="129">
        <v>2500</v>
      </c>
      <c r="J732" s="129">
        <f t="shared" si="57"/>
        <v>225</v>
      </c>
      <c r="K732" s="129">
        <f t="shared" si="58"/>
        <v>225</v>
      </c>
      <c r="L732" s="130"/>
      <c r="M732" s="130">
        <f>Table432[[#This Row],[Taxable Amount]]+Table432[[#This Row],[SGST]]+Table432[[#This Row],[CGST]]</f>
        <v>2950</v>
      </c>
      <c r="N732" s="161">
        <f>Table432[[#This Row],[Taxable Amount]]*1%</f>
        <v>25</v>
      </c>
      <c r="O732" s="132"/>
      <c r="P732" s="135">
        <v>2950</v>
      </c>
      <c r="Q732" s="205">
        <v>46094</v>
      </c>
      <c r="R732" s="132" t="s">
        <v>1161</v>
      </c>
      <c r="S732" s="138">
        <f>Table432[[#This Row],[Invoice Amount]]-Table432[[#This Row],[TDS]]-Table432[[#This Row],[RTN]]-Table432[[#This Row],[RECIVED AMOUNT]]</f>
        <v>-25</v>
      </c>
      <c r="T732" s="131"/>
      <c r="U732" s="131"/>
      <c r="V732" s="41">
        <f>Table432[[#This Row],[BALANCE]]-Table432[[#This Row],[RECIVED AMOUNT2]]</f>
        <v>-25</v>
      </c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</row>
    <row r="733" spans="1:121" s="12" customFormat="1" ht="19.95" customHeight="1">
      <c r="A733" s="128">
        <v>46041</v>
      </c>
      <c r="B733" s="3" t="s">
        <v>1031</v>
      </c>
      <c r="C733" s="131" t="s">
        <v>883</v>
      </c>
      <c r="D733" s="131" t="s">
        <v>884</v>
      </c>
      <c r="E733" s="131" t="s">
        <v>89</v>
      </c>
      <c r="F733" s="136" t="s">
        <v>26</v>
      </c>
      <c r="G733" s="136">
        <v>998531</v>
      </c>
      <c r="H733" s="23">
        <v>0.18</v>
      </c>
      <c r="I733" s="129">
        <v>3333</v>
      </c>
      <c r="J733" s="129">
        <f t="shared" si="57"/>
        <v>299.97000000000003</v>
      </c>
      <c r="K733" s="129">
        <f t="shared" si="58"/>
        <v>299.97000000000003</v>
      </c>
      <c r="L733" s="130"/>
      <c r="M733" s="130">
        <f>Table432[[#This Row],[Taxable Amount]]+Table432[[#This Row],[SGST]]+Table432[[#This Row],[CGST]]</f>
        <v>3932.9400000000005</v>
      </c>
      <c r="N733" s="161">
        <f>Table432[[#This Row],[Taxable Amount]]*1%</f>
        <v>33.33</v>
      </c>
      <c r="O733" s="132"/>
      <c r="P733" s="135">
        <v>3933.33</v>
      </c>
      <c r="Q733" s="205">
        <v>46094</v>
      </c>
      <c r="R733" s="132" t="s">
        <v>1161</v>
      </c>
      <c r="S733" s="138">
        <f>Table432[[#This Row],[Invoice Amount]]-Table432[[#This Row],[TDS]]-Table432[[#This Row],[RTN]]-Table432[[#This Row],[RECIVED AMOUNT]]</f>
        <v>-33.719999999999345</v>
      </c>
      <c r="T733" s="131"/>
      <c r="U733" s="131"/>
      <c r="V733" s="41">
        <f>Table432[[#This Row],[BALANCE]]-Table432[[#This Row],[RECIVED AMOUNT2]]</f>
        <v>-33.719999999999345</v>
      </c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</row>
    <row r="734" spans="1:121" s="326" customFormat="1" ht="19.95" customHeight="1">
      <c r="A734" s="314">
        <v>46041</v>
      </c>
      <c r="B734" s="327" t="s">
        <v>1032</v>
      </c>
      <c r="C734" s="315" t="s">
        <v>883</v>
      </c>
      <c r="D734" s="315" t="s">
        <v>884</v>
      </c>
      <c r="E734" s="315" t="s">
        <v>89</v>
      </c>
      <c r="F734" s="316" t="s">
        <v>26</v>
      </c>
      <c r="G734" s="316">
        <v>998531</v>
      </c>
      <c r="H734" s="317">
        <v>0.18</v>
      </c>
      <c r="I734" s="318">
        <v>3333</v>
      </c>
      <c r="J734" s="318">
        <f t="shared" si="57"/>
        <v>299.97000000000003</v>
      </c>
      <c r="K734" s="318">
        <f t="shared" si="58"/>
        <v>299.97000000000003</v>
      </c>
      <c r="L734" s="319"/>
      <c r="M734" s="319">
        <f>Table432[[#This Row],[Taxable Amount]]+Table432[[#This Row],[SGST]]+Table432[[#This Row],[CGST]]</f>
        <v>3932.9400000000005</v>
      </c>
      <c r="N734" s="320">
        <f>Table432[[#This Row],[Taxable Amount]]*1%</f>
        <v>33.33</v>
      </c>
      <c r="O734" s="321"/>
      <c r="P734" s="322" t="s">
        <v>54</v>
      </c>
      <c r="Q734" s="465" t="s">
        <v>1334</v>
      </c>
      <c r="R734" s="321" t="s">
        <v>1161</v>
      </c>
      <c r="S734" s="323" t="e">
        <f>Table432[[#This Row],[Invoice Amount]]-Table432[[#This Row],[TDS]]-Table432[[#This Row],[RTN]]-Table432[[#This Row],[RECIVED AMOUNT]]</f>
        <v>#VALUE!</v>
      </c>
      <c r="T734" s="315"/>
      <c r="U734" s="315"/>
      <c r="V734" s="324" t="e">
        <f>Table432[[#This Row],[BALANCE]]-Table432[[#This Row],[RECIVED AMOUNT2]]</f>
        <v>#VALUE!</v>
      </c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  <c r="AH734" s="325"/>
      <c r="AI734" s="325"/>
      <c r="AJ734" s="325"/>
      <c r="AK734" s="325"/>
      <c r="AL734" s="325"/>
      <c r="AM734" s="325"/>
      <c r="AN734" s="325"/>
      <c r="AO734" s="325"/>
      <c r="AP734" s="325"/>
      <c r="AQ734" s="325"/>
      <c r="AR734" s="325"/>
      <c r="AS734" s="325"/>
      <c r="AT734" s="325"/>
      <c r="AU734" s="325"/>
      <c r="AV734" s="325"/>
      <c r="AW734" s="325"/>
      <c r="AX734" s="325"/>
      <c r="AY734" s="325"/>
      <c r="AZ734" s="325"/>
      <c r="BA734" s="325"/>
      <c r="BB734" s="325"/>
      <c r="BC734" s="325"/>
      <c r="BD734" s="325"/>
      <c r="BE734" s="325"/>
      <c r="BF734" s="325"/>
      <c r="BG734" s="325"/>
      <c r="BH734" s="325"/>
      <c r="BI734" s="325"/>
      <c r="BJ734" s="325"/>
      <c r="BK734" s="325"/>
      <c r="BL734" s="325"/>
      <c r="BM734" s="325"/>
      <c r="BN734" s="325"/>
      <c r="BO734" s="325"/>
      <c r="BP734" s="325"/>
      <c r="BQ734" s="325"/>
      <c r="BR734" s="325"/>
      <c r="BS734" s="325"/>
      <c r="BT734" s="325"/>
      <c r="BU734" s="325"/>
      <c r="BV734" s="325"/>
      <c r="BW734" s="325"/>
      <c r="BX734" s="325"/>
      <c r="BY734" s="325"/>
      <c r="BZ734" s="325"/>
      <c r="CA734" s="325"/>
      <c r="CB734" s="325"/>
      <c r="CC734" s="325"/>
      <c r="CD734" s="325"/>
      <c r="CE734" s="325"/>
      <c r="CF734" s="325"/>
      <c r="CG734" s="325"/>
      <c r="CH734" s="325"/>
      <c r="CI734" s="325"/>
      <c r="CJ734" s="325"/>
      <c r="CK734" s="325"/>
      <c r="CL734" s="325"/>
      <c r="CM734" s="325"/>
      <c r="CN734" s="325"/>
      <c r="CO734" s="325"/>
      <c r="CP734" s="325"/>
      <c r="CQ734" s="325"/>
      <c r="CR734" s="325"/>
      <c r="CS734" s="325"/>
      <c r="CT734" s="325"/>
      <c r="CU734" s="325"/>
      <c r="CV734" s="325"/>
      <c r="CW734" s="325"/>
      <c r="CX734" s="325"/>
      <c r="CY734" s="325"/>
      <c r="CZ734" s="325"/>
      <c r="DA734" s="325"/>
      <c r="DB734" s="325"/>
      <c r="DC734" s="325"/>
      <c r="DD734" s="325"/>
      <c r="DE734" s="325"/>
      <c r="DF734" s="325"/>
      <c r="DG734" s="325"/>
      <c r="DH734" s="325"/>
      <c r="DI734" s="325"/>
      <c r="DJ734" s="325"/>
      <c r="DK734" s="325"/>
      <c r="DL734" s="325"/>
      <c r="DM734" s="325"/>
      <c r="DN734" s="325"/>
      <c r="DO734" s="325"/>
      <c r="DP734" s="325"/>
      <c r="DQ734" s="325"/>
    </row>
    <row r="735" spans="1:121" s="12" customFormat="1" ht="19.95" customHeight="1">
      <c r="A735" s="128">
        <v>46049</v>
      </c>
      <c r="B735" s="3" t="s">
        <v>1033</v>
      </c>
      <c r="C735" s="131" t="s">
        <v>765</v>
      </c>
      <c r="D735" s="131" t="s">
        <v>766</v>
      </c>
      <c r="E735" s="131" t="s">
        <v>89</v>
      </c>
      <c r="F735" s="136" t="s">
        <v>26</v>
      </c>
      <c r="G735" s="136">
        <v>998531</v>
      </c>
      <c r="H735" s="23">
        <v>0.18</v>
      </c>
      <c r="I735" s="129">
        <v>1500</v>
      </c>
      <c r="J735" s="129">
        <f t="shared" si="57"/>
        <v>135</v>
      </c>
      <c r="K735" s="129">
        <f t="shared" si="58"/>
        <v>135</v>
      </c>
      <c r="L735" s="130"/>
      <c r="M735" s="130">
        <f>Table432[[#This Row],[Taxable Amount]]+Table432[[#This Row],[SGST]]+Table432[[#This Row],[CGST]]</f>
        <v>1770</v>
      </c>
      <c r="N735" s="161">
        <f>Table432[[#This Row],[Taxable Amount]]*1%</f>
        <v>15</v>
      </c>
      <c r="O735" s="132"/>
      <c r="P735" s="135">
        <v>1770</v>
      </c>
      <c r="Q735" s="205">
        <v>46066</v>
      </c>
      <c r="R735" s="132" t="s">
        <v>1161</v>
      </c>
      <c r="S735" s="138">
        <f>Table432[[#This Row],[Invoice Amount]]-Table432[[#This Row],[TDS]]-Table432[[#This Row],[RTN]]-Table432[[#This Row],[RECIVED AMOUNT]]</f>
        <v>-15</v>
      </c>
      <c r="T735" s="131"/>
      <c r="U735" s="131"/>
      <c r="V735" s="41">
        <f>Table432[[#This Row],[BALANCE]]-Table432[[#This Row],[RECIVED AMOUNT2]]</f>
        <v>-15</v>
      </c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</row>
    <row r="736" spans="1:121" s="12" customFormat="1" ht="19.95" customHeight="1">
      <c r="A736" s="128">
        <v>46049</v>
      </c>
      <c r="B736" s="3" t="s">
        <v>1034</v>
      </c>
      <c r="C736" s="131" t="s">
        <v>1041</v>
      </c>
      <c r="D736" s="131" t="s">
        <v>1042</v>
      </c>
      <c r="E736" s="131" t="s">
        <v>1025</v>
      </c>
      <c r="F736" s="136" t="s">
        <v>26</v>
      </c>
      <c r="G736" s="136">
        <v>998531</v>
      </c>
      <c r="H736" s="23">
        <v>0.18</v>
      </c>
      <c r="I736" s="129">
        <v>4200</v>
      </c>
      <c r="J736" s="129">
        <f t="shared" si="57"/>
        <v>378</v>
      </c>
      <c r="K736" s="129">
        <f t="shared" si="58"/>
        <v>378</v>
      </c>
      <c r="L736" s="130"/>
      <c r="M736" s="130">
        <f>Table432[[#This Row],[Taxable Amount]]+Table432[[#This Row],[SGST]]+Table432[[#This Row],[CGST]]</f>
        <v>4956</v>
      </c>
      <c r="N736" s="161">
        <f>Table432[[#This Row],[Taxable Amount]]*1%</f>
        <v>42</v>
      </c>
      <c r="O736" s="132"/>
      <c r="P736" s="135"/>
      <c r="Q736" s="135"/>
      <c r="R736" s="132" t="s">
        <v>1161</v>
      </c>
      <c r="S736" s="138">
        <f>Table432[[#This Row],[Invoice Amount]]-Table432[[#This Row],[TDS]]-Table432[[#This Row],[RTN]]-Table432[[#This Row],[RECIVED AMOUNT]]</f>
        <v>4914</v>
      </c>
      <c r="T736" s="131"/>
      <c r="U736" s="131"/>
      <c r="V736" s="41">
        <f>Table432[[#This Row],[BALANCE]]-Table432[[#This Row],[RECIVED AMOUNT2]]</f>
        <v>4914</v>
      </c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</row>
    <row r="737" spans="1:121" s="12" customFormat="1" ht="19.95" customHeight="1">
      <c r="A737" s="128">
        <v>46049</v>
      </c>
      <c r="B737" s="3" t="s">
        <v>1035</v>
      </c>
      <c r="C737" s="131" t="s">
        <v>1043</v>
      </c>
      <c r="D737" s="131" t="s">
        <v>1044</v>
      </c>
      <c r="E737" s="131" t="s">
        <v>59</v>
      </c>
      <c r="F737" s="136" t="s">
        <v>26</v>
      </c>
      <c r="G737" s="136">
        <v>998531</v>
      </c>
      <c r="H737" s="23">
        <v>0.18</v>
      </c>
      <c r="I737" s="129">
        <v>6000</v>
      </c>
      <c r="J737" s="129">
        <f t="shared" si="57"/>
        <v>540</v>
      </c>
      <c r="K737" s="129">
        <f t="shared" si="58"/>
        <v>540</v>
      </c>
      <c r="L737" s="130"/>
      <c r="M737" s="130">
        <f>Table432[[#This Row],[Taxable Amount]]+Table432[[#This Row],[SGST]]+Table432[[#This Row],[CGST]]</f>
        <v>7080</v>
      </c>
      <c r="N737" s="161">
        <f>Table432[[#This Row],[Taxable Amount]]*1%</f>
        <v>60</v>
      </c>
      <c r="O737" s="132"/>
      <c r="P737" s="135">
        <v>7080</v>
      </c>
      <c r="Q737" s="205">
        <v>46050</v>
      </c>
      <c r="R737" s="132" t="s">
        <v>1161</v>
      </c>
      <c r="S737" s="138">
        <f>Table432[[#This Row],[Invoice Amount]]-Table432[[#This Row],[TDS]]-Table432[[#This Row],[RTN]]-Table432[[#This Row],[RECIVED AMOUNT]]</f>
        <v>-60</v>
      </c>
      <c r="T737" s="131"/>
      <c r="U737" s="131"/>
      <c r="V737" s="41">
        <f>Table432[[#This Row],[BALANCE]]-Table432[[#This Row],[RECIVED AMOUNT2]]</f>
        <v>-60</v>
      </c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</row>
    <row r="738" spans="1:121" s="12" customFormat="1" ht="19.95" customHeight="1">
      <c r="A738" s="128">
        <v>46049</v>
      </c>
      <c r="B738" s="131" t="s">
        <v>1045</v>
      </c>
      <c r="C738" s="131" t="s">
        <v>637</v>
      </c>
      <c r="D738" s="131" t="s">
        <v>638</v>
      </c>
      <c r="E738" s="131" t="s">
        <v>629</v>
      </c>
      <c r="F738" s="136" t="s">
        <v>26</v>
      </c>
      <c r="G738" s="136">
        <v>998531</v>
      </c>
      <c r="H738" s="23">
        <v>0.18</v>
      </c>
      <c r="I738" s="129">
        <v>12400</v>
      </c>
      <c r="J738" s="129">
        <f t="shared" si="57"/>
        <v>1116</v>
      </c>
      <c r="K738" s="129">
        <f t="shared" si="58"/>
        <v>1116</v>
      </c>
      <c r="L738" s="130"/>
      <c r="M738" s="130">
        <f>Table432[[#This Row],[Taxable Amount]]+Table432[[#This Row],[SGST]]+Table432[[#This Row],[CGST]]</f>
        <v>14632</v>
      </c>
      <c r="N738" s="161">
        <f>Table432[[#This Row],[Taxable Amount]]*1%</f>
        <v>124</v>
      </c>
      <c r="O738" s="132">
        <v>310</v>
      </c>
      <c r="P738" s="135">
        <v>10589</v>
      </c>
      <c r="Q738" s="205">
        <v>46120</v>
      </c>
      <c r="R738" s="132" t="s">
        <v>1161</v>
      </c>
      <c r="S738" s="138">
        <f>Table432[[#This Row],[Invoice Amount]]-Table432[[#This Row],[TDS]]-Table432[[#This Row],[RTN]]-Table432[[#This Row],[RECIVED AMOUNT]]</f>
        <v>3609</v>
      </c>
      <c r="T738" s="131">
        <v>2232</v>
      </c>
      <c r="U738" s="280">
        <v>46120</v>
      </c>
      <c r="V738" s="41">
        <f>Table432[[#This Row],[BALANCE]]-Table432[[#This Row],[RECIVED AMOUNT2]]</f>
        <v>1377</v>
      </c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</row>
    <row r="739" spans="1:121" s="248" customFormat="1" ht="19.95" customHeight="1">
      <c r="A739" s="293">
        <v>46049</v>
      </c>
      <c r="B739" s="235" t="s">
        <v>1046</v>
      </c>
      <c r="C739" s="235" t="s">
        <v>42</v>
      </c>
      <c r="D739" s="235" t="s">
        <v>730</v>
      </c>
      <c r="E739" s="235" t="s">
        <v>953</v>
      </c>
      <c r="F739" s="236" t="s">
        <v>26</v>
      </c>
      <c r="G739" s="236">
        <v>998531</v>
      </c>
      <c r="H739" s="237">
        <v>0.18</v>
      </c>
      <c r="I739" s="238">
        <v>7550</v>
      </c>
      <c r="J739" s="238">
        <f t="shared" si="57"/>
        <v>679.5</v>
      </c>
      <c r="K739" s="238">
        <f t="shared" si="58"/>
        <v>679.5</v>
      </c>
      <c r="L739" s="294"/>
      <c r="M739" s="294">
        <f>Table432[[#This Row],[Taxable Amount]]+Table432[[#This Row],[SGST]]+Table432[[#This Row],[CGST]]</f>
        <v>8909</v>
      </c>
      <c r="N739" s="240">
        <f>Table432[[#This Row],[Taxable Amount]]*1%</f>
        <v>75.5</v>
      </c>
      <c r="O739" s="244"/>
      <c r="P739" s="242"/>
      <c r="Q739" s="243">
        <v>46100</v>
      </c>
      <c r="R739" s="244" t="s">
        <v>1161</v>
      </c>
      <c r="S739" s="245">
        <f>Table432[[#This Row],[Invoice Amount]]-Table432[[#This Row],[TDS]]-Table432[[#This Row],[RTN]]-Table432[[#This Row],[RECIVED AMOUNT]]</f>
        <v>8833.5</v>
      </c>
      <c r="T739" s="235"/>
      <c r="U739" s="235"/>
      <c r="V739" s="246">
        <f>Table432[[#This Row],[BALANCE]]-Table432[[#This Row],[RECIVED AMOUNT2]]</f>
        <v>8833.5</v>
      </c>
      <c r="W739" s="247"/>
      <c r="X739" s="247"/>
      <c r="Y739" s="247"/>
      <c r="Z739" s="247"/>
      <c r="AA739" s="247"/>
      <c r="AB739" s="247"/>
      <c r="AC739" s="247"/>
      <c r="AD739" s="247"/>
      <c r="AE739" s="247"/>
      <c r="AF739" s="247"/>
      <c r="AG739" s="247"/>
      <c r="AH739" s="247"/>
      <c r="AI739" s="247"/>
      <c r="AJ739" s="247"/>
      <c r="AK739" s="247"/>
      <c r="AL739" s="247"/>
      <c r="AM739" s="247"/>
      <c r="AN739" s="247"/>
      <c r="AO739" s="247"/>
      <c r="AP739" s="247"/>
      <c r="AQ739" s="247"/>
      <c r="AR739" s="247"/>
      <c r="AS739" s="247"/>
      <c r="AT739" s="247"/>
      <c r="AU739" s="247"/>
      <c r="AV739" s="247"/>
      <c r="AW739" s="247"/>
      <c r="AX739" s="247"/>
      <c r="AY739" s="247"/>
      <c r="AZ739" s="247"/>
      <c r="BA739" s="247"/>
      <c r="BB739" s="247"/>
      <c r="BC739" s="247"/>
      <c r="BD739" s="247"/>
      <c r="BE739" s="247"/>
      <c r="BF739" s="247"/>
      <c r="BG739" s="247"/>
      <c r="BH739" s="247"/>
      <c r="BI739" s="247"/>
      <c r="BJ739" s="247"/>
      <c r="BK739" s="247"/>
      <c r="BL739" s="247"/>
      <c r="BM739" s="247"/>
      <c r="BN739" s="247"/>
      <c r="BO739" s="247"/>
      <c r="BP739" s="247"/>
      <c r="BQ739" s="247"/>
      <c r="BR739" s="247"/>
      <c r="BS739" s="247"/>
      <c r="BT739" s="247"/>
      <c r="BU739" s="247"/>
      <c r="BV739" s="247"/>
      <c r="BW739" s="247"/>
      <c r="BX739" s="247"/>
      <c r="BY739" s="247"/>
      <c r="BZ739" s="247"/>
      <c r="CA739" s="247"/>
      <c r="CB739" s="247"/>
      <c r="CC739" s="247"/>
      <c r="CD739" s="247"/>
      <c r="CE739" s="247"/>
      <c r="CF739" s="247"/>
      <c r="CG739" s="247"/>
      <c r="CH739" s="247"/>
      <c r="CI739" s="247"/>
      <c r="CJ739" s="247"/>
      <c r="CK739" s="247"/>
      <c r="CL739" s="247"/>
      <c r="CM739" s="247"/>
      <c r="CN739" s="247"/>
      <c r="CO739" s="247"/>
      <c r="CP739" s="247"/>
      <c r="CQ739" s="247"/>
      <c r="CR739" s="247"/>
      <c r="CS739" s="247"/>
      <c r="CT739" s="247"/>
      <c r="CU739" s="247"/>
      <c r="CV739" s="247"/>
      <c r="CW739" s="247"/>
      <c r="CX739" s="247"/>
      <c r="CY739" s="247"/>
      <c r="CZ739" s="247"/>
      <c r="DA739" s="247"/>
      <c r="DB739" s="247"/>
      <c r="DC739" s="247"/>
      <c r="DD739" s="247"/>
      <c r="DE739" s="247"/>
      <c r="DF739" s="247"/>
      <c r="DG739" s="247"/>
      <c r="DH739" s="247"/>
      <c r="DI739" s="247"/>
      <c r="DJ739" s="247"/>
      <c r="DK739" s="247"/>
      <c r="DL739" s="247"/>
      <c r="DM739" s="247"/>
      <c r="DN739" s="247"/>
      <c r="DO739" s="247"/>
      <c r="DP739" s="247"/>
      <c r="DQ739" s="247"/>
    </row>
    <row r="740" spans="1:121" s="248" customFormat="1" ht="19.95" customHeight="1">
      <c r="A740" s="293">
        <v>46049</v>
      </c>
      <c r="B740" s="235" t="s">
        <v>1047</v>
      </c>
      <c r="C740" s="235" t="s">
        <v>42</v>
      </c>
      <c r="D740" s="235" t="s">
        <v>730</v>
      </c>
      <c r="E740" s="235" t="s">
        <v>101</v>
      </c>
      <c r="F740" s="236" t="s">
        <v>26</v>
      </c>
      <c r="G740" s="236">
        <v>998531</v>
      </c>
      <c r="H740" s="237">
        <v>0.18</v>
      </c>
      <c r="I740" s="238">
        <v>5050</v>
      </c>
      <c r="J740" s="238">
        <f t="shared" si="57"/>
        <v>454.5</v>
      </c>
      <c r="K740" s="238">
        <f t="shared" si="58"/>
        <v>454.5</v>
      </c>
      <c r="L740" s="294"/>
      <c r="M740" s="294">
        <f>Table432[[#This Row],[Taxable Amount]]+Table432[[#This Row],[SGST]]+Table432[[#This Row],[CGST]]</f>
        <v>5959</v>
      </c>
      <c r="N740" s="240">
        <f>Table432[[#This Row],[Taxable Amount]]*1%</f>
        <v>50.5</v>
      </c>
      <c r="O740" s="244"/>
      <c r="P740" s="242"/>
      <c r="Q740" s="243">
        <v>46100</v>
      </c>
      <c r="R740" s="244" t="s">
        <v>1161</v>
      </c>
      <c r="S740" s="245">
        <f>Table432[[#This Row],[Invoice Amount]]-Table432[[#This Row],[TDS]]-Table432[[#This Row],[RTN]]-Table432[[#This Row],[RECIVED AMOUNT]]</f>
        <v>5908.5</v>
      </c>
      <c r="T740" s="235"/>
      <c r="U740" s="235"/>
      <c r="V740" s="246">
        <f>Table432[[#This Row],[BALANCE]]-Table432[[#This Row],[RECIVED AMOUNT2]]</f>
        <v>5908.5</v>
      </c>
      <c r="W740" s="247"/>
      <c r="X740" s="247"/>
      <c r="Y740" s="247"/>
      <c r="Z740" s="247"/>
      <c r="AA740" s="247"/>
      <c r="AB740" s="247"/>
      <c r="AC740" s="247"/>
      <c r="AD740" s="247"/>
      <c r="AE740" s="247"/>
      <c r="AF740" s="247"/>
      <c r="AG740" s="247"/>
      <c r="AH740" s="247"/>
      <c r="AI740" s="247"/>
      <c r="AJ740" s="247"/>
      <c r="AK740" s="247"/>
      <c r="AL740" s="247"/>
      <c r="AM740" s="247"/>
      <c r="AN740" s="247"/>
      <c r="AO740" s="247"/>
      <c r="AP740" s="247"/>
      <c r="AQ740" s="247"/>
      <c r="AR740" s="247"/>
      <c r="AS740" s="247"/>
      <c r="AT740" s="247"/>
      <c r="AU740" s="247"/>
      <c r="AV740" s="247"/>
      <c r="AW740" s="247"/>
      <c r="AX740" s="247"/>
      <c r="AY740" s="247"/>
      <c r="AZ740" s="247"/>
      <c r="BA740" s="247"/>
      <c r="BB740" s="247"/>
      <c r="BC740" s="247"/>
      <c r="BD740" s="247"/>
      <c r="BE740" s="247"/>
      <c r="BF740" s="247"/>
      <c r="BG740" s="247"/>
      <c r="BH740" s="247"/>
      <c r="BI740" s="247"/>
      <c r="BJ740" s="247"/>
      <c r="BK740" s="247"/>
      <c r="BL740" s="247"/>
      <c r="BM740" s="247"/>
      <c r="BN740" s="247"/>
      <c r="BO740" s="247"/>
      <c r="BP740" s="247"/>
      <c r="BQ740" s="247"/>
      <c r="BR740" s="247"/>
      <c r="BS740" s="247"/>
      <c r="BT740" s="247"/>
      <c r="BU740" s="247"/>
      <c r="BV740" s="247"/>
      <c r="BW740" s="247"/>
      <c r="BX740" s="247"/>
      <c r="BY740" s="247"/>
      <c r="BZ740" s="247"/>
      <c r="CA740" s="247"/>
      <c r="CB740" s="247"/>
      <c r="CC740" s="247"/>
      <c r="CD740" s="247"/>
      <c r="CE740" s="247"/>
      <c r="CF740" s="247"/>
      <c r="CG740" s="247"/>
      <c r="CH740" s="247"/>
      <c r="CI740" s="247"/>
      <c r="CJ740" s="247"/>
      <c r="CK740" s="247"/>
      <c r="CL740" s="247"/>
      <c r="CM740" s="247"/>
      <c r="CN740" s="247"/>
      <c r="CO740" s="247"/>
      <c r="CP740" s="247"/>
      <c r="CQ740" s="247"/>
      <c r="CR740" s="247"/>
      <c r="CS740" s="247"/>
      <c r="CT740" s="247"/>
      <c r="CU740" s="247"/>
      <c r="CV740" s="247"/>
      <c r="CW740" s="247"/>
      <c r="CX740" s="247"/>
      <c r="CY740" s="247"/>
      <c r="CZ740" s="247"/>
      <c r="DA740" s="247"/>
      <c r="DB740" s="247"/>
      <c r="DC740" s="247"/>
      <c r="DD740" s="247"/>
      <c r="DE740" s="247"/>
      <c r="DF740" s="247"/>
      <c r="DG740" s="247"/>
      <c r="DH740" s="247"/>
      <c r="DI740" s="247"/>
      <c r="DJ740" s="247"/>
      <c r="DK740" s="247"/>
      <c r="DL740" s="247"/>
      <c r="DM740" s="247"/>
      <c r="DN740" s="247"/>
      <c r="DO740" s="247"/>
      <c r="DP740" s="247"/>
      <c r="DQ740" s="247"/>
    </row>
    <row r="741" spans="1:121" s="248" customFormat="1" ht="19.95" customHeight="1">
      <c r="A741" s="293">
        <v>46049</v>
      </c>
      <c r="B741" s="235" t="s">
        <v>1048</v>
      </c>
      <c r="C741" s="235" t="s">
        <v>42</v>
      </c>
      <c r="D741" s="235" t="s">
        <v>730</v>
      </c>
      <c r="E741" s="235" t="s">
        <v>44</v>
      </c>
      <c r="F741" s="236" t="s">
        <v>26</v>
      </c>
      <c r="G741" s="236">
        <v>998531</v>
      </c>
      <c r="H741" s="237">
        <v>0.18</v>
      </c>
      <c r="I741" s="238">
        <v>32621</v>
      </c>
      <c r="J741" s="238">
        <f t="shared" si="57"/>
        <v>2935.89</v>
      </c>
      <c r="K741" s="238">
        <f t="shared" si="58"/>
        <v>2935.89</v>
      </c>
      <c r="L741" s="294"/>
      <c r="M741" s="294">
        <f>Table432[[#This Row],[Taxable Amount]]+Table432[[#This Row],[SGST]]+Table432[[#This Row],[CGST]]</f>
        <v>38492.78</v>
      </c>
      <c r="N741" s="240">
        <f>Table432[[#This Row],[Taxable Amount]]*1%</f>
        <v>326.20999999999998</v>
      </c>
      <c r="O741" s="244"/>
      <c r="P741" s="295">
        <v>45590</v>
      </c>
      <c r="Q741" s="243">
        <v>46073</v>
      </c>
      <c r="R741" s="244" t="s">
        <v>1161</v>
      </c>
      <c r="S741" s="245">
        <f>Table432[[#This Row],[Invoice Amount]]-Table432[[#This Row],[TDS]]-Table432[[#This Row],[RTN]]-Table432[[#This Row],[RECIVED AMOUNT]]</f>
        <v>-7423.43</v>
      </c>
      <c r="T741" s="235"/>
      <c r="U741" s="235"/>
      <c r="V741" s="246">
        <f>Table432[[#This Row],[BALANCE]]-Table432[[#This Row],[RECIVED AMOUNT2]]</f>
        <v>-7423.43</v>
      </c>
      <c r="W741" s="247"/>
      <c r="X741" s="12"/>
      <c r="Y741" s="12"/>
      <c r="Z741" s="12"/>
      <c r="AA741" s="247"/>
      <c r="AB741" s="247"/>
      <c r="AC741" s="247"/>
      <c r="AD741" s="247"/>
      <c r="AE741" s="247"/>
      <c r="AF741" s="247"/>
      <c r="AG741" s="247"/>
      <c r="AH741" s="247"/>
      <c r="AI741" s="247"/>
      <c r="AJ741" s="247"/>
      <c r="AK741" s="247"/>
      <c r="AL741" s="247"/>
      <c r="AM741" s="247"/>
      <c r="AN741" s="247"/>
      <c r="AO741" s="247"/>
      <c r="AP741" s="247"/>
      <c r="AQ741" s="247"/>
      <c r="AR741" s="247"/>
      <c r="AS741" s="247"/>
      <c r="AT741" s="247"/>
      <c r="AU741" s="247"/>
      <c r="AV741" s="247"/>
      <c r="AW741" s="247"/>
      <c r="AX741" s="247"/>
      <c r="AY741" s="247"/>
      <c r="AZ741" s="247"/>
      <c r="BA741" s="247"/>
      <c r="BB741" s="247"/>
      <c r="BC741" s="247"/>
      <c r="BD741" s="247"/>
      <c r="BE741" s="247"/>
      <c r="BF741" s="247"/>
      <c r="BG741" s="247"/>
      <c r="BH741" s="247"/>
      <c r="BI741" s="247"/>
      <c r="BJ741" s="247"/>
      <c r="BK741" s="247"/>
      <c r="BL741" s="247"/>
      <c r="BM741" s="247"/>
      <c r="BN741" s="247"/>
      <c r="BO741" s="247"/>
      <c r="BP741" s="247"/>
      <c r="BQ741" s="247"/>
      <c r="BR741" s="247"/>
      <c r="BS741" s="247"/>
      <c r="BT741" s="247"/>
      <c r="BU741" s="247"/>
      <c r="BV741" s="247"/>
      <c r="BW741" s="247"/>
      <c r="BX741" s="247"/>
      <c r="BY741" s="247"/>
      <c r="BZ741" s="247"/>
      <c r="CA741" s="247"/>
      <c r="CB741" s="247"/>
      <c r="CC741" s="247"/>
      <c r="CD741" s="247"/>
      <c r="CE741" s="247"/>
      <c r="CF741" s="247"/>
      <c r="CG741" s="247"/>
      <c r="CH741" s="247"/>
      <c r="CI741" s="247"/>
      <c r="CJ741" s="247"/>
      <c r="CK741" s="247"/>
      <c r="CL741" s="247"/>
      <c r="CM741" s="247"/>
      <c r="CN741" s="247"/>
      <c r="CO741" s="247"/>
      <c r="CP741" s="247"/>
      <c r="CQ741" s="247"/>
      <c r="CR741" s="247"/>
      <c r="CS741" s="247"/>
      <c r="CT741" s="247"/>
      <c r="CU741" s="247"/>
      <c r="CV741" s="247"/>
      <c r="CW741" s="247"/>
      <c r="CX741" s="247"/>
      <c r="CY741" s="247"/>
      <c r="CZ741" s="247"/>
      <c r="DA741" s="247"/>
      <c r="DB741" s="247"/>
      <c r="DC741" s="247"/>
      <c r="DD741" s="247"/>
      <c r="DE741" s="247"/>
      <c r="DF741" s="247"/>
      <c r="DG741" s="247"/>
      <c r="DH741" s="247"/>
      <c r="DI741" s="247"/>
      <c r="DJ741" s="247"/>
      <c r="DK741" s="247"/>
      <c r="DL741" s="247"/>
      <c r="DM741" s="247"/>
      <c r="DN741" s="247"/>
      <c r="DO741" s="247"/>
      <c r="DP741" s="247"/>
      <c r="DQ741" s="247"/>
    </row>
    <row r="742" spans="1:121" s="248" customFormat="1" ht="19.95" customHeight="1">
      <c r="A742" s="293">
        <v>46049</v>
      </c>
      <c r="B742" s="235" t="s">
        <v>1049</v>
      </c>
      <c r="C742" s="235" t="s">
        <v>42</v>
      </c>
      <c r="D742" s="235" t="s">
        <v>730</v>
      </c>
      <c r="E742" s="235" t="s">
        <v>163</v>
      </c>
      <c r="F742" s="236" t="s">
        <v>26</v>
      </c>
      <c r="G742" s="236">
        <v>998531</v>
      </c>
      <c r="H742" s="237">
        <v>0.18</v>
      </c>
      <c r="I742" s="238">
        <v>21650</v>
      </c>
      <c r="J742" s="238">
        <f t="shared" si="57"/>
        <v>1948.5</v>
      </c>
      <c r="K742" s="238">
        <f t="shared" si="58"/>
        <v>1948.5</v>
      </c>
      <c r="L742" s="294"/>
      <c r="M742" s="294">
        <f>Table432[[#This Row],[Taxable Amount]]+Table432[[#This Row],[SGST]]+Table432[[#This Row],[CGST]]</f>
        <v>25547</v>
      </c>
      <c r="N742" s="240">
        <f>Table432[[#This Row],[Taxable Amount]]*1%</f>
        <v>216.5</v>
      </c>
      <c r="O742" s="244"/>
      <c r="P742" s="295">
        <v>20667</v>
      </c>
      <c r="Q742" s="243">
        <v>46080</v>
      </c>
      <c r="R742" s="244" t="s">
        <v>1161</v>
      </c>
      <c r="S742" s="245">
        <f>Table432[[#This Row],[Invoice Amount]]-Table432[[#This Row],[TDS]]-Table432[[#This Row],[RTN]]-Table432[[#This Row],[RECIVED AMOUNT]]</f>
        <v>4663.5</v>
      </c>
      <c r="T742" s="235"/>
      <c r="U742" s="235"/>
      <c r="V742" s="246">
        <f>Table432[[#This Row],[BALANCE]]-Table432[[#This Row],[RECIVED AMOUNT2]]</f>
        <v>4663.5</v>
      </c>
      <c r="W742" s="247"/>
      <c r="X742" s="247"/>
      <c r="Y742" s="248" t="s">
        <v>1261</v>
      </c>
      <c r="Z742" s="247"/>
      <c r="AA742" s="247"/>
      <c r="AB742" s="247"/>
      <c r="AC742" s="247"/>
      <c r="AD742" s="247"/>
      <c r="AE742" s="247"/>
      <c r="AF742" s="247"/>
      <c r="AG742" s="247"/>
      <c r="AH742" s="247"/>
      <c r="AI742" s="247"/>
      <c r="AJ742" s="247"/>
      <c r="AK742" s="247"/>
      <c r="AL742" s="247"/>
      <c r="AM742" s="247"/>
      <c r="AN742" s="247"/>
      <c r="AO742" s="247"/>
      <c r="AP742" s="247"/>
      <c r="AQ742" s="247"/>
      <c r="AR742" s="247"/>
      <c r="AS742" s="247"/>
      <c r="AT742" s="247"/>
      <c r="AU742" s="247"/>
      <c r="AV742" s="247"/>
      <c r="AW742" s="247"/>
      <c r="AX742" s="247"/>
      <c r="AY742" s="247"/>
      <c r="AZ742" s="247"/>
      <c r="BA742" s="247"/>
      <c r="BB742" s="247"/>
      <c r="BC742" s="247"/>
      <c r="BD742" s="247"/>
      <c r="BE742" s="247"/>
      <c r="BF742" s="247"/>
      <c r="BG742" s="247"/>
      <c r="BH742" s="247"/>
      <c r="BI742" s="247"/>
      <c r="BJ742" s="247"/>
      <c r="BK742" s="247"/>
      <c r="BL742" s="247"/>
      <c r="BM742" s="247"/>
      <c r="BN742" s="247"/>
      <c r="BO742" s="247"/>
      <c r="BP742" s="247"/>
      <c r="BQ742" s="247"/>
      <c r="BR742" s="247"/>
      <c r="BS742" s="247"/>
      <c r="BT742" s="247"/>
      <c r="BU742" s="247"/>
      <c r="BV742" s="247"/>
      <c r="BW742" s="247"/>
      <c r="BX742" s="247"/>
      <c r="BY742" s="247"/>
      <c r="BZ742" s="247"/>
      <c r="CA742" s="247"/>
      <c r="CB742" s="247"/>
      <c r="CC742" s="247"/>
      <c r="CD742" s="247"/>
      <c r="CE742" s="247"/>
      <c r="CF742" s="247"/>
      <c r="CG742" s="247"/>
      <c r="CH742" s="247"/>
      <c r="CI742" s="247"/>
      <c r="CJ742" s="247"/>
      <c r="CK742" s="247"/>
      <c r="CL742" s="247"/>
      <c r="CM742" s="247"/>
      <c r="CN742" s="247"/>
      <c r="CO742" s="247"/>
      <c r="CP742" s="247"/>
      <c r="CQ742" s="247"/>
      <c r="CR742" s="247"/>
      <c r="CS742" s="247"/>
      <c r="CT742" s="247"/>
      <c r="CU742" s="247"/>
      <c r="CV742" s="247"/>
      <c r="CW742" s="247"/>
      <c r="CX742" s="247"/>
      <c r="CY742" s="247"/>
      <c r="CZ742" s="247"/>
      <c r="DA742" s="247"/>
      <c r="DB742" s="247"/>
      <c r="DC742" s="247"/>
      <c r="DD742" s="247"/>
      <c r="DE742" s="247"/>
      <c r="DF742" s="247"/>
      <c r="DG742" s="247"/>
      <c r="DH742" s="247"/>
      <c r="DI742" s="247"/>
      <c r="DJ742" s="247"/>
      <c r="DK742" s="247"/>
      <c r="DL742" s="247"/>
      <c r="DM742" s="247"/>
      <c r="DN742" s="247"/>
      <c r="DO742" s="247"/>
      <c r="DP742" s="247"/>
      <c r="DQ742" s="247"/>
    </row>
    <row r="743" spans="1:121" s="477" customFormat="1" ht="19.95" customHeight="1">
      <c r="A743" s="466">
        <v>46049</v>
      </c>
      <c r="B743" s="468" t="s">
        <v>1050</v>
      </c>
      <c r="C743" s="468" t="s">
        <v>319</v>
      </c>
      <c r="D743" s="468" t="s">
        <v>320</v>
      </c>
      <c r="E743" s="468" t="s">
        <v>59</v>
      </c>
      <c r="F743" s="469" t="s">
        <v>26</v>
      </c>
      <c r="G743" s="469">
        <v>998531</v>
      </c>
      <c r="H743" s="470">
        <v>0.18</v>
      </c>
      <c r="I743" s="471">
        <v>27450</v>
      </c>
      <c r="J743" s="471">
        <f t="shared" si="57"/>
        <v>2470.5</v>
      </c>
      <c r="K743" s="471">
        <f t="shared" si="58"/>
        <v>2470.5</v>
      </c>
      <c r="L743" s="472"/>
      <c r="M743" s="472">
        <f>Table432[[#This Row],[Taxable Amount]]+Table432[[#This Row],[SGST]]+Table432[[#This Row],[CGST]]</f>
        <v>32391</v>
      </c>
      <c r="N743" s="473">
        <f>Table432[[#This Row],[Taxable Amount]]*1%</f>
        <v>274.5</v>
      </c>
      <c r="O743" s="474"/>
      <c r="P743" s="475">
        <v>32116</v>
      </c>
      <c r="Q743" s="478">
        <v>46062</v>
      </c>
      <c r="R743" s="474" t="s">
        <v>1161</v>
      </c>
      <c r="S743" s="479">
        <f>Table432[[#This Row],[Invoice Amount]]-Table432[[#This Row],[TDS]]-Table432[[#This Row],[RTN]]-Table432[[#This Row],[RECIVED AMOUNT]]</f>
        <v>0.5</v>
      </c>
      <c r="T743" s="468"/>
      <c r="U743" s="468"/>
      <c r="V743" s="480">
        <f>Table432[[#This Row],[BALANCE]]-Table432[[#This Row],[RECIVED AMOUNT2]]</f>
        <v>0.5</v>
      </c>
      <c r="W743" s="481"/>
      <c r="X743" s="481"/>
      <c r="Y743" s="481"/>
      <c r="Z743" s="481"/>
      <c r="AA743" s="481"/>
      <c r="AB743" s="481"/>
      <c r="AC743" s="481"/>
      <c r="AD743" s="481"/>
      <c r="AE743" s="481"/>
      <c r="AF743" s="481"/>
      <c r="AG743" s="481"/>
      <c r="AH743" s="481"/>
      <c r="AI743" s="481"/>
      <c r="AJ743" s="481"/>
      <c r="AK743" s="481"/>
      <c r="AL743" s="481"/>
      <c r="AM743" s="481"/>
      <c r="AN743" s="481"/>
      <c r="AO743" s="481"/>
      <c r="AP743" s="481"/>
      <c r="AQ743" s="481"/>
      <c r="AR743" s="481"/>
      <c r="AS743" s="481"/>
      <c r="AT743" s="481"/>
      <c r="AU743" s="481"/>
      <c r="AV743" s="481"/>
      <c r="AW743" s="481"/>
      <c r="AX743" s="481"/>
      <c r="AY743" s="481"/>
      <c r="AZ743" s="481"/>
      <c r="BA743" s="481"/>
      <c r="BB743" s="481"/>
      <c r="BC743" s="481"/>
      <c r="BD743" s="481"/>
      <c r="BE743" s="481"/>
      <c r="BF743" s="481"/>
      <c r="BG743" s="481"/>
      <c r="BH743" s="481"/>
      <c r="BI743" s="481"/>
      <c r="BJ743" s="481"/>
      <c r="BK743" s="481"/>
      <c r="BL743" s="481"/>
      <c r="BM743" s="481"/>
      <c r="BN743" s="481"/>
      <c r="BO743" s="481"/>
      <c r="BP743" s="481"/>
      <c r="BQ743" s="481"/>
      <c r="BR743" s="481"/>
      <c r="BS743" s="481"/>
      <c r="BT743" s="481"/>
      <c r="BU743" s="481"/>
      <c r="BV743" s="481"/>
      <c r="BW743" s="481"/>
      <c r="BX743" s="481"/>
      <c r="BY743" s="481"/>
      <c r="BZ743" s="481"/>
      <c r="CA743" s="481"/>
      <c r="CB743" s="481"/>
      <c r="CC743" s="481"/>
      <c r="CD743" s="481"/>
      <c r="CE743" s="481"/>
      <c r="CF743" s="481"/>
      <c r="CG743" s="481"/>
      <c r="CH743" s="481"/>
      <c r="CI743" s="481"/>
      <c r="CJ743" s="481"/>
      <c r="CK743" s="481"/>
      <c r="CL743" s="481"/>
      <c r="CM743" s="481"/>
      <c r="CN743" s="481"/>
      <c r="CO743" s="481"/>
      <c r="CP743" s="481"/>
      <c r="CQ743" s="481"/>
      <c r="CR743" s="481"/>
      <c r="CS743" s="481"/>
      <c r="CT743" s="481"/>
      <c r="CU743" s="481"/>
      <c r="CV743" s="481"/>
      <c r="CW743" s="481"/>
      <c r="CX743" s="481"/>
      <c r="CY743" s="481"/>
      <c r="CZ743" s="481"/>
      <c r="DA743" s="481"/>
      <c r="DB743" s="481"/>
      <c r="DC743" s="481"/>
      <c r="DD743" s="481"/>
      <c r="DE743" s="481"/>
      <c r="DF743" s="481"/>
      <c r="DG743" s="481"/>
      <c r="DH743" s="481"/>
      <c r="DI743" s="481"/>
      <c r="DJ743" s="481"/>
      <c r="DK743" s="481"/>
      <c r="DL743" s="481"/>
      <c r="DM743" s="481"/>
      <c r="DN743" s="481"/>
      <c r="DO743" s="481"/>
      <c r="DP743" s="481"/>
      <c r="DQ743" s="481"/>
    </row>
    <row r="744" spans="1:121" s="12" customFormat="1" ht="19.95" customHeight="1">
      <c r="A744" s="128">
        <v>46049</v>
      </c>
      <c r="B744" s="131" t="s">
        <v>1051</v>
      </c>
      <c r="C744" s="131" t="s">
        <v>954</v>
      </c>
      <c r="D744" s="131" t="s">
        <v>61</v>
      </c>
      <c r="E744" s="131" t="s">
        <v>62</v>
      </c>
      <c r="F744" s="136" t="s">
        <v>37</v>
      </c>
      <c r="G744" s="136">
        <v>998531</v>
      </c>
      <c r="H744" s="23">
        <v>0.18</v>
      </c>
      <c r="I744" s="129">
        <v>6080</v>
      </c>
      <c r="J744" s="129">
        <f t="shared" si="57"/>
        <v>547.20000000000005</v>
      </c>
      <c r="K744" s="129">
        <f t="shared" si="58"/>
        <v>547.20000000000005</v>
      </c>
      <c r="L744" s="130"/>
      <c r="M744" s="130">
        <f>Table432[[#This Row],[Taxable Amount]]+Table432[[#This Row],[SGST]]+Table432[[#This Row],[CGST]]</f>
        <v>7174.4</v>
      </c>
      <c r="N744" s="161">
        <f>Table432[[#This Row],[Taxable Amount]]*1%</f>
        <v>60.800000000000004</v>
      </c>
      <c r="O744" s="132"/>
      <c r="P744" s="135">
        <v>9969</v>
      </c>
      <c r="Q744" s="205">
        <v>46070</v>
      </c>
      <c r="R744" s="132" t="s">
        <v>1161</v>
      </c>
      <c r="S744" s="138">
        <f>Table432[[#This Row],[Invoice Amount]]-Table432[[#This Row],[TDS]]-Table432[[#This Row],[RTN]]-Table432[[#This Row],[RECIVED AMOUNT]]</f>
        <v>-2855.4000000000005</v>
      </c>
      <c r="T744" s="131"/>
      <c r="U744" s="131"/>
      <c r="V744" s="41">
        <f>Table432[[#This Row],[BALANCE]]-Table432[[#This Row],[RECIVED AMOUNT2]]</f>
        <v>-2855.4000000000005</v>
      </c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</row>
    <row r="745" spans="1:121" s="12" customFormat="1" ht="19.95" customHeight="1">
      <c r="A745" s="128">
        <v>46049</v>
      </c>
      <c r="B745" s="131" t="s">
        <v>1052</v>
      </c>
      <c r="C745" s="131" t="s">
        <v>981</v>
      </c>
      <c r="D745" s="131" t="s">
        <v>982</v>
      </c>
      <c r="E745" s="131" t="s">
        <v>1053</v>
      </c>
      <c r="F745" s="136" t="s">
        <v>26</v>
      </c>
      <c r="G745" s="136">
        <v>998531</v>
      </c>
      <c r="H745" s="23">
        <v>0.18</v>
      </c>
      <c r="I745" s="129">
        <v>850</v>
      </c>
      <c r="J745" s="129">
        <f t="shared" si="57"/>
        <v>76.5</v>
      </c>
      <c r="K745" s="129">
        <f t="shared" si="58"/>
        <v>76.5</v>
      </c>
      <c r="L745" s="130"/>
      <c r="M745" s="130">
        <f>Table432[[#This Row],[Taxable Amount]]+Table432[[#This Row],[SGST]]+Table432[[#This Row],[CGST]]</f>
        <v>1003</v>
      </c>
      <c r="N745" s="161">
        <v>0</v>
      </c>
      <c r="O745" s="132"/>
      <c r="P745" s="135"/>
      <c r="Q745" s="205">
        <v>46076</v>
      </c>
      <c r="R745" s="132" t="s">
        <v>1161</v>
      </c>
      <c r="S745" s="138">
        <f>Table432[[#This Row],[Invoice Amount]]-Table432[[#This Row],[TDS]]-Table432[[#This Row],[RTN]]-Table432[[#This Row],[RECIVED AMOUNT]]</f>
        <v>1003</v>
      </c>
      <c r="T745" s="131"/>
      <c r="U745" s="131"/>
      <c r="V745" s="41">
        <f>Table432[[#This Row],[BALANCE]]-Table432[[#This Row],[RECIVED AMOUNT2]]</f>
        <v>1003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</row>
    <row r="746" spans="1:121" s="12" customFormat="1" ht="19.95" customHeight="1">
      <c r="A746" s="128">
        <v>46049</v>
      </c>
      <c r="B746" s="131" t="s">
        <v>1054</v>
      </c>
      <c r="C746" s="131" t="s">
        <v>981</v>
      </c>
      <c r="D746" s="131" t="s">
        <v>982</v>
      </c>
      <c r="E746" s="131" t="s">
        <v>1053</v>
      </c>
      <c r="F746" s="136" t="s">
        <v>26</v>
      </c>
      <c r="G746" s="136">
        <v>998531</v>
      </c>
      <c r="H746" s="23">
        <v>0.18</v>
      </c>
      <c r="I746" s="129">
        <v>850</v>
      </c>
      <c r="J746" s="129">
        <f t="shared" ref="J746:J809" si="59">I746*9/100</f>
        <v>76.5</v>
      </c>
      <c r="K746" s="129">
        <f t="shared" ref="K746:K809" si="60">I746*9/100</f>
        <v>76.5</v>
      </c>
      <c r="L746" s="130"/>
      <c r="M746" s="130">
        <f>Table432[[#This Row],[Taxable Amount]]+Table432[[#This Row],[SGST]]+Table432[[#This Row],[CGST]]</f>
        <v>1003</v>
      </c>
      <c r="N746" s="161">
        <v>0</v>
      </c>
      <c r="O746" s="132"/>
      <c r="P746" s="135"/>
      <c r="Q746" s="205">
        <v>46076</v>
      </c>
      <c r="R746" s="132" t="s">
        <v>1161</v>
      </c>
      <c r="S746" s="138">
        <f>Table432[[#This Row],[Invoice Amount]]-Table432[[#This Row],[TDS]]-Table432[[#This Row],[RTN]]-Table432[[#This Row],[RECIVED AMOUNT]]</f>
        <v>1003</v>
      </c>
      <c r="T746" s="131"/>
      <c r="U746" s="131"/>
      <c r="V746" s="41">
        <f>Table432[[#This Row],[BALANCE]]-Table432[[#This Row],[RECIVED AMOUNT2]]</f>
        <v>1003</v>
      </c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</row>
    <row r="747" spans="1:121" s="12" customFormat="1" ht="19.95" customHeight="1">
      <c r="A747" s="128">
        <v>46049</v>
      </c>
      <c r="B747" s="131" t="s">
        <v>1055</v>
      </c>
      <c r="C747" s="131" t="s">
        <v>981</v>
      </c>
      <c r="D747" s="131" t="s">
        <v>982</v>
      </c>
      <c r="E747" s="131" t="s">
        <v>1053</v>
      </c>
      <c r="F747" s="136" t="s">
        <v>26</v>
      </c>
      <c r="G747" s="136">
        <v>998531</v>
      </c>
      <c r="H747" s="23">
        <v>0.18</v>
      </c>
      <c r="I747" s="129">
        <v>850</v>
      </c>
      <c r="J747" s="129">
        <f t="shared" si="59"/>
        <v>76.5</v>
      </c>
      <c r="K747" s="129">
        <f t="shared" si="60"/>
        <v>76.5</v>
      </c>
      <c r="L747" s="130"/>
      <c r="M747" s="130">
        <f>Table432[[#This Row],[Taxable Amount]]+Table432[[#This Row],[SGST]]+Table432[[#This Row],[CGST]]</f>
        <v>1003</v>
      </c>
      <c r="N747" s="161">
        <v>0</v>
      </c>
      <c r="O747" s="132"/>
      <c r="P747" s="135"/>
      <c r="Q747" s="205">
        <v>46076</v>
      </c>
      <c r="R747" s="132" t="s">
        <v>1161</v>
      </c>
      <c r="S747" s="138">
        <f>Table432[[#This Row],[Invoice Amount]]-Table432[[#This Row],[TDS]]-Table432[[#This Row],[RTN]]-Table432[[#This Row],[RECIVED AMOUNT]]</f>
        <v>1003</v>
      </c>
      <c r="T747" s="131"/>
      <c r="U747" s="131"/>
      <c r="V747" s="41">
        <f>Table432[[#This Row],[BALANCE]]-Table432[[#This Row],[RECIVED AMOUNT2]]</f>
        <v>1003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</row>
    <row r="748" spans="1:121" s="12" customFormat="1" ht="19.95" customHeight="1">
      <c r="A748" s="128">
        <v>46049</v>
      </c>
      <c r="B748" s="131" t="s">
        <v>1056</v>
      </c>
      <c r="C748" s="131" t="s">
        <v>981</v>
      </c>
      <c r="D748" s="131" t="s">
        <v>982</v>
      </c>
      <c r="E748" s="131" t="s">
        <v>1053</v>
      </c>
      <c r="F748" s="136" t="s">
        <v>26</v>
      </c>
      <c r="G748" s="136">
        <v>998531</v>
      </c>
      <c r="H748" s="23">
        <v>0.18</v>
      </c>
      <c r="I748" s="129">
        <v>850</v>
      </c>
      <c r="J748" s="129">
        <f t="shared" si="59"/>
        <v>76.5</v>
      </c>
      <c r="K748" s="129">
        <f t="shared" si="60"/>
        <v>76.5</v>
      </c>
      <c r="L748" s="130"/>
      <c r="M748" s="130">
        <f>Table432[[#This Row],[Taxable Amount]]+Table432[[#This Row],[SGST]]+Table432[[#This Row],[CGST]]</f>
        <v>1003</v>
      </c>
      <c r="N748" s="161">
        <v>0</v>
      </c>
      <c r="O748" s="132"/>
      <c r="P748" s="135"/>
      <c r="Q748" s="205">
        <v>46076</v>
      </c>
      <c r="R748" s="132" t="s">
        <v>1161</v>
      </c>
      <c r="S748" s="138">
        <f>Table432[[#This Row],[Invoice Amount]]-Table432[[#This Row],[TDS]]-Table432[[#This Row],[RTN]]-Table432[[#This Row],[RECIVED AMOUNT]]</f>
        <v>1003</v>
      </c>
      <c r="T748" s="131"/>
      <c r="U748" s="131"/>
      <c r="V748" s="41">
        <f>Table432[[#This Row],[BALANCE]]-Table432[[#This Row],[RECIVED AMOUNT2]]</f>
        <v>1003</v>
      </c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</row>
    <row r="749" spans="1:121" s="12" customFormat="1" ht="19.95" customHeight="1">
      <c r="A749" s="128">
        <v>46049</v>
      </c>
      <c r="B749" s="131" t="s">
        <v>1057</v>
      </c>
      <c r="C749" s="131" t="s">
        <v>981</v>
      </c>
      <c r="D749" s="131" t="s">
        <v>982</v>
      </c>
      <c r="E749" s="131" t="s">
        <v>1053</v>
      </c>
      <c r="F749" s="136" t="s">
        <v>26</v>
      </c>
      <c r="G749" s="136">
        <v>998531</v>
      </c>
      <c r="H749" s="23">
        <v>0.18</v>
      </c>
      <c r="I749" s="129">
        <v>850</v>
      </c>
      <c r="J749" s="129">
        <f t="shared" si="59"/>
        <v>76.5</v>
      </c>
      <c r="K749" s="129">
        <f t="shared" si="60"/>
        <v>76.5</v>
      </c>
      <c r="L749" s="130"/>
      <c r="M749" s="130">
        <f>Table432[[#This Row],[Taxable Amount]]+Table432[[#This Row],[SGST]]+Table432[[#This Row],[CGST]]</f>
        <v>1003</v>
      </c>
      <c r="N749" s="161">
        <v>0</v>
      </c>
      <c r="O749" s="132"/>
      <c r="P749" s="135"/>
      <c r="Q749" s="205">
        <v>46076</v>
      </c>
      <c r="R749" s="132" t="s">
        <v>1161</v>
      </c>
      <c r="S749" s="138">
        <f>Table432[[#This Row],[Invoice Amount]]-Table432[[#This Row],[TDS]]-Table432[[#This Row],[RTN]]-Table432[[#This Row],[RECIVED AMOUNT]]</f>
        <v>1003</v>
      </c>
      <c r="T749" s="131"/>
      <c r="U749" s="131"/>
      <c r="V749" s="41">
        <f>Table432[[#This Row],[BALANCE]]-Table432[[#This Row],[RECIVED AMOUNT2]]</f>
        <v>1003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</row>
    <row r="750" spans="1:121" s="12" customFormat="1" ht="19.95" customHeight="1">
      <c r="A750" s="128">
        <v>46049</v>
      </c>
      <c r="B750" s="131" t="s">
        <v>1058</v>
      </c>
      <c r="C750" s="131" t="s">
        <v>981</v>
      </c>
      <c r="D750" s="131" t="s">
        <v>982</v>
      </c>
      <c r="E750" s="131" t="s">
        <v>1053</v>
      </c>
      <c r="F750" s="136" t="s">
        <v>26</v>
      </c>
      <c r="G750" s="136">
        <v>998531</v>
      </c>
      <c r="H750" s="23">
        <v>0.18</v>
      </c>
      <c r="I750" s="129">
        <v>850</v>
      </c>
      <c r="J750" s="129">
        <f t="shared" si="59"/>
        <v>76.5</v>
      </c>
      <c r="K750" s="129">
        <f t="shared" si="60"/>
        <v>76.5</v>
      </c>
      <c r="L750" s="130"/>
      <c r="M750" s="130">
        <f>Table432[[#This Row],[Taxable Amount]]+Table432[[#This Row],[SGST]]+Table432[[#This Row],[CGST]]</f>
        <v>1003</v>
      </c>
      <c r="N750" s="161">
        <v>0</v>
      </c>
      <c r="O750" s="132"/>
      <c r="P750" s="135"/>
      <c r="Q750" s="205">
        <v>46076</v>
      </c>
      <c r="R750" s="132" t="s">
        <v>1161</v>
      </c>
      <c r="S750" s="138">
        <f>Table432[[#This Row],[Invoice Amount]]-Table432[[#This Row],[TDS]]-Table432[[#This Row],[RTN]]-Table432[[#This Row],[RECIVED AMOUNT]]</f>
        <v>1003</v>
      </c>
      <c r="T750" s="131"/>
      <c r="U750" s="131"/>
      <c r="V750" s="41">
        <f>Table432[[#This Row],[BALANCE]]-Table432[[#This Row],[RECIVED AMOUNT2]]</f>
        <v>1003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</row>
    <row r="751" spans="1:121" s="12" customFormat="1" ht="19.95" customHeight="1">
      <c r="A751" s="128">
        <v>46049</v>
      </c>
      <c r="B751" s="131" t="s">
        <v>1059</v>
      </c>
      <c r="C751" s="131" t="s">
        <v>981</v>
      </c>
      <c r="D751" s="131" t="s">
        <v>982</v>
      </c>
      <c r="E751" s="131" t="s">
        <v>1053</v>
      </c>
      <c r="F751" s="136" t="s">
        <v>26</v>
      </c>
      <c r="G751" s="136">
        <v>998531</v>
      </c>
      <c r="H751" s="23">
        <v>0.18</v>
      </c>
      <c r="I751" s="129">
        <v>850</v>
      </c>
      <c r="J751" s="129">
        <f t="shared" si="59"/>
        <v>76.5</v>
      </c>
      <c r="K751" s="129">
        <f t="shared" si="60"/>
        <v>76.5</v>
      </c>
      <c r="L751" s="130"/>
      <c r="M751" s="130">
        <f>Table432[[#This Row],[Taxable Amount]]+Table432[[#This Row],[SGST]]+Table432[[#This Row],[CGST]]</f>
        <v>1003</v>
      </c>
      <c r="N751" s="161">
        <v>0</v>
      </c>
      <c r="O751" s="132"/>
      <c r="P751" s="135"/>
      <c r="Q751" s="205">
        <v>46076</v>
      </c>
      <c r="R751" s="132" t="s">
        <v>1161</v>
      </c>
      <c r="S751" s="138">
        <f>Table432[[#This Row],[Invoice Amount]]-Table432[[#This Row],[TDS]]-Table432[[#This Row],[RTN]]-Table432[[#This Row],[RECIVED AMOUNT]]</f>
        <v>1003</v>
      </c>
      <c r="T751" s="131"/>
      <c r="U751" s="131"/>
      <c r="V751" s="41">
        <f>Table432[[#This Row],[BALANCE]]-Table432[[#This Row],[RECIVED AMOUNT2]]</f>
        <v>1003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</row>
    <row r="752" spans="1:121" s="12" customFormat="1" ht="19.95" customHeight="1">
      <c r="A752" s="128">
        <v>46049</v>
      </c>
      <c r="B752" s="131" t="s">
        <v>1060</v>
      </c>
      <c r="C752" s="131" t="s">
        <v>981</v>
      </c>
      <c r="D752" s="131" t="s">
        <v>982</v>
      </c>
      <c r="E752" s="131" t="s">
        <v>1053</v>
      </c>
      <c r="F752" s="136" t="s">
        <v>26</v>
      </c>
      <c r="G752" s="136">
        <v>998531</v>
      </c>
      <c r="H752" s="23">
        <v>0.18</v>
      </c>
      <c r="I752" s="129">
        <v>850</v>
      </c>
      <c r="J752" s="129">
        <f t="shared" si="59"/>
        <v>76.5</v>
      </c>
      <c r="K752" s="129">
        <f t="shared" si="60"/>
        <v>76.5</v>
      </c>
      <c r="L752" s="130"/>
      <c r="M752" s="130">
        <f>Table432[[#This Row],[Taxable Amount]]+Table432[[#This Row],[SGST]]+Table432[[#This Row],[CGST]]</f>
        <v>1003</v>
      </c>
      <c r="N752" s="161">
        <v>0</v>
      </c>
      <c r="O752" s="132"/>
      <c r="P752" s="135"/>
      <c r="Q752" s="205">
        <v>46076</v>
      </c>
      <c r="R752" s="132" t="s">
        <v>1161</v>
      </c>
      <c r="S752" s="138">
        <f>Table432[[#This Row],[Invoice Amount]]-Table432[[#This Row],[TDS]]-Table432[[#This Row],[RTN]]-Table432[[#This Row],[RECIVED AMOUNT]]</f>
        <v>1003</v>
      </c>
      <c r="T752" s="131"/>
      <c r="U752" s="131"/>
      <c r="V752" s="41">
        <f>Table432[[#This Row],[BALANCE]]-Table432[[#This Row],[RECIVED AMOUNT2]]</f>
        <v>1003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</row>
    <row r="753" spans="1:121" s="12" customFormat="1" ht="19.95" customHeight="1">
      <c r="A753" s="128">
        <v>46049</v>
      </c>
      <c r="B753" s="131" t="s">
        <v>1061</v>
      </c>
      <c r="C753" s="131" t="s">
        <v>981</v>
      </c>
      <c r="D753" s="131" t="s">
        <v>982</v>
      </c>
      <c r="E753" s="131" t="s">
        <v>1053</v>
      </c>
      <c r="F753" s="136" t="s">
        <v>26</v>
      </c>
      <c r="G753" s="136">
        <v>998531</v>
      </c>
      <c r="H753" s="23">
        <v>0.18</v>
      </c>
      <c r="I753" s="129">
        <v>850</v>
      </c>
      <c r="J753" s="129">
        <f t="shared" si="59"/>
        <v>76.5</v>
      </c>
      <c r="K753" s="129">
        <f t="shared" si="60"/>
        <v>76.5</v>
      </c>
      <c r="L753" s="130"/>
      <c r="M753" s="130">
        <f>Table432[[#This Row],[Taxable Amount]]+Table432[[#This Row],[SGST]]+Table432[[#This Row],[CGST]]</f>
        <v>1003</v>
      </c>
      <c r="N753" s="161">
        <v>0</v>
      </c>
      <c r="O753" s="132"/>
      <c r="P753" s="135"/>
      <c r="Q753" s="205">
        <v>46076</v>
      </c>
      <c r="R753" s="132" t="s">
        <v>1161</v>
      </c>
      <c r="S753" s="138">
        <f>Table432[[#This Row],[Invoice Amount]]-Table432[[#This Row],[TDS]]-Table432[[#This Row],[RTN]]-Table432[[#This Row],[RECIVED AMOUNT]]</f>
        <v>1003</v>
      </c>
      <c r="T753" s="131"/>
      <c r="U753" s="131"/>
      <c r="V753" s="41">
        <f>Table432[[#This Row],[BALANCE]]-Table432[[#This Row],[RECIVED AMOUNT2]]</f>
        <v>1003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</row>
    <row r="754" spans="1:121" s="12" customFormat="1" ht="19.95" customHeight="1">
      <c r="A754" s="128">
        <v>46049</v>
      </c>
      <c r="B754" s="131" t="s">
        <v>1062</v>
      </c>
      <c r="C754" s="131" t="s">
        <v>981</v>
      </c>
      <c r="D754" s="131" t="s">
        <v>982</v>
      </c>
      <c r="E754" s="131" t="s">
        <v>1053</v>
      </c>
      <c r="F754" s="136" t="s">
        <v>26</v>
      </c>
      <c r="G754" s="136">
        <v>998531</v>
      </c>
      <c r="H754" s="23">
        <v>0.18</v>
      </c>
      <c r="I754" s="129">
        <v>850</v>
      </c>
      <c r="J754" s="129">
        <f t="shared" si="59"/>
        <v>76.5</v>
      </c>
      <c r="K754" s="129">
        <f t="shared" si="60"/>
        <v>76.5</v>
      </c>
      <c r="L754" s="130"/>
      <c r="M754" s="130">
        <f>Table432[[#This Row],[Taxable Amount]]+Table432[[#This Row],[SGST]]+Table432[[#This Row],[CGST]]</f>
        <v>1003</v>
      </c>
      <c r="N754" s="161">
        <v>0</v>
      </c>
      <c r="O754" s="132"/>
      <c r="P754" s="135"/>
      <c r="Q754" s="205">
        <v>46076</v>
      </c>
      <c r="R754" s="132" t="s">
        <v>1161</v>
      </c>
      <c r="S754" s="138">
        <f>Table432[[#This Row],[Invoice Amount]]-Table432[[#This Row],[TDS]]-Table432[[#This Row],[RTN]]-Table432[[#This Row],[RECIVED AMOUNT]]</f>
        <v>1003</v>
      </c>
      <c r="T754" s="131"/>
      <c r="U754" s="131"/>
      <c r="V754" s="41">
        <f>Table432[[#This Row],[BALANCE]]-Table432[[#This Row],[RECIVED AMOUNT2]]</f>
        <v>1003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</row>
    <row r="755" spans="1:121" s="12" customFormat="1" ht="19.95" customHeight="1">
      <c r="A755" s="128">
        <v>46049</v>
      </c>
      <c r="B755" s="131" t="s">
        <v>1063</v>
      </c>
      <c r="C755" s="131" t="s">
        <v>981</v>
      </c>
      <c r="D755" s="131" t="s">
        <v>982</v>
      </c>
      <c r="E755" s="131" t="s">
        <v>1053</v>
      </c>
      <c r="F755" s="136" t="s">
        <v>26</v>
      </c>
      <c r="G755" s="136">
        <v>998531</v>
      </c>
      <c r="H755" s="23">
        <v>0.18</v>
      </c>
      <c r="I755" s="129">
        <v>850</v>
      </c>
      <c r="J755" s="129">
        <f t="shared" si="59"/>
        <v>76.5</v>
      </c>
      <c r="K755" s="129">
        <f t="shared" si="60"/>
        <v>76.5</v>
      </c>
      <c r="L755" s="130"/>
      <c r="M755" s="130">
        <f>Table432[[#This Row],[Taxable Amount]]+Table432[[#This Row],[SGST]]+Table432[[#This Row],[CGST]]</f>
        <v>1003</v>
      </c>
      <c r="N755" s="161">
        <v>0</v>
      </c>
      <c r="O755" s="132"/>
      <c r="P755" s="135"/>
      <c r="Q755" s="205">
        <v>46076</v>
      </c>
      <c r="R755" s="132" t="s">
        <v>1161</v>
      </c>
      <c r="S755" s="138">
        <f>Table432[[#This Row],[Invoice Amount]]-Table432[[#This Row],[TDS]]-Table432[[#This Row],[RTN]]-Table432[[#This Row],[RECIVED AMOUNT]]</f>
        <v>1003</v>
      </c>
      <c r="T755" s="131"/>
      <c r="U755" s="131"/>
      <c r="V755" s="41">
        <f>Table432[[#This Row],[BALANCE]]-Table432[[#This Row],[RECIVED AMOUNT2]]</f>
        <v>1003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</row>
    <row r="756" spans="1:121" s="12" customFormat="1" ht="19.95" customHeight="1">
      <c r="A756" s="128">
        <v>46049</v>
      </c>
      <c r="B756" s="131" t="s">
        <v>1064</v>
      </c>
      <c r="C756" s="131" t="s">
        <v>981</v>
      </c>
      <c r="D756" s="131" t="s">
        <v>982</v>
      </c>
      <c r="E756" s="131" t="s">
        <v>1053</v>
      </c>
      <c r="F756" s="136" t="s">
        <v>26</v>
      </c>
      <c r="G756" s="136">
        <v>998531</v>
      </c>
      <c r="H756" s="23">
        <v>0.18</v>
      </c>
      <c r="I756" s="129">
        <v>850</v>
      </c>
      <c r="J756" s="129">
        <f t="shared" si="59"/>
        <v>76.5</v>
      </c>
      <c r="K756" s="129">
        <f t="shared" si="60"/>
        <v>76.5</v>
      </c>
      <c r="L756" s="130"/>
      <c r="M756" s="130">
        <f>Table432[[#This Row],[Taxable Amount]]+Table432[[#This Row],[SGST]]+Table432[[#This Row],[CGST]]</f>
        <v>1003</v>
      </c>
      <c r="N756" s="161">
        <v>0</v>
      </c>
      <c r="O756" s="132"/>
      <c r="P756" s="135"/>
      <c r="Q756" s="205">
        <v>46076</v>
      </c>
      <c r="R756" s="132" t="s">
        <v>1161</v>
      </c>
      <c r="S756" s="138">
        <f>Table432[[#This Row],[Invoice Amount]]-Table432[[#This Row],[TDS]]-Table432[[#This Row],[RTN]]-Table432[[#This Row],[RECIVED AMOUNT]]</f>
        <v>1003</v>
      </c>
      <c r="T756" s="131"/>
      <c r="U756" s="131"/>
      <c r="V756" s="41">
        <f>Table432[[#This Row],[BALANCE]]-Table432[[#This Row],[RECIVED AMOUNT2]]</f>
        <v>1003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</row>
    <row r="757" spans="1:121" s="12" customFormat="1" ht="19.95" customHeight="1">
      <c r="A757" s="128">
        <v>46049</v>
      </c>
      <c r="B757" s="131" t="s">
        <v>1065</v>
      </c>
      <c r="C757" s="131" t="s">
        <v>981</v>
      </c>
      <c r="D757" s="131" t="s">
        <v>982</v>
      </c>
      <c r="E757" s="131" t="s">
        <v>1053</v>
      </c>
      <c r="F757" s="136" t="s">
        <v>26</v>
      </c>
      <c r="G757" s="136">
        <v>998531</v>
      </c>
      <c r="H757" s="23">
        <v>0.18</v>
      </c>
      <c r="I757" s="129">
        <v>850</v>
      </c>
      <c r="J757" s="129">
        <f t="shared" si="59"/>
        <v>76.5</v>
      </c>
      <c r="K757" s="129">
        <f t="shared" si="60"/>
        <v>76.5</v>
      </c>
      <c r="L757" s="130"/>
      <c r="M757" s="130">
        <f>Table432[[#This Row],[Taxable Amount]]+Table432[[#This Row],[SGST]]+Table432[[#This Row],[CGST]]</f>
        <v>1003</v>
      </c>
      <c r="N757" s="161">
        <v>0</v>
      </c>
      <c r="O757" s="132"/>
      <c r="P757" s="135"/>
      <c r="Q757" s="205">
        <v>46076</v>
      </c>
      <c r="R757" s="132" t="s">
        <v>1161</v>
      </c>
      <c r="S757" s="138">
        <f>Table432[[#This Row],[Invoice Amount]]-Table432[[#This Row],[TDS]]-Table432[[#This Row],[RTN]]-Table432[[#This Row],[RECIVED AMOUNT]]</f>
        <v>1003</v>
      </c>
      <c r="T757" s="131"/>
      <c r="U757" s="131"/>
      <c r="V757" s="41">
        <f>Table432[[#This Row],[BALANCE]]-Table432[[#This Row],[RECIVED AMOUNT2]]</f>
        <v>1003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</row>
    <row r="758" spans="1:121" s="12" customFormat="1" ht="19.95" customHeight="1">
      <c r="A758" s="128">
        <v>46049</v>
      </c>
      <c r="B758" s="131" t="s">
        <v>1066</v>
      </c>
      <c r="C758" s="131" t="s">
        <v>981</v>
      </c>
      <c r="D758" s="131" t="s">
        <v>982</v>
      </c>
      <c r="E758" s="131" t="s">
        <v>1053</v>
      </c>
      <c r="F758" s="136" t="s">
        <v>26</v>
      </c>
      <c r="G758" s="136">
        <v>998531</v>
      </c>
      <c r="H758" s="23">
        <v>0.18</v>
      </c>
      <c r="I758" s="129">
        <v>850</v>
      </c>
      <c r="J758" s="129">
        <f t="shared" si="59"/>
        <v>76.5</v>
      </c>
      <c r="K758" s="129">
        <f t="shared" si="60"/>
        <v>76.5</v>
      </c>
      <c r="L758" s="130"/>
      <c r="M758" s="130">
        <f>Table432[[#This Row],[Taxable Amount]]+Table432[[#This Row],[SGST]]+Table432[[#This Row],[CGST]]</f>
        <v>1003</v>
      </c>
      <c r="N758" s="161">
        <v>0</v>
      </c>
      <c r="O758" s="132"/>
      <c r="P758" s="135"/>
      <c r="Q758" s="205">
        <v>46076</v>
      </c>
      <c r="R758" s="132" t="s">
        <v>1161</v>
      </c>
      <c r="S758" s="138">
        <f>Table432[[#This Row],[Invoice Amount]]-Table432[[#This Row],[TDS]]-Table432[[#This Row],[RTN]]-Table432[[#This Row],[RECIVED AMOUNT]]</f>
        <v>1003</v>
      </c>
      <c r="T758" s="131"/>
      <c r="U758" s="131"/>
      <c r="V758" s="41">
        <f>Table432[[#This Row],[BALANCE]]-Table432[[#This Row],[RECIVED AMOUNT2]]</f>
        <v>1003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</row>
    <row r="759" spans="1:121" s="12" customFormat="1" ht="19.95" customHeight="1">
      <c r="A759" s="128">
        <v>46049</v>
      </c>
      <c r="B759" s="131" t="s">
        <v>1067</v>
      </c>
      <c r="C759" s="131" t="s">
        <v>981</v>
      </c>
      <c r="D759" s="131" t="s">
        <v>982</v>
      </c>
      <c r="E759" s="131" t="s">
        <v>1053</v>
      </c>
      <c r="F759" s="136" t="s">
        <v>26</v>
      </c>
      <c r="G759" s="136">
        <v>998531</v>
      </c>
      <c r="H759" s="23">
        <v>0.18</v>
      </c>
      <c r="I759" s="129">
        <v>850</v>
      </c>
      <c r="J759" s="129">
        <f t="shared" si="59"/>
        <v>76.5</v>
      </c>
      <c r="K759" s="129">
        <f t="shared" si="60"/>
        <v>76.5</v>
      </c>
      <c r="L759" s="130"/>
      <c r="M759" s="130">
        <f>Table432[[#This Row],[Taxable Amount]]+Table432[[#This Row],[SGST]]+Table432[[#This Row],[CGST]]</f>
        <v>1003</v>
      </c>
      <c r="N759" s="161">
        <v>0</v>
      </c>
      <c r="O759" s="132"/>
      <c r="P759" s="135"/>
      <c r="Q759" s="205">
        <v>46076</v>
      </c>
      <c r="R759" s="132" t="s">
        <v>1161</v>
      </c>
      <c r="S759" s="138">
        <f>Table432[[#This Row],[Invoice Amount]]-Table432[[#This Row],[TDS]]-Table432[[#This Row],[RTN]]-Table432[[#This Row],[RECIVED AMOUNT]]</f>
        <v>1003</v>
      </c>
      <c r="T759" s="131"/>
      <c r="U759" s="131"/>
      <c r="V759" s="41">
        <f>Table432[[#This Row],[BALANCE]]-Table432[[#This Row],[RECIVED AMOUNT2]]</f>
        <v>1003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</row>
    <row r="760" spans="1:121" s="12" customFormat="1" ht="19.95" customHeight="1">
      <c r="A760" s="128">
        <v>46049</v>
      </c>
      <c r="B760" s="131" t="s">
        <v>1068</v>
      </c>
      <c r="C760" s="131" t="s">
        <v>981</v>
      </c>
      <c r="D760" s="131" t="s">
        <v>982</v>
      </c>
      <c r="E760" s="131" t="s">
        <v>1053</v>
      </c>
      <c r="F760" s="136" t="s">
        <v>26</v>
      </c>
      <c r="G760" s="136">
        <v>998531</v>
      </c>
      <c r="H760" s="23">
        <v>0.18</v>
      </c>
      <c r="I760" s="129">
        <v>850</v>
      </c>
      <c r="J760" s="129">
        <f t="shared" si="59"/>
        <v>76.5</v>
      </c>
      <c r="K760" s="129">
        <f t="shared" si="60"/>
        <v>76.5</v>
      </c>
      <c r="L760" s="130"/>
      <c r="M760" s="130">
        <f>Table432[[#This Row],[Taxable Amount]]+Table432[[#This Row],[SGST]]+Table432[[#This Row],[CGST]]</f>
        <v>1003</v>
      </c>
      <c r="N760" s="161">
        <v>0</v>
      </c>
      <c r="O760" s="132"/>
      <c r="P760" s="135"/>
      <c r="Q760" s="205">
        <v>46076</v>
      </c>
      <c r="R760" s="132" t="s">
        <v>1161</v>
      </c>
      <c r="S760" s="138">
        <f>Table432[[#This Row],[Invoice Amount]]-Table432[[#This Row],[TDS]]-Table432[[#This Row],[RTN]]-Table432[[#This Row],[RECIVED AMOUNT]]</f>
        <v>1003</v>
      </c>
      <c r="T760" s="131"/>
      <c r="U760" s="131"/>
      <c r="V760" s="41">
        <f>Table432[[#This Row],[BALANCE]]-Table432[[#This Row],[RECIVED AMOUNT2]]</f>
        <v>1003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</row>
    <row r="761" spans="1:121" s="12" customFormat="1" ht="19.95" customHeight="1">
      <c r="A761" s="128">
        <v>46049</v>
      </c>
      <c r="B761" s="131" t="s">
        <v>1069</v>
      </c>
      <c r="C761" s="131" t="s">
        <v>981</v>
      </c>
      <c r="D761" s="131" t="s">
        <v>982</v>
      </c>
      <c r="E761" s="131" t="s">
        <v>1053</v>
      </c>
      <c r="F761" s="136" t="s">
        <v>26</v>
      </c>
      <c r="G761" s="136">
        <v>998531</v>
      </c>
      <c r="H761" s="23">
        <v>0.18</v>
      </c>
      <c r="I761" s="129">
        <v>850</v>
      </c>
      <c r="J761" s="129">
        <f t="shared" ref="J761:J766" si="61">I761*9/100</f>
        <v>76.5</v>
      </c>
      <c r="K761" s="129">
        <f t="shared" ref="K761:K766" si="62">I761*9/100</f>
        <v>76.5</v>
      </c>
      <c r="L761" s="130"/>
      <c r="M761" s="130">
        <f>Table432[[#This Row],[Taxable Amount]]+Table432[[#This Row],[SGST]]+Table432[[#This Row],[CGST]]</f>
        <v>1003</v>
      </c>
      <c r="N761" s="161">
        <v>0</v>
      </c>
      <c r="O761" s="132"/>
      <c r="P761" s="135"/>
      <c r="Q761" s="205">
        <v>46076</v>
      </c>
      <c r="R761" s="132" t="s">
        <v>1161</v>
      </c>
      <c r="S761" s="138">
        <f>Table432[[#This Row],[Invoice Amount]]-Table432[[#This Row],[TDS]]-Table432[[#This Row],[RTN]]-Table432[[#This Row],[RECIVED AMOUNT]]</f>
        <v>1003</v>
      </c>
      <c r="T761" s="131"/>
      <c r="U761" s="131"/>
      <c r="V761" s="41">
        <f>Table432[[#This Row],[BALANCE]]-Table432[[#This Row],[RECIVED AMOUNT2]]</f>
        <v>1003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</row>
    <row r="762" spans="1:121" s="12" customFormat="1" ht="19.95" customHeight="1">
      <c r="A762" s="128">
        <v>46049</v>
      </c>
      <c r="B762" s="131" t="s">
        <v>1070</v>
      </c>
      <c r="C762" s="131" t="s">
        <v>981</v>
      </c>
      <c r="D762" s="131" t="s">
        <v>982</v>
      </c>
      <c r="E762" s="131" t="s">
        <v>1053</v>
      </c>
      <c r="F762" s="136" t="s">
        <v>26</v>
      </c>
      <c r="G762" s="136">
        <v>998531</v>
      </c>
      <c r="H762" s="23">
        <v>0.18</v>
      </c>
      <c r="I762" s="129">
        <v>850</v>
      </c>
      <c r="J762" s="129">
        <f t="shared" si="61"/>
        <v>76.5</v>
      </c>
      <c r="K762" s="129">
        <f t="shared" si="62"/>
        <v>76.5</v>
      </c>
      <c r="L762" s="130"/>
      <c r="M762" s="130">
        <f>Table432[[#This Row],[Taxable Amount]]+Table432[[#This Row],[SGST]]+Table432[[#This Row],[CGST]]</f>
        <v>1003</v>
      </c>
      <c r="N762" s="161">
        <v>0</v>
      </c>
      <c r="O762" s="132"/>
      <c r="P762" s="135"/>
      <c r="Q762" s="205">
        <v>46076</v>
      </c>
      <c r="R762" s="132" t="s">
        <v>1161</v>
      </c>
      <c r="S762" s="138">
        <f>Table432[[#This Row],[Invoice Amount]]-Table432[[#This Row],[TDS]]-Table432[[#This Row],[RTN]]-Table432[[#This Row],[RECIVED AMOUNT]]</f>
        <v>1003</v>
      </c>
      <c r="T762" s="131"/>
      <c r="U762" s="131"/>
      <c r="V762" s="41">
        <f>Table432[[#This Row],[BALANCE]]-Table432[[#This Row],[RECIVED AMOUNT2]]</f>
        <v>1003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</row>
    <row r="763" spans="1:121" s="12" customFormat="1" ht="19.95" customHeight="1">
      <c r="A763" s="128">
        <v>46049</v>
      </c>
      <c r="B763" s="131" t="s">
        <v>1071</v>
      </c>
      <c r="C763" s="131" t="s">
        <v>981</v>
      </c>
      <c r="D763" s="131" t="s">
        <v>982</v>
      </c>
      <c r="E763" s="131" t="s">
        <v>1053</v>
      </c>
      <c r="F763" s="136" t="s">
        <v>26</v>
      </c>
      <c r="G763" s="136">
        <v>998531</v>
      </c>
      <c r="H763" s="23">
        <v>0.18</v>
      </c>
      <c r="I763" s="129">
        <v>850</v>
      </c>
      <c r="J763" s="129">
        <f t="shared" si="61"/>
        <v>76.5</v>
      </c>
      <c r="K763" s="129">
        <f t="shared" si="62"/>
        <v>76.5</v>
      </c>
      <c r="L763" s="130"/>
      <c r="M763" s="130">
        <f>Table432[[#This Row],[Taxable Amount]]+Table432[[#This Row],[SGST]]+Table432[[#This Row],[CGST]]</f>
        <v>1003</v>
      </c>
      <c r="N763" s="161">
        <v>0</v>
      </c>
      <c r="O763" s="132"/>
      <c r="P763" s="135"/>
      <c r="Q763" s="205">
        <v>46076</v>
      </c>
      <c r="R763" s="132" t="s">
        <v>1161</v>
      </c>
      <c r="S763" s="138">
        <f>Table432[[#This Row],[Invoice Amount]]-Table432[[#This Row],[TDS]]-Table432[[#This Row],[RTN]]-Table432[[#This Row],[RECIVED AMOUNT]]</f>
        <v>1003</v>
      </c>
      <c r="T763" s="131"/>
      <c r="U763" s="131"/>
      <c r="V763" s="41">
        <f>Table432[[#This Row],[BALANCE]]-Table432[[#This Row],[RECIVED AMOUNT2]]</f>
        <v>1003</v>
      </c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</row>
    <row r="764" spans="1:121" s="12" customFormat="1" ht="19.95" customHeight="1">
      <c r="A764" s="128">
        <v>46049</v>
      </c>
      <c r="B764" s="131" t="s">
        <v>1072</v>
      </c>
      <c r="C764" s="131" t="s">
        <v>981</v>
      </c>
      <c r="D764" s="131" t="s">
        <v>982</v>
      </c>
      <c r="E764" s="131" t="s">
        <v>1053</v>
      </c>
      <c r="F764" s="136" t="s">
        <v>26</v>
      </c>
      <c r="G764" s="136">
        <v>998531</v>
      </c>
      <c r="H764" s="23">
        <v>0.18</v>
      </c>
      <c r="I764" s="129">
        <v>850</v>
      </c>
      <c r="J764" s="129">
        <f t="shared" si="61"/>
        <v>76.5</v>
      </c>
      <c r="K764" s="129">
        <f t="shared" si="62"/>
        <v>76.5</v>
      </c>
      <c r="L764" s="130"/>
      <c r="M764" s="130">
        <f>Table432[[#This Row],[Taxable Amount]]+Table432[[#This Row],[SGST]]+Table432[[#This Row],[CGST]]</f>
        <v>1003</v>
      </c>
      <c r="N764" s="161">
        <v>0</v>
      </c>
      <c r="O764" s="132"/>
      <c r="P764" s="135"/>
      <c r="Q764" s="205">
        <v>46076</v>
      </c>
      <c r="R764" s="132" t="s">
        <v>1161</v>
      </c>
      <c r="S764" s="138">
        <f>Table432[[#This Row],[Invoice Amount]]-Table432[[#This Row],[TDS]]-Table432[[#This Row],[RTN]]-Table432[[#This Row],[RECIVED AMOUNT]]</f>
        <v>1003</v>
      </c>
      <c r="T764" s="131"/>
      <c r="U764" s="131"/>
      <c r="V764" s="41">
        <f>Table432[[#This Row],[BALANCE]]-Table432[[#This Row],[RECIVED AMOUNT2]]</f>
        <v>1003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</row>
    <row r="765" spans="1:121" s="12" customFormat="1" ht="19.95" customHeight="1">
      <c r="A765" s="128">
        <v>46049</v>
      </c>
      <c r="B765" s="131" t="s">
        <v>1073</v>
      </c>
      <c r="C765" s="131" t="s">
        <v>981</v>
      </c>
      <c r="D765" s="131" t="s">
        <v>982</v>
      </c>
      <c r="E765" s="131" t="s">
        <v>1053</v>
      </c>
      <c r="F765" s="136" t="s">
        <v>26</v>
      </c>
      <c r="G765" s="136">
        <v>998531</v>
      </c>
      <c r="H765" s="23">
        <v>0.18</v>
      </c>
      <c r="I765" s="129">
        <v>850</v>
      </c>
      <c r="J765" s="129">
        <f t="shared" si="61"/>
        <v>76.5</v>
      </c>
      <c r="K765" s="129">
        <f t="shared" si="62"/>
        <v>76.5</v>
      </c>
      <c r="L765" s="130"/>
      <c r="M765" s="130">
        <f>Table432[[#This Row],[Taxable Amount]]+Table432[[#This Row],[SGST]]+Table432[[#This Row],[CGST]]</f>
        <v>1003</v>
      </c>
      <c r="N765" s="161">
        <v>0</v>
      </c>
      <c r="O765" s="132"/>
      <c r="P765" s="206">
        <v>21063</v>
      </c>
      <c r="Q765" s="205">
        <v>46076</v>
      </c>
      <c r="R765" s="132" t="s">
        <v>1161</v>
      </c>
      <c r="S765" s="138">
        <f>Table432[[#This Row],[Invoice Amount]]-Table432[[#This Row],[TDS]]-Table432[[#This Row],[RTN]]-Table432[[#This Row],[RECIVED AMOUNT]]</f>
        <v>-20060</v>
      </c>
      <c r="T765" s="131"/>
      <c r="U765" s="131"/>
      <c r="V765" s="41">
        <f>Table432[[#This Row],[BALANCE]]-Table432[[#This Row],[RECIVED AMOUNT2]]</f>
        <v>-20060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</row>
    <row r="766" spans="1:121" s="12" customFormat="1" ht="19.95" customHeight="1">
      <c r="A766" s="128">
        <v>46053</v>
      </c>
      <c r="B766" s="131" t="s">
        <v>1074</v>
      </c>
      <c r="C766" s="131" t="s">
        <v>319</v>
      </c>
      <c r="D766" s="131" t="s">
        <v>320</v>
      </c>
      <c r="E766" s="131" t="s">
        <v>85</v>
      </c>
      <c r="F766" s="136" t="s">
        <v>26</v>
      </c>
      <c r="G766" s="136">
        <v>998531</v>
      </c>
      <c r="H766" s="23">
        <v>0.18</v>
      </c>
      <c r="I766" s="129">
        <v>8000</v>
      </c>
      <c r="J766" s="129">
        <f t="shared" si="61"/>
        <v>720</v>
      </c>
      <c r="K766" s="129">
        <f t="shared" si="62"/>
        <v>720</v>
      </c>
      <c r="L766" s="130"/>
      <c r="M766" s="130">
        <f>Table432[[#This Row],[Taxable Amount]]+Table432[[#This Row],[SGST]]+Table432[[#This Row],[CGST]]</f>
        <v>9440</v>
      </c>
      <c r="N766" s="161">
        <f>Table432[[#This Row],[Taxable Amount]]*1%</f>
        <v>80</v>
      </c>
      <c r="O766" s="132"/>
      <c r="P766" s="135"/>
      <c r="Q766" s="135"/>
      <c r="R766" s="132" t="s">
        <v>1161</v>
      </c>
      <c r="S766" s="138">
        <f>Table432[[#This Row],[Invoice Amount]]-Table432[[#This Row],[TDS]]-Table432[[#This Row],[RTN]]-Table432[[#This Row],[RECIVED AMOUNT]]</f>
        <v>9360</v>
      </c>
      <c r="T766" s="131"/>
      <c r="U766" s="131"/>
      <c r="V766" s="41">
        <f>Table432[[#This Row],[BALANCE]]-Table432[[#This Row],[RECIVED AMOUNT2]]</f>
        <v>9360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</row>
    <row r="767" spans="1:121" s="12" customFormat="1" ht="19.95" customHeight="1">
      <c r="A767" s="128">
        <v>46053</v>
      </c>
      <c r="B767" s="131" t="s">
        <v>1075</v>
      </c>
      <c r="C767" s="131" t="s">
        <v>319</v>
      </c>
      <c r="D767" s="131" t="s">
        <v>320</v>
      </c>
      <c r="E767" s="131" t="s">
        <v>89</v>
      </c>
      <c r="F767" s="136" t="s">
        <v>26</v>
      </c>
      <c r="G767" s="136">
        <v>998531</v>
      </c>
      <c r="H767" s="23">
        <v>0.18</v>
      </c>
      <c r="I767" s="129">
        <v>19200</v>
      </c>
      <c r="J767" s="129">
        <f t="shared" si="59"/>
        <v>1728</v>
      </c>
      <c r="K767" s="129">
        <f t="shared" si="60"/>
        <v>1728</v>
      </c>
      <c r="L767" s="130"/>
      <c r="M767" s="130">
        <f>Table432[[#This Row],[Taxable Amount]]+Table432[[#This Row],[SGST]]+Table432[[#This Row],[CGST]]</f>
        <v>22656</v>
      </c>
      <c r="N767" s="161">
        <f>Table432[[#This Row],[Taxable Amount]]*1%</f>
        <v>192</v>
      </c>
      <c r="O767" s="132"/>
      <c r="P767" s="135"/>
      <c r="Q767" s="135"/>
      <c r="R767" s="132" t="s">
        <v>1161</v>
      </c>
      <c r="S767" s="138">
        <f>Table432[[#This Row],[Invoice Amount]]-Table432[[#This Row],[TDS]]-Table432[[#This Row],[RTN]]-Table432[[#This Row],[RECIVED AMOUNT]]</f>
        <v>22464</v>
      </c>
      <c r="T767" s="131"/>
      <c r="U767" s="131"/>
      <c r="V767" s="41">
        <f>Table432[[#This Row],[BALANCE]]-Table432[[#This Row],[RECIVED AMOUNT2]]</f>
        <v>22464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</row>
    <row r="768" spans="1:121" s="12" customFormat="1" ht="19.95" customHeight="1">
      <c r="A768" s="128">
        <v>46053</v>
      </c>
      <c r="B768" s="131" t="s">
        <v>1076</v>
      </c>
      <c r="C768" s="131" t="s">
        <v>116</v>
      </c>
      <c r="D768" s="131" t="s">
        <v>117</v>
      </c>
      <c r="E768" s="131" t="s">
        <v>59</v>
      </c>
      <c r="F768" s="136" t="s">
        <v>26</v>
      </c>
      <c r="G768" s="136">
        <v>998531</v>
      </c>
      <c r="H768" s="23">
        <v>0.18</v>
      </c>
      <c r="I768" s="129">
        <v>17300</v>
      </c>
      <c r="J768" s="129">
        <f t="shared" si="59"/>
        <v>1557</v>
      </c>
      <c r="K768" s="129">
        <f t="shared" si="60"/>
        <v>1557</v>
      </c>
      <c r="L768" s="130"/>
      <c r="M768" s="130">
        <f>Table432[[#This Row],[Taxable Amount]]+Table432[[#This Row],[SGST]]+Table432[[#This Row],[CGST]]</f>
        <v>20414</v>
      </c>
      <c r="N768" s="161">
        <f>Table432[[#This Row],[Taxable Amount]]*1%</f>
        <v>173</v>
      </c>
      <c r="O768" s="132"/>
      <c r="P768" s="135">
        <v>20241</v>
      </c>
      <c r="Q768" s="205">
        <v>46074</v>
      </c>
      <c r="R768" s="132" t="s">
        <v>1161</v>
      </c>
      <c r="S768" s="138">
        <f>Table432[[#This Row],[Invoice Amount]]-Table432[[#This Row],[TDS]]-Table432[[#This Row],[RTN]]-Table432[[#This Row],[RECIVED AMOUNT]]</f>
        <v>0</v>
      </c>
      <c r="T768" s="131"/>
      <c r="U768" s="131"/>
      <c r="V768" s="41">
        <f>Table432[[#This Row],[BALANCE]]-Table432[[#This Row],[RECIVED AMOUNT2]]</f>
        <v>0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</row>
    <row r="769" spans="1:121" s="12" customFormat="1" ht="19.95" customHeight="1">
      <c r="A769" s="128">
        <v>46053</v>
      </c>
      <c r="B769" s="131" t="s">
        <v>1077</v>
      </c>
      <c r="C769" s="131" t="s">
        <v>390</v>
      </c>
      <c r="D769" s="131" t="s">
        <v>391</v>
      </c>
      <c r="E769" s="131" t="s">
        <v>260</v>
      </c>
      <c r="F769" s="136" t="s">
        <v>26</v>
      </c>
      <c r="G769" s="136">
        <v>998531</v>
      </c>
      <c r="H769" s="23">
        <v>0.18</v>
      </c>
      <c r="I769" s="129">
        <v>1205.1600000000001</v>
      </c>
      <c r="J769" s="129">
        <f t="shared" si="59"/>
        <v>108.46440000000001</v>
      </c>
      <c r="K769" s="129">
        <f t="shared" si="60"/>
        <v>108.46440000000001</v>
      </c>
      <c r="L769" s="130"/>
      <c r="M769" s="130">
        <f>Table432[[#This Row],[Taxable Amount]]+Table432[[#This Row],[SGST]]+Table432[[#This Row],[CGST]]</f>
        <v>1422.0888000000002</v>
      </c>
      <c r="N769" s="161">
        <f>Table432[[#This Row],[Taxable Amount]]*1%</f>
        <v>12.051600000000001</v>
      </c>
      <c r="O769" s="132"/>
      <c r="P769" s="135"/>
      <c r="Q769" s="205">
        <v>46160</v>
      </c>
      <c r="R769" s="132" t="s">
        <v>1161</v>
      </c>
      <c r="S769" s="138">
        <f>Table432[[#This Row],[Invoice Amount]]-Table432[[#This Row],[TDS]]-Table432[[#This Row],[RTN]]-Table432[[#This Row],[RECIVED AMOUNT]]</f>
        <v>1410.0372000000002</v>
      </c>
      <c r="T769" s="131"/>
      <c r="U769" s="131"/>
      <c r="V769" s="41">
        <f>Table432[[#This Row],[BALANCE]]-Table432[[#This Row],[RECIVED AMOUNT2]]</f>
        <v>1410.0372000000002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</row>
    <row r="770" spans="1:121" s="12" customFormat="1" ht="19.95" customHeight="1">
      <c r="A770" s="128">
        <v>46053</v>
      </c>
      <c r="B770" s="131" t="s">
        <v>1078</v>
      </c>
      <c r="C770" s="131" t="s">
        <v>390</v>
      </c>
      <c r="D770" s="131" t="s">
        <v>391</v>
      </c>
      <c r="E770" s="131" t="s">
        <v>260</v>
      </c>
      <c r="F770" s="136" t="s">
        <v>26</v>
      </c>
      <c r="G770" s="136">
        <v>998531</v>
      </c>
      <c r="H770" s="23">
        <v>0.18</v>
      </c>
      <c r="I770" s="129">
        <v>1448.35</v>
      </c>
      <c r="J770" s="129">
        <f t="shared" si="59"/>
        <v>130.35149999999999</v>
      </c>
      <c r="K770" s="129">
        <f t="shared" si="60"/>
        <v>130.35149999999999</v>
      </c>
      <c r="L770" s="130"/>
      <c r="M770" s="130">
        <f>Table432[[#This Row],[Taxable Amount]]+Table432[[#This Row],[SGST]]+Table432[[#This Row],[CGST]]</f>
        <v>1709.0529999999999</v>
      </c>
      <c r="N770" s="161">
        <f>Table432[[#This Row],[Taxable Amount]]*1%</f>
        <v>14.483499999999999</v>
      </c>
      <c r="O770" s="132"/>
      <c r="P770" s="135"/>
      <c r="Q770" s="205">
        <v>46160</v>
      </c>
      <c r="R770" s="132" t="s">
        <v>1161</v>
      </c>
      <c r="S770" s="138">
        <f>Table432[[#This Row],[Invoice Amount]]-Table432[[#This Row],[TDS]]-Table432[[#This Row],[RTN]]-Table432[[#This Row],[RECIVED AMOUNT]]</f>
        <v>1694.5694999999998</v>
      </c>
      <c r="T770" s="131"/>
      <c r="U770" s="131"/>
      <c r="V770" s="41">
        <f>Table432[[#This Row],[BALANCE]]-Table432[[#This Row],[RECIVED AMOUNT2]]</f>
        <v>1694.5694999999998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</row>
    <row r="771" spans="1:121" s="12" customFormat="1" ht="19.95" customHeight="1">
      <c r="A771" s="128">
        <v>46053</v>
      </c>
      <c r="B771" s="131" t="s">
        <v>1079</v>
      </c>
      <c r="C771" s="131" t="s">
        <v>390</v>
      </c>
      <c r="D771" s="131" t="s">
        <v>391</v>
      </c>
      <c r="E771" s="131" t="s">
        <v>260</v>
      </c>
      <c r="F771" s="136" t="s">
        <v>26</v>
      </c>
      <c r="G771" s="136">
        <v>998531</v>
      </c>
      <c r="H771" s="23">
        <v>0.18</v>
      </c>
      <c r="I771" s="129">
        <v>2008.6</v>
      </c>
      <c r="J771" s="129">
        <f t="shared" si="59"/>
        <v>180.77399999999997</v>
      </c>
      <c r="K771" s="129">
        <f t="shared" si="60"/>
        <v>180.77399999999997</v>
      </c>
      <c r="L771" s="130"/>
      <c r="M771" s="130">
        <f>Table432[[#This Row],[Taxable Amount]]+Table432[[#This Row],[SGST]]+Table432[[#This Row],[CGST]]</f>
        <v>2370.1479999999997</v>
      </c>
      <c r="N771" s="161">
        <f>Table432[[#This Row],[Taxable Amount]]*1%</f>
        <v>20.085999999999999</v>
      </c>
      <c r="O771" s="132"/>
      <c r="P771" s="135"/>
      <c r="Q771" s="205">
        <v>46160</v>
      </c>
      <c r="R771" s="132" t="s">
        <v>1161</v>
      </c>
      <c r="S771" s="138">
        <f>Table432[[#This Row],[Invoice Amount]]-Table432[[#This Row],[TDS]]-Table432[[#This Row],[RTN]]-Table432[[#This Row],[RECIVED AMOUNT]]</f>
        <v>2350.0619999999999</v>
      </c>
      <c r="T771" s="131"/>
      <c r="U771" s="131"/>
      <c r="V771" s="41">
        <f>Table432[[#This Row],[BALANCE]]-Table432[[#This Row],[RECIVED AMOUNT2]]</f>
        <v>2350.0619999999999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</row>
    <row r="772" spans="1:121" s="12" customFormat="1" ht="19.95" customHeight="1">
      <c r="A772" s="128">
        <v>46053</v>
      </c>
      <c r="B772" s="131" t="s">
        <v>1080</v>
      </c>
      <c r="C772" s="131" t="s">
        <v>390</v>
      </c>
      <c r="D772" s="131" t="s">
        <v>391</v>
      </c>
      <c r="E772" s="131" t="s">
        <v>260</v>
      </c>
      <c r="F772" s="136" t="s">
        <v>26</v>
      </c>
      <c r="G772" s="136">
        <v>998531</v>
      </c>
      <c r="H772" s="23">
        <v>0.18</v>
      </c>
      <c r="I772" s="129">
        <v>1035.8399999999999</v>
      </c>
      <c r="J772" s="129">
        <f t="shared" si="59"/>
        <v>93.2256</v>
      </c>
      <c r="K772" s="129">
        <f t="shared" si="60"/>
        <v>93.2256</v>
      </c>
      <c r="L772" s="130"/>
      <c r="M772" s="130">
        <f>Table432[[#This Row],[Taxable Amount]]+Table432[[#This Row],[SGST]]+Table432[[#This Row],[CGST]]</f>
        <v>1222.2911999999999</v>
      </c>
      <c r="N772" s="161">
        <f>Table432[[#This Row],[Taxable Amount]]*1%</f>
        <v>10.3584</v>
      </c>
      <c r="O772" s="132"/>
      <c r="P772" s="135"/>
      <c r="Q772" s="205">
        <v>46160</v>
      </c>
      <c r="R772" s="132" t="s">
        <v>1161</v>
      </c>
      <c r="S772" s="138">
        <f>Table432[[#This Row],[Invoice Amount]]-Table432[[#This Row],[TDS]]-Table432[[#This Row],[RTN]]-Table432[[#This Row],[RECIVED AMOUNT]]</f>
        <v>1211.9327999999998</v>
      </c>
      <c r="T772" s="131"/>
      <c r="U772" s="131"/>
      <c r="V772" s="41">
        <f>Table432[[#This Row],[BALANCE]]-Table432[[#This Row],[RECIVED AMOUNT2]]</f>
        <v>1211.9327999999998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</row>
    <row r="773" spans="1:121" s="12" customFormat="1" ht="19.95" customHeight="1">
      <c r="A773" s="128">
        <v>46053</v>
      </c>
      <c r="B773" s="131" t="s">
        <v>1081</v>
      </c>
      <c r="C773" s="131" t="s">
        <v>390</v>
      </c>
      <c r="D773" s="131" t="s">
        <v>391</v>
      </c>
      <c r="E773" s="131" t="s">
        <v>260</v>
      </c>
      <c r="F773" s="136" t="s">
        <v>26</v>
      </c>
      <c r="G773" s="136">
        <v>998531</v>
      </c>
      <c r="H773" s="23">
        <v>0.18</v>
      </c>
      <c r="I773" s="129">
        <v>972.76</v>
      </c>
      <c r="J773" s="129">
        <f t="shared" si="59"/>
        <v>87.548400000000001</v>
      </c>
      <c r="K773" s="129">
        <f t="shared" si="60"/>
        <v>87.548400000000001</v>
      </c>
      <c r="L773" s="130"/>
      <c r="M773" s="130">
        <f>Table432[[#This Row],[Taxable Amount]]+Table432[[#This Row],[SGST]]+Table432[[#This Row],[CGST]]</f>
        <v>1147.8567999999998</v>
      </c>
      <c r="N773" s="161">
        <f>Table432[[#This Row],[Taxable Amount]]*1%</f>
        <v>9.7276000000000007</v>
      </c>
      <c r="O773" s="132"/>
      <c r="P773" s="135"/>
      <c r="Q773" s="205">
        <v>46160</v>
      </c>
      <c r="R773" s="132" t="s">
        <v>1161</v>
      </c>
      <c r="S773" s="138">
        <f>Table432[[#This Row],[Invoice Amount]]-Table432[[#This Row],[TDS]]-Table432[[#This Row],[RTN]]-Table432[[#This Row],[RECIVED AMOUNT]]</f>
        <v>1138.1291999999999</v>
      </c>
      <c r="T773" s="131"/>
      <c r="U773" s="131"/>
      <c r="V773" s="41">
        <f>Table432[[#This Row],[BALANCE]]-Table432[[#This Row],[RECIVED AMOUNT2]]</f>
        <v>1138.1291999999999</v>
      </c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</row>
    <row r="774" spans="1:121" s="12" customFormat="1" ht="19.95" customHeight="1">
      <c r="A774" s="128">
        <v>46053</v>
      </c>
      <c r="B774" s="131" t="s">
        <v>1082</v>
      </c>
      <c r="C774" s="131" t="s">
        <v>390</v>
      </c>
      <c r="D774" s="131" t="s">
        <v>391</v>
      </c>
      <c r="E774" s="131" t="s">
        <v>260</v>
      </c>
      <c r="F774" s="136" t="s">
        <v>26</v>
      </c>
      <c r="G774" s="136">
        <v>998531</v>
      </c>
      <c r="H774" s="23">
        <v>0.18</v>
      </c>
      <c r="I774" s="129">
        <v>930.43</v>
      </c>
      <c r="J774" s="129">
        <f t="shared" si="59"/>
        <v>83.738699999999994</v>
      </c>
      <c r="K774" s="129">
        <f t="shared" si="60"/>
        <v>83.738699999999994</v>
      </c>
      <c r="L774" s="130"/>
      <c r="M774" s="130">
        <f>Table432[[#This Row],[Taxable Amount]]+Table432[[#This Row],[SGST]]+Table432[[#This Row],[CGST]]</f>
        <v>1097.9074000000001</v>
      </c>
      <c r="N774" s="161">
        <f>Table432[[#This Row],[Taxable Amount]]*1%</f>
        <v>9.3042999999999996</v>
      </c>
      <c r="O774" s="132"/>
      <c r="P774" s="135"/>
      <c r="Q774" s="205">
        <v>46160</v>
      </c>
      <c r="R774" s="132" t="s">
        <v>1161</v>
      </c>
      <c r="S774" s="138">
        <f>Table432[[#This Row],[Invoice Amount]]-Table432[[#This Row],[TDS]]-Table432[[#This Row],[RTN]]-Table432[[#This Row],[RECIVED AMOUNT]]</f>
        <v>1088.6031</v>
      </c>
      <c r="T774" s="131"/>
      <c r="U774" s="131"/>
      <c r="V774" s="41">
        <f>Table432[[#This Row],[BALANCE]]-Table432[[#This Row],[RECIVED AMOUNT2]]</f>
        <v>1088.6031</v>
      </c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</row>
    <row r="775" spans="1:121" s="12" customFormat="1" ht="19.95" customHeight="1">
      <c r="A775" s="128">
        <v>46053</v>
      </c>
      <c r="B775" s="131" t="s">
        <v>1083</v>
      </c>
      <c r="C775" s="131" t="s">
        <v>390</v>
      </c>
      <c r="D775" s="131" t="s">
        <v>391</v>
      </c>
      <c r="E775" s="131" t="s">
        <v>260</v>
      </c>
      <c r="F775" s="136" t="s">
        <v>26</v>
      </c>
      <c r="G775" s="136">
        <v>998531</v>
      </c>
      <c r="H775" s="23">
        <v>0.18</v>
      </c>
      <c r="I775" s="129">
        <v>698.86</v>
      </c>
      <c r="J775" s="129">
        <f t="shared" si="59"/>
        <v>62.897399999999998</v>
      </c>
      <c r="K775" s="129">
        <f t="shared" si="60"/>
        <v>62.897399999999998</v>
      </c>
      <c r="L775" s="130"/>
      <c r="M775" s="130">
        <f>Table432[[#This Row],[Taxable Amount]]+Table432[[#This Row],[SGST]]+Table432[[#This Row],[CGST]]</f>
        <v>824.65479999999991</v>
      </c>
      <c r="N775" s="161">
        <f>Table432[[#This Row],[Taxable Amount]]*1%</f>
        <v>6.9885999999999999</v>
      </c>
      <c r="O775" s="132"/>
      <c r="P775" s="135">
        <v>9712</v>
      </c>
      <c r="Q775" s="205">
        <v>46160</v>
      </c>
      <c r="R775" s="132" t="s">
        <v>1161</v>
      </c>
      <c r="S775" s="138">
        <f>Table432[[#This Row],[Invoice Amount]]-Table432[[#This Row],[TDS]]-Table432[[#This Row],[RTN]]-Table432[[#This Row],[RECIVED AMOUNT]]</f>
        <v>-8894.3338000000003</v>
      </c>
      <c r="T775" s="131"/>
      <c r="U775" s="131"/>
      <c r="V775" s="41">
        <f>Table432[[#This Row],[BALANCE]]-Table432[[#This Row],[RECIVED AMOUNT2]]</f>
        <v>-8894.3338000000003</v>
      </c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</row>
    <row r="776" spans="1:121" s="12" customFormat="1" ht="19.95" customHeight="1">
      <c r="A776" s="128">
        <v>46053</v>
      </c>
      <c r="B776" s="131" t="s">
        <v>1084</v>
      </c>
      <c r="C776" s="131" t="s">
        <v>290</v>
      </c>
      <c r="D776" s="131" t="s">
        <v>291</v>
      </c>
      <c r="E776" s="131" t="s">
        <v>25</v>
      </c>
      <c r="F776" s="136" t="s">
        <v>26</v>
      </c>
      <c r="G776" s="136">
        <v>998531</v>
      </c>
      <c r="H776" s="23">
        <v>0.18</v>
      </c>
      <c r="I776" s="129">
        <v>3000</v>
      </c>
      <c r="J776" s="129">
        <f t="shared" si="59"/>
        <v>270</v>
      </c>
      <c r="K776" s="129">
        <f t="shared" si="60"/>
        <v>270</v>
      </c>
      <c r="L776" s="130"/>
      <c r="M776" s="130">
        <f>Table432[[#This Row],[Taxable Amount]]+Table432[[#This Row],[SGST]]+Table432[[#This Row],[CGST]]</f>
        <v>3540</v>
      </c>
      <c r="N776" s="161">
        <f>Table432[[#This Row],[Taxable Amount]]*1%</f>
        <v>30</v>
      </c>
      <c r="O776" s="132"/>
      <c r="P776" s="119"/>
      <c r="Q776" s="205"/>
      <c r="R776" s="132" t="s">
        <v>1161</v>
      </c>
      <c r="S776" s="138">
        <f>Table432[[#This Row],[Invoice Amount]]-Table432[[#This Row],[TDS]]-Table432[[#This Row],[RTN]]-Table432[[#This Row],[RECIVED AMOUNT]]</f>
        <v>3510</v>
      </c>
      <c r="T776" s="131"/>
      <c r="U776" s="131"/>
      <c r="V776" s="41">
        <f>Table432[[#This Row],[BALANCE]]-Table432[[#This Row],[RECIVED AMOUNT2]]</f>
        <v>3510</v>
      </c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</row>
    <row r="777" spans="1:121" s="12" customFormat="1" ht="19.95" customHeight="1">
      <c r="A777" s="128">
        <v>46053</v>
      </c>
      <c r="B777" s="131" t="s">
        <v>1085</v>
      </c>
      <c r="C777" s="131" t="s">
        <v>372</v>
      </c>
      <c r="D777" s="131" t="s">
        <v>794</v>
      </c>
      <c r="E777" s="131" t="s">
        <v>374</v>
      </c>
      <c r="F777" s="136" t="s">
        <v>26</v>
      </c>
      <c r="G777" s="136">
        <v>998531</v>
      </c>
      <c r="H777" s="23">
        <v>0.18</v>
      </c>
      <c r="I777" s="129">
        <v>2500</v>
      </c>
      <c r="J777" s="129">
        <f t="shared" si="59"/>
        <v>225</v>
      </c>
      <c r="K777" s="129">
        <f t="shared" si="60"/>
        <v>225</v>
      </c>
      <c r="L777" s="130"/>
      <c r="M777" s="130">
        <f>Table432[[#This Row],[Taxable Amount]]+Table432[[#This Row],[SGST]]+Table432[[#This Row],[CGST]]</f>
        <v>2950</v>
      </c>
      <c r="N777" s="161">
        <f>Table432[[#This Row],[Taxable Amount]]*1%</f>
        <v>25</v>
      </c>
      <c r="O777" s="132"/>
      <c r="P777" s="135">
        <v>2950</v>
      </c>
      <c r="Q777" s="205">
        <v>46069</v>
      </c>
      <c r="R777" s="132" t="s">
        <v>1161</v>
      </c>
      <c r="S777" s="138">
        <f>Table432[[#This Row],[Invoice Amount]]-Table432[[#This Row],[TDS]]-Table432[[#This Row],[RTN]]-Table432[[#This Row],[RECIVED AMOUNT]]</f>
        <v>-25</v>
      </c>
      <c r="T777" s="131"/>
      <c r="U777" s="131"/>
      <c r="V777" s="41">
        <f>Table432[[#This Row],[BALANCE]]-Table432[[#This Row],[RECIVED AMOUNT2]]</f>
        <v>-25</v>
      </c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</row>
    <row r="778" spans="1:121" s="12" customFormat="1" ht="19.95" customHeight="1">
      <c r="A778" s="128">
        <v>46053</v>
      </c>
      <c r="B778" s="131" t="s">
        <v>1086</v>
      </c>
      <c r="C778" s="131" t="s">
        <v>955</v>
      </c>
      <c r="D778" s="131" t="s">
        <v>205</v>
      </c>
      <c r="E778" s="131" t="s">
        <v>67</v>
      </c>
      <c r="F778" s="136" t="s">
        <v>26</v>
      </c>
      <c r="G778" s="136">
        <v>998531</v>
      </c>
      <c r="H778" s="23">
        <v>0.18</v>
      </c>
      <c r="I778" s="129">
        <v>10000</v>
      </c>
      <c r="J778" s="129">
        <f t="shared" si="59"/>
        <v>900</v>
      </c>
      <c r="K778" s="129">
        <f t="shared" si="60"/>
        <v>900</v>
      </c>
      <c r="L778" s="130"/>
      <c r="M778" s="130">
        <f>Table432[[#This Row],[Taxable Amount]]+Table432[[#This Row],[SGST]]+Table432[[#This Row],[CGST]]</f>
        <v>11800</v>
      </c>
      <c r="N778" s="161">
        <f>Table432[[#This Row],[Taxable Amount]]*1%</f>
        <v>100</v>
      </c>
      <c r="O778" s="132"/>
      <c r="P778" s="206">
        <v>11700</v>
      </c>
      <c r="Q778" s="205">
        <v>46118</v>
      </c>
      <c r="R778" s="132" t="s">
        <v>1161</v>
      </c>
      <c r="S778" s="138">
        <f>Table432[[#This Row],[Invoice Amount]]-Table432[[#This Row],[TDS]]-Table432[[#This Row],[RTN]]-Table432[[#This Row],[RECIVED AMOUNT]]</f>
        <v>0</v>
      </c>
      <c r="T778" s="131"/>
      <c r="U778" s="131"/>
      <c r="V778" s="41">
        <f>Table432[[#This Row],[BALANCE]]-Table432[[#This Row],[RECIVED AMOUNT2]]</f>
        <v>0</v>
      </c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</row>
    <row r="779" spans="1:121" s="12" customFormat="1" ht="19.95" customHeight="1">
      <c r="A779" s="128">
        <v>46053</v>
      </c>
      <c r="B779" s="131" t="s">
        <v>1087</v>
      </c>
      <c r="C779" s="131" t="s">
        <v>720</v>
      </c>
      <c r="D779" s="131" t="s">
        <v>721</v>
      </c>
      <c r="E779" s="131" t="s">
        <v>722</v>
      </c>
      <c r="F779" s="136" t="s">
        <v>26</v>
      </c>
      <c r="G779" s="136">
        <v>998531</v>
      </c>
      <c r="H779" s="23">
        <v>0.18</v>
      </c>
      <c r="I779" s="129">
        <v>9200</v>
      </c>
      <c r="J779" s="129">
        <f t="shared" si="59"/>
        <v>828</v>
      </c>
      <c r="K779" s="129">
        <f t="shared" si="60"/>
        <v>828</v>
      </c>
      <c r="L779" s="130"/>
      <c r="M779" s="130">
        <f>Table432[[#This Row],[Taxable Amount]]+Table432[[#This Row],[SGST]]+Table432[[#This Row],[CGST]]</f>
        <v>10856</v>
      </c>
      <c r="N779" s="161">
        <f>Table432[[#This Row],[Taxable Amount]]*1%</f>
        <v>92</v>
      </c>
      <c r="O779" s="132"/>
      <c r="P779" s="135">
        <v>10856</v>
      </c>
      <c r="Q779" s="205">
        <v>46058</v>
      </c>
      <c r="R779" s="132" t="s">
        <v>1161</v>
      </c>
      <c r="S779" s="138">
        <f>Table432[[#This Row],[Invoice Amount]]-Table432[[#This Row],[TDS]]-Table432[[#This Row],[RTN]]-Table432[[#This Row],[RECIVED AMOUNT]]</f>
        <v>-92</v>
      </c>
      <c r="T779" s="131"/>
      <c r="U779" s="131"/>
      <c r="V779" s="41">
        <f>Table432[[#This Row],[BALANCE]]-Table432[[#This Row],[RECIVED AMOUNT2]]</f>
        <v>-92</v>
      </c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</row>
    <row r="780" spans="1:121" s="12" customFormat="1" ht="19.95" customHeight="1">
      <c r="A780" s="128">
        <v>46053</v>
      </c>
      <c r="B780" s="131" t="s">
        <v>1088</v>
      </c>
      <c r="C780" s="131" t="s">
        <v>720</v>
      </c>
      <c r="D780" s="131" t="s">
        <v>721</v>
      </c>
      <c r="E780" s="131" t="s">
        <v>750</v>
      </c>
      <c r="F780" s="136" t="s">
        <v>26</v>
      </c>
      <c r="G780" s="136">
        <v>998531</v>
      </c>
      <c r="H780" s="23">
        <v>0.18</v>
      </c>
      <c r="I780" s="129">
        <v>16000</v>
      </c>
      <c r="J780" s="129">
        <f t="shared" si="59"/>
        <v>1440</v>
      </c>
      <c r="K780" s="129">
        <f t="shared" si="60"/>
        <v>1440</v>
      </c>
      <c r="L780" s="130"/>
      <c r="M780" s="130">
        <f>Table432[[#This Row],[Taxable Amount]]+Table432[[#This Row],[SGST]]+Table432[[#This Row],[CGST]]</f>
        <v>18880</v>
      </c>
      <c r="N780" s="161">
        <f>Table432[[#This Row],[Taxable Amount]]*1%</f>
        <v>160</v>
      </c>
      <c r="O780" s="132"/>
      <c r="P780" s="206">
        <v>10000</v>
      </c>
      <c r="Q780" s="205">
        <v>46064</v>
      </c>
      <c r="R780" s="132" t="s">
        <v>1161</v>
      </c>
      <c r="S780" s="138">
        <f>Table432[[#This Row],[Invoice Amount]]-Table432[[#This Row],[TDS]]-Table432[[#This Row],[RTN]]-Table432[[#This Row],[RECIVED AMOUNT]]</f>
        <v>8720</v>
      </c>
      <c r="T780" s="395">
        <v>10710</v>
      </c>
      <c r="U780" s="280">
        <v>46122</v>
      </c>
      <c r="V780" s="41">
        <f>Table432[[#This Row],[BALANCE]]-Table432[[#This Row],[RECIVED AMOUNT2]]</f>
        <v>-1990</v>
      </c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</row>
    <row r="781" spans="1:121" s="12" customFormat="1" ht="19.95" customHeight="1">
      <c r="A781" s="128">
        <v>46053</v>
      </c>
      <c r="B781" s="131" t="s">
        <v>1089</v>
      </c>
      <c r="C781" s="131" t="s">
        <v>885</v>
      </c>
      <c r="D781" s="131" t="s">
        <v>886</v>
      </c>
      <c r="E781" s="131" t="s">
        <v>59</v>
      </c>
      <c r="F781" s="136" t="s">
        <v>26</v>
      </c>
      <c r="G781" s="136">
        <v>998531</v>
      </c>
      <c r="H781" s="23">
        <v>0.18</v>
      </c>
      <c r="I781" s="129">
        <v>3000</v>
      </c>
      <c r="J781" s="129">
        <f t="shared" si="59"/>
        <v>270</v>
      </c>
      <c r="K781" s="129">
        <f t="shared" si="60"/>
        <v>270</v>
      </c>
      <c r="L781" s="130"/>
      <c r="M781" s="130">
        <f>Table432[[#This Row],[Taxable Amount]]+Table432[[#This Row],[SGST]]+Table432[[#This Row],[CGST]]</f>
        <v>3540</v>
      </c>
      <c r="N781" s="161"/>
      <c r="O781" s="132"/>
      <c r="P781" s="135"/>
      <c r="Q781" s="205">
        <v>46172</v>
      </c>
      <c r="R781" s="132" t="s">
        <v>1161</v>
      </c>
      <c r="S781" s="138">
        <f>Table432[[#This Row],[Invoice Amount]]-Table432[[#This Row],[TDS]]-Table432[[#This Row],[RTN]]-Table432[[#This Row],[RECIVED AMOUNT]]</f>
        <v>3540</v>
      </c>
      <c r="T781" s="131"/>
      <c r="U781" s="131"/>
      <c r="V781" s="41">
        <f>Table432[[#This Row],[BALANCE]]-Table432[[#This Row],[RECIVED AMOUNT2]]</f>
        <v>3540</v>
      </c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</row>
    <row r="782" spans="1:121" s="12" customFormat="1" ht="19.95" customHeight="1">
      <c r="A782" s="128">
        <v>46055</v>
      </c>
      <c r="B782" s="131" t="s">
        <v>1090</v>
      </c>
      <c r="C782" s="131" t="s">
        <v>173</v>
      </c>
      <c r="D782" s="131" t="s">
        <v>174</v>
      </c>
      <c r="E782" s="131" t="s">
        <v>62</v>
      </c>
      <c r="F782" s="136" t="s">
        <v>26</v>
      </c>
      <c r="G782" s="136">
        <v>3808</v>
      </c>
      <c r="H782" s="23">
        <v>0.18</v>
      </c>
      <c r="I782" s="129">
        <v>8800</v>
      </c>
      <c r="J782" s="129">
        <f t="shared" si="59"/>
        <v>792</v>
      </c>
      <c r="K782" s="129">
        <f t="shared" si="60"/>
        <v>792</v>
      </c>
      <c r="L782" s="130"/>
      <c r="M782" s="130">
        <f>Table432[[#This Row],[Taxable Amount]]+Table432[[#This Row],[SGST]]+Table432[[#This Row],[CGST]]</f>
        <v>10384</v>
      </c>
      <c r="N782" s="161">
        <f>Table432[[#This Row],[Taxable Amount]]*1%</f>
        <v>88</v>
      </c>
      <c r="O782" s="132"/>
      <c r="P782" s="135">
        <v>10296</v>
      </c>
      <c r="Q782" s="205">
        <v>46192</v>
      </c>
      <c r="R782" s="132" t="s">
        <v>1162</v>
      </c>
      <c r="S782" s="138">
        <f>Table432[[#This Row],[Invoice Amount]]-Table432[[#This Row],[TDS]]-Table432[[#This Row],[RTN]]-Table432[[#This Row],[RECIVED AMOUNT]]</f>
        <v>0</v>
      </c>
      <c r="T782" s="131"/>
      <c r="U782" s="131"/>
      <c r="V782" s="41">
        <f>Table432[[#This Row],[BALANCE]]-Table432[[#This Row],[RECIVED AMOUNT2]]</f>
        <v>0</v>
      </c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</row>
    <row r="783" spans="1:121" s="12" customFormat="1" ht="19.95" customHeight="1">
      <c r="A783" s="128">
        <v>46058</v>
      </c>
      <c r="B783" s="131" t="s">
        <v>1091</v>
      </c>
      <c r="C783" s="131" t="s">
        <v>674</v>
      </c>
      <c r="D783" s="131" t="s">
        <v>675</v>
      </c>
      <c r="E783" s="131" t="s">
        <v>676</v>
      </c>
      <c r="F783" s="136" t="s">
        <v>26</v>
      </c>
      <c r="G783" s="136">
        <v>3808</v>
      </c>
      <c r="H783" s="23">
        <v>0.18</v>
      </c>
      <c r="I783" s="129">
        <v>8000</v>
      </c>
      <c r="J783" s="129">
        <f t="shared" si="59"/>
        <v>720</v>
      </c>
      <c r="K783" s="129">
        <f t="shared" si="60"/>
        <v>720</v>
      </c>
      <c r="L783" s="130"/>
      <c r="M783" s="130">
        <f>Table432[[#This Row],[Taxable Amount]]+Table432[[#This Row],[SGST]]+Table432[[#This Row],[CGST]]</f>
        <v>9440</v>
      </c>
      <c r="N783" s="161">
        <f>Table432[[#This Row],[Taxable Amount]]*1%</f>
        <v>80</v>
      </c>
      <c r="O783" s="132"/>
      <c r="P783" s="135">
        <v>9360</v>
      </c>
      <c r="Q783" s="205">
        <v>46210</v>
      </c>
      <c r="R783" s="132" t="s">
        <v>1162</v>
      </c>
      <c r="S783" s="138">
        <f>Table432[[#This Row],[Invoice Amount]]-Table432[[#This Row],[TDS]]-Table432[[#This Row],[RTN]]-Table432[[#This Row],[RECIVED AMOUNT]]</f>
        <v>0</v>
      </c>
      <c r="T783" s="131"/>
      <c r="U783" s="131"/>
      <c r="V783" s="41">
        <f>Table432[[#This Row],[BALANCE]]-Table432[[#This Row],[RECIVED AMOUNT2]]</f>
        <v>0</v>
      </c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</row>
    <row r="784" spans="1:121" s="12" customFormat="1" ht="19.95" customHeight="1">
      <c r="A784" s="128">
        <v>46058</v>
      </c>
      <c r="B784" s="131" t="s">
        <v>1092</v>
      </c>
      <c r="C784" s="131" t="s">
        <v>674</v>
      </c>
      <c r="D784" s="131" t="s">
        <v>675</v>
      </c>
      <c r="E784" s="131" t="s">
        <v>678</v>
      </c>
      <c r="F784" s="136" t="s">
        <v>26</v>
      </c>
      <c r="G784" s="136">
        <v>3808</v>
      </c>
      <c r="H784" s="23">
        <v>0.18</v>
      </c>
      <c r="I784" s="129">
        <v>3850</v>
      </c>
      <c r="J784" s="129">
        <f t="shared" si="59"/>
        <v>346.5</v>
      </c>
      <c r="K784" s="129">
        <f t="shared" si="60"/>
        <v>346.5</v>
      </c>
      <c r="L784" s="130"/>
      <c r="M784" s="130">
        <f>Table432[[#This Row],[Taxable Amount]]+Table432[[#This Row],[SGST]]+Table432[[#This Row],[CGST]]</f>
        <v>4543</v>
      </c>
      <c r="N784" s="161">
        <f>Table432[[#This Row],[Taxable Amount]]*1%</f>
        <v>38.5</v>
      </c>
      <c r="O784" s="132"/>
      <c r="P784" s="135">
        <v>4504.5</v>
      </c>
      <c r="Q784" s="205">
        <v>46210</v>
      </c>
      <c r="R784" s="132" t="s">
        <v>1162</v>
      </c>
      <c r="S784" s="138">
        <f>Table432[[#This Row],[Invoice Amount]]-Table432[[#This Row],[TDS]]-Table432[[#This Row],[RTN]]-Table432[[#This Row],[RECIVED AMOUNT]]</f>
        <v>0</v>
      </c>
      <c r="T784" s="131"/>
      <c r="U784" s="131"/>
      <c r="V784" s="41">
        <f>Table432[[#This Row],[BALANCE]]-Table432[[#This Row],[RECIVED AMOUNT2]]</f>
        <v>0</v>
      </c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</row>
    <row r="785" spans="1:121" s="12" customFormat="1" ht="19.95" customHeight="1">
      <c r="A785" s="128">
        <v>46058</v>
      </c>
      <c r="B785" s="131" t="s">
        <v>1093</v>
      </c>
      <c r="C785" s="131" t="s">
        <v>674</v>
      </c>
      <c r="D785" s="131" t="s">
        <v>675</v>
      </c>
      <c r="E785" s="131" t="s">
        <v>680</v>
      </c>
      <c r="F785" s="136" t="s">
        <v>26</v>
      </c>
      <c r="G785" s="136">
        <v>3808</v>
      </c>
      <c r="H785" s="23">
        <v>0.18</v>
      </c>
      <c r="I785" s="129">
        <v>2000</v>
      </c>
      <c r="J785" s="129">
        <f t="shared" si="59"/>
        <v>180</v>
      </c>
      <c r="K785" s="129">
        <f t="shared" si="60"/>
        <v>180</v>
      </c>
      <c r="L785" s="130"/>
      <c r="M785" s="130">
        <f>Table432[[#This Row],[Taxable Amount]]+Table432[[#This Row],[SGST]]+Table432[[#This Row],[CGST]]</f>
        <v>2360</v>
      </c>
      <c r="N785" s="161">
        <f>Table432[[#This Row],[Taxable Amount]]*1%</f>
        <v>20</v>
      </c>
      <c r="O785" s="132"/>
      <c r="P785" s="135">
        <v>2340</v>
      </c>
      <c r="Q785" s="205">
        <v>46112</v>
      </c>
      <c r="R785" s="132" t="s">
        <v>1162</v>
      </c>
      <c r="S785" s="138">
        <f>Table432[[#This Row],[Invoice Amount]]-Table432[[#This Row],[TDS]]-Table432[[#This Row],[RTN]]-Table432[[#This Row],[RECIVED AMOUNT]]</f>
        <v>0</v>
      </c>
      <c r="T785" s="131"/>
      <c r="U785" s="131"/>
      <c r="V785" s="41">
        <f>Table432[[#This Row],[BALANCE]]-Table432[[#This Row],[RECIVED AMOUNT2]]</f>
        <v>0</v>
      </c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</row>
    <row r="786" spans="1:121" s="12" customFormat="1" ht="19.95" customHeight="1">
      <c r="A786" s="128">
        <v>46058</v>
      </c>
      <c r="B786" s="131" t="s">
        <v>1094</v>
      </c>
      <c r="C786" s="131" t="s">
        <v>674</v>
      </c>
      <c r="D786" s="131" t="s">
        <v>675</v>
      </c>
      <c r="E786" s="131" t="s">
        <v>684</v>
      </c>
      <c r="F786" s="136" t="s">
        <v>26</v>
      </c>
      <c r="G786" s="136">
        <v>3808</v>
      </c>
      <c r="H786" s="23">
        <v>0.18</v>
      </c>
      <c r="I786" s="129">
        <v>3400</v>
      </c>
      <c r="J786" s="129">
        <f t="shared" si="59"/>
        <v>306</v>
      </c>
      <c r="K786" s="129">
        <f t="shared" si="60"/>
        <v>306</v>
      </c>
      <c r="L786" s="130"/>
      <c r="M786" s="130">
        <f>Table432[[#This Row],[Taxable Amount]]+Table432[[#This Row],[SGST]]+Table432[[#This Row],[CGST]]</f>
        <v>4012</v>
      </c>
      <c r="N786" s="161">
        <f>Table432[[#This Row],[Taxable Amount]]*1%</f>
        <v>34</v>
      </c>
      <c r="O786" s="132"/>
      <c r="P786" s="135">
        <v>3978</v>
      </c>
      <c r="Q786" s="205">
        <v>46112</v>
      </c>
      <c r="R786" s="132" t="s">
        <v>1162</v>
      </c>
      <c r="S786" s="138">
        <f>Table432[[#This Row],[Invoice Amount]]-Table432[[#This Row],[TDS]]-Table432[[#This Row],[RTN]]-Table432[[#This Row],[RECIVED AMOUNT]]</f>
        <v>0</v>
      </c>
      <c r="T786" s="131"/>
      <c r="U786" s="131"/>
      <c r="V786" s="41">
        <f>Table432[[#This Row],[BALANCE]]-Table432[[#This Row],[RECIVED AMOUNT2]]</f>
        <v>0</v>
      </c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</row>
    <row r="787" spans="1:121" s="12" customFormat="1" ht="19.95" customHeight="1">
      <c r="A787" s="128">
        <v>46058</v>
      </c>
      <c r="B787" s="131" t="s">
        <v>1095</v>
      </c>
      <c r="C787" s="131" t="s">
        <v>674</v>
      </c>
      <c r="D787" s="131" t="s">
        <v>675</v>
      </c>
      <c r="E787" s="131" t="s">
        <v>956</v>
      </c>
      <c r="F787" s="136" t="s">
        <v>26</v>
      </c>
      <c r="G787" s="136">
        <v>3808</v>
      </c>
      <c r="H787" s="23">
        <v>0.18</v>
      </c>
      <c r="I787" s="129">
        <v>2100</v>
      </c>
      <c r="J787" s="129">
        <f t="shared" si="59"/>
        <v>189</v>
      </c>
      <c r="K787" s="129">
        <f t="shared" si="60"/>
        <v>189</v>
      </c>
      <c r="L787" s="130"/>
      <c r="M787" s="130">
        <f>Table432[[#This Row],[Taxable Amount]]+Table432[[#This Row],[SGST]]+Table432[[#This Row],[CGST]]</f>
        <v>2478</v>
      </c>
      <c r="N787" s="161">
        <f>Table432[[#This Row],[Taxable Amount]]*1%</f>
        <v>21</v>
      </c>
      <c r="O787" s="132"/>
      <c r="P787" s="135">
        <v>2457</v>
      </c>
      <c r="Q787" s="205">
        <v>46210</v>
      </c>
      <c r="R787" s="132" t="s">
        <v>1162</v>
      </c>
      <c r="S787" s="138">
        <f>Table432[[#This Row],[Invoice Amount]]-Table432[[#This Row],[TDS]]-Table432[[#This Row],[RTN]]-Table432[[#This Row],[RECIVED AMOUNT]]</f>
        <v>0</v>
      </c>
      <c r="T787" s="131"/>
      <c r="U787" s="131"/>
      <c r="V787" s="41">
        <f>Table432[[#This Row],[BALANCE]]-Table432[[#This Row],[RECIVED AMOUNT2]]</f>
        <v>0</v>
      </c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</row>
    <row r="788" spans="1:121" s="12" customFormat="1" ht="19.95" customHeight="1">
      <c r="A788" s="128">
        <v>46058</v>
      </c>
      <c r="B788" s="131" t="s">
        <v>1096</v>
      </c>
      <c r="C788" s="131" t="s">
        <v>674</v>
      </c>
      <c r="D788" s="131" t="s">
        <v>675</v>
      </c>
      <c r="E788" s="131" t="s">
        <v>716</v>
      </c>
      <c r="F788" s="136" t="s">
        <v>26</v>
      </c>
      <c r="G788" s="136">
        <v>3808</v>
      </c>
      <c r="H788" s="23">
        <v>0.18</v>
      </c>
      <c r="I788" s="129">
        <v>2000</v>
      </c>
      <c r="J788" s="129">
        <f t="shared" si="59"/>
        <v>180</v>
      </c>
      <c r="K788" s="129">
        <f t="shared" si="60"/>
        <v>180</v>
      </c>
      <c r="L788" s="130"/>
      <c r="M788" s="130">
        <f>Table432[[#This Row],[Taxable Amount]]+Table432[[#This Row],[SGST]]+Table432[[#This Row],[CGST]]</f>
        <v>2360</v>
      </c>
      <c r="N788" s="161">
        <f>Table432[[#This Row],[Taxable Amount]]*1%</f>
        <v>20</v>
      </c>
      <c r="O788" s="132"/>
      <c r="P788" s="135">
        <v>2340</v>
      </c>
      <c r="Q788" s="205">
        <v>46210</v>
      </c>
      <c r="R788" s="132" t="s">
        <v>1162</v>
      </c>
      <c r="S788" s="138">
        <f>Table432[[#This Row],[Invoice Amount]]-Table432[[#This Row],[TDS]]-Table432[[#This Row],[RTN]]-Table432[[#This Row],[RECIVED AMOUNT]]</f>
        <v>0</v>
      </c>
      <c r="T788" s="131"/>
      <c r="U788" s="131"/>
      <c r="V788" s="41">
        <f>Table432[[#This Row],[BALANCE]]-Table432[[#This Row],[RECIVED AMOUNT2]]</f>
        <v>0</v>
      </c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</row>
    <row r="789" spans="1:121" s="12" customFormat="1" ht="19.95" customHeight="1">
      <c r="A789" s="128">
        <v>46058</v>
      </c>
      <c r="B789" s="131" t="s">
        <v>1097</v>
      </c>
      <c r="C789" s="131" t="s">
        <v>674</v>
      </c>
      <c r="D789" s="131" t="s">
        <v>675</v>
      </c>
      <c r="E789" s="131" t="s">
        <v>811</v>
      </c>
      <c r="F789" s="136" t="s">
        <v>26</v>
      </c>
      <c r="G789" s="136">
        <v>3808</v>
      </c>
      <c r="H789" s="23">
        <v>0.18</v>
      </c>
      <c r="I789" s="129">
        <v>11250</v>
      </c>
      <c r="J789" s="129">
        <f t="shared" si="59"/>
        <v>1012.5</v>
      </c>
      <c r="K789" s="129">
        <f t="shared" si="60"/>
        <v>1012.5</v>
      </c>
      <c r="L789" s="130"/>
      <c r="M789" s="130">
        <f>Table432[[#This Row],[Taxable Amount]]+Table432[[#This Row],[SGST]]+Table432[[#This Row],[CGST]]</f>
        <v>13275</v>
      </c>
      <c r="N789" s="161">
        <f>Table432[[#This Row],[Taxable Amount]]*1%</f>
        <v>112.5</v>
      </c>
      <c r="O789" s="132"/>
      <c r="P789" s="135">
        <v>13162.5</v>
      </c>
      <c r="Q789" s="205">
        <v>46210</v>
      </c>
      <c r="R789" s="132" t="s">
        <v>1162</v>
      </c>
      <c r="S789" s="138">
        <f>Table432[[#This Row],[Invoice Amount]]-Table432[[#This Row],[TDS]]-Table432[[#This Row],[RTN]]-Table432[[#This Row],[RECIVED AMOUNT]]</f>
        <v>0</v>
      </c>
      <c r="T789" s="131"/>
      <c r="U789" s="131"/>
      <c r="V789" s="41">
        <f>Table432[[#This Row],[BALANCE]]-Table432[[#This Row],[RECIVED AMOUNT2]]</f>
        <v>0</v>
      </c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</row>
    <row r="790" spans="1:121" s="12" customFormat="1" ht="19.95" customHeight="1">
      <c r="A790" s="128">
        <v>46058</v>
      </c>
      <c r="B790" s="131" t="s">
        <v>1098</v>
      </c>
      <c r="C790" s="131" t="s">
        <v>674</v>
      </c>
      <c r="D790" s="131" t="s">
        <v>675</v>
      </c>
      <c r="E790" s="131" t="s">
        <v>813</v>
      </c>
      <c r="F790" s="136" t="s">
        <v>26</v>
      </c>
      <c r="G790" s="136">
        <v>3808</v>
      </c>
      <c r="H790" s="23">
        <v>0.18</v>
      </c>
      <c r="I790" s="129">
        <v>4200</v>
      </c>
      <c r="J790" s="129">
        <f t="shared" si="59"/>
        <v>378</v>
      </c>
      <c r="K790" s="129">
        <f t="shared" si="60"/>
        <v>378</v>
      </c>
      <c r="L790" s="130"/>
      <c r="M790" s="130">
        <f>Table432[[#This Row],[Taxable Amount]]+Table432[[#This Row],[SGST]]+Table432[[#This Row],[CGST]]</f>
        <v>4956</v>
      </c>
      <c r="N790" s="161">
        <f>Table432[[#This Row],[Taxable Amount]]*1%</f>
        <v>42</v>
      </c>
      <c r="O790" s="132"/>
      <c r="P790" s="135">
        <v>4914</v>
      </c>
      <c r="Q790" s="205">
        <v>46210</v>
      </c>
      <c r="R790" s="132" t="s">
        <v>1162</v>
      </c>
      <c r="S790" s="138">
        <f>Table432[[#This Row],[Invoice Amount]]-Table432[[#This Row],[TDS]]-Table432[[#This Row],[RTN]]-Table432[[#This Row],[RECIVED AMOUNT]]</f>
        <v>0</v>
      </c>
      <c r="T790" s="131"/>
      <c r="U790" s="131"/>
      <c r="V790" s="41">
        <f>Table432[[#This Row],[BALANCE]]-Table432[[#This Row],[RECIVED AMOUNT2]]</f>
        <v>0</v>
      </c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</row>
    <row r="791" spans="1:121" s="12" customFormat="1" ht="19.95" customHeight="1">
      <c r="A791" s="128">
        <v>46058</v>
      </c>
      <c r="B791" s="131" t="s">
        <v>1099</v>
      </c>
      <c r="C791" s="131" t="s">
        <v>674</v>
      </c>
      <c r="D791" s="131" t="s">
        <v>675</v>
      </c>
      <c r="E791" s="131" t="s">
        <v>815</v>
      </c>
      <c r="F791" s="136" t="s">
        <v>26</v>
      </c>
      <c r="G791" s="136">
        <v>3808</v>
      </c>
      <c r="H791" s="23">
        <v>0.18</v>
      </c>
      <c r="I791" s="129">
        <v>700</v>
      </c>
      <c r="J791" s="129">
        <f t="shared" si="59"/>
        <v>63</v>
      </c>
      <c r="K791" s="129">
        <f t="shared" si="60"/>
        <v>63</v>
      </c>
      <c r="L791" s="130"/>
      <c r="M791" s="130">
        <f>Table432[[#This Row],[Taxable Amount]]+Table432[[#This Row],[SGST]]+Table432[[#This Row],[CGST]]</f>
        <v>826</v>
      </c>
      <c r="N791" s="161">
        <f>Table432[[#This Row],[Taxable Amount]]*1%</f>
        <v>7</v>
      </c>
      <c r="O791" s="132"/>
      <c r="P791" s="135">
        <v>819</v>
      </c>
      <c r="Q791" s="205">
        <v>46210</v>
      </c>
      <c r="R791" s="132" t="s">
        <v>1162</v>
      </c>
      <c r="S791" s="138">
        <f>Table432[[#This Row],[Invoice Amount]]-Table432[[#This Row],[TDS]]-Table432[[#This Row],[RTN]]-Table432[[#This Row],[RECIVED AMOUNT]]</f>
        <v>0</v>
      </c>
      <c r="T791" s="131"/>
      <c r="U791" s="131"/>
      <c r="V791" s="41">
        <f>Table432[[#This Row],[BALANCE]]-Table432[[#This Row],[RECIVED AMOUNT2]]</f>
        <v>0</v>
      </c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</row>
    <row r="792" spans="1:121" s="12" customFormat="1" ht="19.95" customHeight="1">
      <c r="A792" s="128">
        <v>46058</v>
      </c>
      <c r="B792" s="131" t="s">
        <v>1100</v>
      </c>
      <c r="C792" s="131" t="s">
        <v>518</v>
      </c>
      <c r="D792" s="131" t="s">
        <v>519</v>
      </c>
      <c r="E792" s="131" t="s">
        <v>520</v>
      </c>
      <c r="F792" s="136" t="s">
        <v>37</v>
      </c>
      <c r="G792" s="136">
        <v>3808</v>
      </c>
      <c r="H792" s="23">
        <v>0.18</v>
      </c>
      <c r="I792" s="129">
        <v>54684</v>
      </c>
      <c r="J792" s="129">
        <f t="shared" si="59"/>
        <v>4921.5600000000004</v>
      </c>
      <c r="K792" s="129">
        <f t="shared" si="60"/>
        <v>4921.5600000000004</v>
      </c>
      <c r="L792" s="130"/>
      <c r="M792" s="130">
        <f>Table432[[#This Row],[Taxable Amount]]+Table432[[#This Row],[SGST]]+Table432[[#This Row],[CGST]]</f>
        <v>64527.119999999995</v>
      </c>
      <c r="N792" s="161">
        <f>Table432[[#This Row],[Taxable Amount]]*1%</f>
        <v>546.84</v>
      </c>
      <c r="O792" s="132"/>
      <c r="P792" s="206">
        <v>63981</v>
      </c>
      <c r="Q792" s="205">
        <v>46210</v>
      </c>
      <c r="R792" s="132" t="s">
        <v>1162</v>
      </c>
      <c r="S792" s="138">
        <f>Table432[[#This Row],[Invoice Amount]]-Table432[[#This Row],[TDS]]-Table432[[#This Row],[RTN]]-Table432[[#This Row],[RECIVED AMOUNT]]</f>
        <v>-0.72000000000116415</v>
      </c>
      <c r="T792" s="131"/>
      <c r="U792" s="131"/>
      <c r="V792" s="41">
        <f>Table432[[#This Row],[BALANCE]]-Table432[[#This Row],[RECIVED AMOUNT2]]</f>
        <v>-0.72000000000116415</v>
      </c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</row>
    <row r="793" spans="1:121" s="12" customFormat="1" ht="19.95" customHeight="1">
      <c r="A793" s="128">
        <v>46058</v>
      </c>
      <c r="B793" s="131" t="s">
        <v>1101</v>
      </c>
      <c r="C793" s="131" t="s">
        <v>1102</v>
      </c>
      <c r="D793" s="131" t="s">
        <v>1103</v>
      </c>
      <c r="E793" s="131" t="s">
        <v>67</v>
      </c>
      <c r="F793" s="136" t="s">
        <v>37</v>
      </c>
      <c r="G793" s="136">
        <v>3808</v>
      </c>
      <c r="H793" s="23">
        <v>0.18</v>
      </c>
      <c r="I793" s="129">
        <v>79000</v>
      </c>
      <c r="J793" s="129">
        <f t="shared" si="59"/>
        <v>7110</v>
      </c>
      <c r="K793" s="129">
        <f t="shared" si="60"/>
        <v>7110</v>
      </c>
      <c r="L793" s="130"/>
      <c r="M793" s="130">
        <f>Table432[[#This Row],[Taxable Amount]]+Table432[[#This Row],[SGST]]+Table432[[#This Row],[CGST]]</f>
        <v>93220</v>
      </c>
      <c r="N793" s="161">
        <f>Table432[[#This Row],[Taxable Amount]]*1%</f>
        <v>790</v>
      </c>
      <c r="O793" s="132"/>
      <c r="P793" s="135">
        <v>77419.399999999994</v>
      </c>
      <c r="Q793" s="205">
        <v>46070</v>
      </c>
      <c r="R793" s="132" t="s">
        <v>1162</v>
      </c>
      <c r="S793" s="138">
        <f>Table432[[#This Row],[Invoice Amount]]-Table432[[#This Row],[TDS]]-Table432[[#This Row],[RTN]]-Table432[[#This Row],[RECIVED AMOUNT]]</f>
        <v>15010.600000000006</v>
      </c>
      <c r="T793" s="131"/>
      <c r="U793" s="131"/>
      <c r="V793" s="41">
        <f>Table432[[#This Row],[BALANCE]]-Table432[[#This Row],[RECIVED AMOUNT2]]</f>
        <v>15010.600000000006</v>
      </c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</row>
    <row r="794" spans="1:121" s="12" customFormat="1" ht="19.95" customHeight="1">
      <c r="A794" s="128">
        <v>46058</v>
      </c>
      <c r="B794" s="131" t="s">
        <v>1104</v>
      </c>
      <c r="C794" s="131" t="s">
        <v>470</v>
      </c>
      <c r="D794" s="131" t="s">
        <v>471</v>
      </c>
      <c r="E794" s="131" t="s">
        <v>1105</v>
      </c>
      <c r="F794" s="136" t="s">
        <v>37</v>
      </c>
      <c r="G794" s="136">
        <v>3808</v>
      </c>
      <c r="H794" s="23">
        <v>0.18</v>
      </c>
      <c r="I794" s="129">
        <v>76980</v>
      </c>
      <c r="J794" s="129">
        <f t="shared" si="59"/>
        <v>6928.2</v>
      </c>
      <c r="K794" s="129">
        <f t="shared" si="60"/>
        <v>6928.2</v>
      </c>
      <c r="L794" s="130"/>
      <c r="M794" s="130">
        <f>Table432[[#This Row],[Taxable Amount]]+Table432[[#This Row],[SGST]]+Table432[[#This Row],[CGST]]</f>
        <v>90836.4</v>
      </c>
      <c r="N794" s="161">
        <f>Table432[[#This Row],[Taxable Amount]]*1%</f>
        <v>769.80000000000007</v>
      </c>
      <c r="O794" s="132"/>
      <c r="P794" s="135">
        <v>85447</v>
      </c>
      <c r="Q794" s="205">
        <v>46088</v>
      </c>
      <c r="R794" s="132" t="s">
        <v>1162</v>
      </c>
      <c r="S794" s="138">
        <f>Table432[[#This Row],[Invoice Amount]]-Table432[[#This Row],[TDS]]-Table432[[#This Row],[RTN]]-Table432[[#This Row],[RECIVED AMOUNT]]</f>
        <v>4619.5999999999913</v>
      </c>
      <c r="T794" s="131"/>
      <c r="U794" s="131"/>
      <c r="V794" s="41">
        <f>Table432[[#This Row],[BALANCE]]-Table432[[#This Row],[RECIVED AMOUNT2]]</f>
        <v>4619.5999999999913</v>
      </c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</row>
    <row r="795" spans="1:121" s="12" customFormat="1" ht="19.95" customHeight="1">
      <c r="A795" s="128">
        <v>46063</v>
      </c>
      <c r="B795" s="131" t="s">
        <v>1106</v>
      </c>
      <c r="C795" s="131" t="s">
        <v>720</v>
      </c>
      <c r="D795" s="131" t="s">
        <v>721</v>
      </c>
      <c r="E795" s="131" t="s">
        <v>482</v>
      </c>
      <c r="F795" s="136" t="s">
        <v>26</v>
      </c>
      <c r="G795" s="136">
        <v>3808</v>
      </c>
      <c r="H795" s="23">
        <v>0.18</v>
      </c>
      <c r="I795" s="129">
        <v>5000</v>
      </c>
      <c r="J795" s="129">
        <f t="shared" si="59"/>
        <v>450</v>
      </c>
      <c r="K795" s="129">
        <f t="shared" si="60"/>
        <v>450</v>
      </c>
      <c r="L795" s="130"/>
      <c r="M795" s="130">
        <f>Table432[[#This Row],[Taxable Amount]]+Table432[[#This Row],[SGST]]+Table432[[#This Row],[CGST]]</f>
        <v>5900</v>
      </c>
      <c r="N795" s="161">
        <f>Table432[[#This Row],[Taxable Amount]]*1%</f>
        <v>50</v>
      </c>
      <c r="O795" s="132"/>
      <c r="P795" s="135">
        <v>11800</v>
      </c>
      <c r="Q795" s="205">
        <v>46091</v>
      </c>
      <c r="R795" s="132" t="s">
        <v>1162</v>
      </c>
      <c r="S795" s="138">
        <f>Table432[[#This Row],[Invoice Amount]]-Table432[[#This Row],[TDS]]-Table432[[#This Row],[RTN]]-Table432[[#This Row],[RECIVED AMOUNT]]</f>
        <v>-5950</v>
      </c>
      <c r="T795" s="131"/>
      <c r="U795" s="131"/>
      <c r="V795" s="41">
        <f>Table432[[#This Row],[BALANCE]]-Table432[[#This Row],[RECIVED AMOUNT2]]</f>
        <v>-5950</v>
      </c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</row>
    <row r="796" spans="1:121" s="12" customFormat="1" ht="19.95" customHeight="1">
      <c r="A796" s="128">
        <v>46065</v>
      </c>
      <c r="B796" s="131" t="s">
        <v>1107</v>
      </c>
      <c r="C796" s="131" t="s">
        <v>396</v>
      </c>
      <c r="D796" s="131" t="s">
        <v>397</v>
      </c>
      <c r="E796" s="131" t="s">
        <v>260</v>
      </c>
      <c r="F796" s="136" t="s">
        <v>26</v>
      </c>
      <c r="G796" s="136">
        <v>3808</v>
      </c>
      <c r="H796" s="23">
        <v>0.18</v>
      </c>
      <c r="I796" s="129">
        <v>1500</v>
      </c>
      <c r="J796" s="129">
        <f t="shared" si="59"/>
        <v>135</v>
      </c>
      <c r="K796" s="129">
        <f t="shared" si="60"/>
        <v>135</v>
      </c>
      <c r="L796" s="130"/>
      <c r="M796" s="130">
        <f>Table432[[#This Row],[Taxable Amount]]+Table432[[#This Row],[SGST]]+Table432[[#This Row],[CGST]]</f>
        <v>1770</v>
      </c>
      <c r="N796" s="161">
        <f>Table432[[#This Row],[Taxable Amount]]*1%</f>
        <v>15</v>
      </c>
      <c r="O796" s="132"/>
      <c r="P796" s="135"/>
      <c r="Q796" s="135"/>
      <c r="R796" s="132" t="s">
        <v>1162</v>
      </c>
      <c r="S796" s="138">
        <f>Table432[[#This Row],[Invoice Amount]]-Table432[[#This Row],[TDS]]-Table432[[#This Row],[RTN]]-Table432[[#This Row],[RECIVED AMOUNT]]</f>
        <v>1755</v>
      </c>
      <c r="T796" s="131"/>
      <c r="U796" s="131"/>
      <c r="V796" s="41">
        <f>Table432[[#This Row],[BALANCE]]-Table432[[#This Row],[RECIVED AMOUNT2]]</f>
        <v>1755</v>
      </c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</row>
    <row r="797" spans="1:121" s="12" customFormat="1" ht="19.95" customHeight="1">
      <c r="A797" s="128">
        <v>46078</v>
      </c>
      <c r="B797" s="131" t="s">
        <v>1108</v>
      </c>
      <c r="C797" s="131" t="s">
        <v>637</v>
      </c>
      <c r="D797" s="131" t="s">
        <v>638</v>
      </c>
      <c r="E797" s="131" t="s">
        <v>629</v>
      </c>
      <c r="F797" s="136" t="s">
        <v>26</v>
      </c>
      <c r="G797" s="136">
        <v>3808</v>
      </c>
      <c r="H797" s="23">
        <v>0.18</v>
      </c>
      <c r="I797" s="129">
        <v>12400</v>
      </c>
      <c r="J797" s="129">
        <f t="shared" si="59"/>
        <v>1116</v>
      </c>
      <c r="K797" s="129">
        <f t="shared" si="60"/>
        <v>1116</v>
      </c>
      <c r="L797" s="130"/>
      <c r="M797" s="130">
        <f>Table432[[#This Row],[Taxable Amount]]+Table432[[#This Row],[SGST]]+Table432[[#This Row],[CGST]]</f>
        <v>14632</v>
      </c>
      <c r="N797" s="161">
        <f>Table432[[#This Row],[Taxable Amount]]*1%</f>
        <v>124</v>
      </c>
      <c r="O797" s="132">
        <v>310</v>
      </c>
      <c r="P797" s="206">
        <v>11966</v>
      </c>
      <c r="Q797" s="205">
        <v>46120</v>
      </c>
      <c r="R797" s="132" t="s">
        <v>1162</v>
      </c>
      <c r="S797" s="138">
        <f>Table432[[#This Row],[Invoice Amount]]-Table432[[#This Row],[TDS]]-Table432[[#This Row],[RTN]]-Table432[[#This Row],[RECIVED AMOUNT]]</f>
        <v>2232</v>
      </c>
      <c r="T797" s="131"/>
      <c r="U797" s="131"/>
      <c r="V797" s="41">
        <f>Table432[[#This Row],[BALANCE]]-Table432[[#This Row],[RECIVED AMOUNT2]]</f>
        <v>2232</v>
      </c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</row>
    <row r="798" spans="1:121" s="248" customFormat="1" ht="19.95" customHeight="1">
      <c r="A798" s="293">
        <v>46078</v>
      </c>
      <c r="B798" s="235" t="s">
        <v>1109</v>
      </c>
      <c r="C798" s="235" t="s">
        <v>42</v>
      </c>
      <c r="D798" s="235" t="s">
        <v>730</v>
      </c>
      <c r="E798" s="235" t="s">
        <v>953</v>
      </c>
      <c r="F798" s="236" t="s">
        <v>26</v>
      </c>
      <c r="G798" s="136">
        <v>3808</v>
      </c>
      <c r="H798" s="237">
        <v>0.18</v>
      </c>
      <c r="I798" s="238">
        <v>9240</v>
      </c>
      <c r="J798" s="238">
        <f t="shared" si="59"/>
        <v>831.6</v>
      </c>
      <c r="K798" s="238">
        <f t="shared" si="60"/>
        <v>831.6</v>
      </c>
      <c r="L798" s="294"/>
      <c r="M798" s="294">
        <f>Table432[[#This Row],[Taxable Amount]]+Table432[[#This Row],[SGST]]+Table432[[#This Row],[CGST]]</f>
        <v>10903.2</v>
      </c>
      <c r="N798" s="240">
        <f>Table432[[#This Row],[Taxable Amount]]*1%</f>
        <v>92.4</v>
      </c>
      <c r="O798" s="244"/>
      <c r="P798" s="242"/>
      <c r="Q798" s="243">
        <v>46100</v>
      </c>
      <c r="R798" s="132" t="s">
        <v>1162</v>
      </c>
      <c r="S798" s="245">
        <f>Table432[[#This Row],[Invoice Amount]]-Table432[[#This Row],[TDS]]-Table432[[#This Row],[RTN]]-Table432[[#This Row],[RECIVED AMOUNT]]</f>
        <v>10810.800000000001</v>
      </c>
      <c r="T798" s="235"/>
      <c r="U798" s="235"/>
      <c r="V798" s="246">
        <f>Table432[[#This Row],[BALANCE]]-Table432[[#This Row],[RECIVED AMOUNT2]]</f>
        <v>10810.800000000001</v>
      </c>
      <c r="W798" s="247"/>
      <c r="X798" s="247"/>
      <c r="Y798" s="247"/>
      <c r="Z798" s="247"/>
      <c r="AA798" s="247"/>
      <c r="AB798" s="247"/>
      <c r="AC798" s="247"/>
      <c r="AD798" s="247"/>
      <c r="AE798" s="247"/>
      <c r="AF798" s="247"/>
      <c r="AG798" s="247"/>
      <c r="AH798" s="247"/>
      <c r="AI798" s="247"/>
      <c r="AJ798" s="247"/>
      <c r="AK798" s="247"/>
      <c r="AL798" s="247"/>
      <c r="AM798" s="247"/>
      <c r="AN798" s="247"/>
      <c r="AO798" s="247"/>
      <c r="AP798" s="247"/>
      <c r="AQ798" s="247"/>
      <c r="AR798" s="247"/>
      <c r="AS798" s="247"/>
      <c r="AT798" s="247"/>
      <c r="AU798" s="247"/>
      <c r="AV798" s="247"/>
      <c r="AW798" s="247"/>
      <c r="AX798" s="247"/>
      <c r="AY798" s="247"/>
      <c r="AZ798" s="247"/>
      <c r="BA798" s="247"/>
      <c r="BB798" s="247"/>
      <c r="BC798" s="247"/>
      <c r="BD798" s="247"/>
      <c r="BE798" s="247"/>
      <c r="BF798" s="247"/>
      <c r="BG798" s="247"/>
      <c r="BH798" s="247"/>
      <c r="BI798" s="247"/>
      <c r="BJ798" s="247"/>
      <c r="BK798" s="247"/>
      <c r="BL798" s="247"/>
      <c r="BM798" s="247"/>
      <c r="BN798" s="247"/>
      <c r="BO798" s="247"/>
      <c r="BP798" s="247"/>
      <c r="BQ798" s="247"/>
      <c r="BR798" s="247"/>
      <c r="BS798" s="247"/>
      <c r="BT798" s="247"/>
      <c r="BU798" s="247"/>
      <c r="BV798" s="247"/>
      <c r="BW798" s="247"/>
      <c r="BX798" s="247"/>
      <c r="BY798" s="247"/>
      <c r="BZ798" s="247"/>
      <c r="CA798" s="247"/>
      <c r="CB798" s="247"/>
      <c r="CC798" s="247"/>
      <c r="CD798" s="247"/>
      <c r="CE798" s="247"/>
      <c r="CF798" s="247"/>
      <c r="CG798" s="247"/>
      <c r="CH798" s="247"/>
      <c r="CI798" s="247"/>
      <c r="CJ798" s="247"/>
      <c r="CK798" s="247"/>
      <c r="CL798" s="247"/>
      <c r="CM798" s="247"/>
      <c r="CN798" s="247"/>
      <c r="CO798" s="247"/>
      <c r="CP798" s="247"/>
      <c r="CQ798" s="247"/>
      <c r="CR798" s="247"/>
      <c r="CS798" s="247"/>
      <c r="CT798" s="247"/>
      <c r="CU798" s="247"/>
      <c r="CV798" s="247"/>
      <c r="CW798" s="247"/>
      <c r="CX798" s="247"/>
      <c r="CY798" s="247"/>
      <c r="CZ798" s="247"/>
      <c r="DA798" s="247"/>
      <c r="DB798" s="247"/>
      <c r="DC798" s="247"/>
      <c r="DD798" s="247"/>
      <c r="DE798" s="247"/>
      <c r="DF798" s="247"/>
      <c r="DG798" s="247"/>
      <c r="DH798" s="247"/>
      <c r="DI798" s="247"/>
      <c r="DJ798" s="247"/>
      <c r="DK798" s="247"/>
      <c r="DL798" s="247"/>
      <c r="DM798" s="247"/>
      <c r="DN798" s="247"/>
      <c r="DO798" s="247"/>
      <c r="DP798" s="247"/>
      <c r="DQ798" s="247"/>
    </row>
    <row r="799" spans="1:121" s="248" customFormat="1">
      <c r="A799" s="293">
        <v>46078</v>
      </c>
      <c r="B799" s="235" t="s">
        <v>1110</v>
      </c>
      <c r="C799" s="235" t="s">
        <v>42</v>
      </c>
      <c r="D799" s="235" t="s">
        <v>730</v>
      </c>
      <c r="E799" s="235" t="s">
        <v>101</v>
      </c>
      <c r="F799" s="236" t="s">
        <v>26</v>
      </c>
      <c r="G799" s="136">
        <v>3808</v>
      </c>
      <c r="H799" s="237">
        <v>0.18</v>
      </c>
      <c r="I799" s="238">
        <v>6750</v>
      </c>
      <c r="J799" s="238">
        <f t="shared" si="59"/>
        <v>607.5</v>
      </c>
      <c r="K799" s="238">
        <f t="shared" si="60"/>
        <v>607.5</v>
      </c>
      <c r="L799" s="294"/>
      <c r="M799" s="294">
        <f>Table432[[#This Row],[Taxable Amount]]+Table432[[#This Row],[SGST]]+Table432[[#This Row],[CGST]]</f>
        <v>7965</v>
      </c>
      <c r="N799" s="240">
        <f>Table432[[#This Row],[Taxable Amount]]*1%</f>
        <v>67.5</v>
      </c>
      <c r="O799" s="244"/>
      <c r="P799" s="242">
        <v>32865</v>
      </c>
      <c r="Q799" s="243">
        <v>46100</v>
      </c>
      <c r="R799" s="132" t="s">
        <v>1162</v>
      </c>
      <c r="S799" s="245">
        <f>Table432[[#This Row],[Invoice Amount]]-Table432[[#This Row],[TDS]]-Table432[[#This Row],[RTN]]-Table432[[#This Row],[RECIVED AMOUNT]]</f>
        <v>-24967.5</v>
      </c>
      <c r="T799" s="235"/>
      <c r="U799" s="235"/>
      <c r="V799" s="246">
        <f>Table432[[#This Row],[BALANCE]]-Table432[[#This Row],[RECIVED AMOUNT2]]</f>
        <v>-24967.5</v>
      </c>
      <c r="W799" s="247"/>
      <c r="X799" s="247"/>
      <c r="Y799" s="247"/>
      <c r="Z799" s="247"/>
      <c r="AA799" s="247"/>
      <c r="AB799" s="247"/>
      <c r="AC799" s="247"/>
      <c r="AD799" s="247"/>
      <c r="AE799" s="247"/>
      <c r="AF799" s="247"/>
      <c r="AG799" s="247"/>
      <c r="AH799" s="247"/>
      <c r="AI799" s="247"/>
      <c r="AJ799" s="247"/>
      <c r="AK799" s="247"/>
      <c r="AL799" s="247"/>
      <c r="AM799" s="247"/>
      <c r="AN799" s="247"/>
      <c r="AO799" s="247"/>
      <c r="AP799" s="247"/>
      <c r="AQ799" s="247"/>
      <c r="AR799" s="247"/>
      <c r="AS799" s="247"/>
      <c r="AT799" s="247"/>
      <c r="AU799" s="247"/>
      <c r="AV799" s="247"/>
      <c r="AW799" s="247"/>
      <c r="AX799" s="247"/>
      <c r="AY799" s="247"/>
      <c r="AZ799" s="247"/>
      <c r="BA799" s="247"/>
      <c r="BB799" s="247"/>
      <c r="BC799" s="247"/>
      <c r="BD799" s="247"/>
      <c r="BE799" s="247"/>
      <c r="BF799" s="247"/>
      <c r="BG799" s="247"/>
      <c r="BH799" s="247"/>
      <c r="BI799" s="247"/>
      <c r="BJ799" s="247"/>
      <c r="BK799" s="247"/>
      <c r="BL799" s="247"/>
      <c r="BM799" s="247"/>
      <c r="BN799" s="247"/>
      <c r="BO799" s="247"/>
      <c r="BP799" s="247"/>
      <c r="BQ799" s="247"/>
      <c r="BR799" s="247"/>
      <c r="BS799" s="247"/>
      <c r="BT799" s="247"/>
      <c r="BU799" s="247"/>
      <c r="BV799" s="247"/>
      <c r="BW799" s="247"/>
      <c r="BX799" s="247"/>
      <c r="BY799" s="247"/>
      <c r="BZ799" s="247"/>
      <c r="CA799" s="247"/>
      <c r="CB799" s="247"/>
      <c r="CC799" s="247"/>
      <c r="CD799" s="247"/>
      <c r="CE799" s="247"/>
      <c r="CF799" s="247"/>
      <c r="CG799" s="247"/>
      <c r="CH799" s="247"/>
      <c r="CI799" s="247"/>
      <c r="CJ799" s="247"/>
      <c r="CK799" s="247"/>
      <c r="CL799" s="247"/>
      <c r="CM799" s="247"/>
      <c r="CN799" s="247"/>
      <c r="CO799" s="247"/>
      <c r="CP799" s="247"/>
      <c r="CQ799" s="247"/>
      <c r="CR799" s="247"/>
      <c r="CS799" s="247"/>
      <c r="CT799" s="247"/>
      <c r="CU799" s="247"/>
      <c r="CV799" s="247"/>
      <c r="CW799" s="247"/>
      <c r="CX799" s="247"/>
      <c r="CY799" s="247"/>
      <c r="CZ799" s="247"/>
      <c r="DA799" s="247"/>
      <c r="DB799" s="247"/>
      <c r="DC799" s="247"/>
      <c r="DD799" s="247"/>
      <c r="DE799" s="247"/>
      <c r="DF799" s="247"/>
      <c r="DG799" s="247"/>
      <c r="DH799" s="247"/>
      <c r="DI799" s="247"/>
      <c r="DJ799" s="247"/>
      <c r="DK799" s="247"/>
      <c r="DL799" s="247"/>
      <c r="DM799" s="247"/>
      <c r="DN799" s="247"/>
      <c r="DO799" s="247"/>
      <c r="DP799" s="247"/>
      <c r="DQ799" s="247"/>
    </row>
    <row r="800" spans="1:121" s="248" customFormat="1" ht="19.95" customHeight="1">
      <c r="A800" s="293">
        <v>46078</v>
      </c>
      <c r="B800" s="235" t="s">
        <v>1111</v>
      </c>
      <c r="C800" s="235" t="s">
        <v>42</v>
      </c>
      <c r="D800" s="235" t="s">
        <v>730</v>
      </c>
      <c r="E800" s="235" t="s">
        <v>44</v>
      </c>
      <c r="F800" s="236" t="s">
        <v>26</v>
      </c>
      <c r="G800" s="236">
        <v>3808</v>
      </c>
      <c r="H800" s="237">
        <v>0.18</v>
      </c>
      <c r="I800" s="238">
        <v>14300</v>
      </c>
      <c r="J800" s="238">
        <f t="shared" si="59"/>
        <v>1287</v>
      </c>
      <c r="K800" s="238">
        <f t="shared" si="60"/>
        <v>1287</v>
      </c>
      <c r="L800" s="294"/>
      <c r="M800" s="294">
        <f>Table432[[#This Row],[Taxable Amount]]+Table432[[#This Row],[SGST]]+Table432[[#This Row],[CGST]]</f>
        <v>16874</v>
      </c>
      <c r="N800" s="240">
        <f>Table432[[#This Row],[Taxable Amount]]*1%</f>
        <v>143</v>
      </c>
      <c r="O800" s="244"/>
      <c r="P800" s="242">
        <v>16373</v>
      </c>
      <c r="Q800" s="243">
        <v>46101</v>
      </c>
      <c r="R800" s="244" t="s">
        <v>1162</v>
      </c>
      <c r="S800" s="245">
        <f>Table432[[#This Row],[Invoice Amount]]-Table432[[#This Row],[TDS]]-Table432[[#This Row],[RTN]]-Table432[[#This Row],[RECIVED AMOUNT]]</f>
        <v>358</v>
      </c>
      <c r="T800" s="235"/>
      <c r="U800" s="235"/>
      <c r="V800" s="246">
        <f>Table432[[#This Row],[BALANCE]]-Table432[[#This Row],[RECIVED AMOUNT2]]</f>
        <v>358</v>
      </c>
      <c r="W800" s="247"/>
      <c r="X800" s="247"/>
      <c r="Y800" s="247"/>
      <c r="Z800" s="247"/>
      <c r="AA800" s="247"/>
      <c r="AB800" s="247"/>
      <c r="AC800" s="247"/>
      <c r="AD800" s="247"/>
      <c r="AE800" s="247"/>
      <c r="AF800" s="247"/>
      <c r="AG800" s="247"/>
      <c r="AH800" s="247"/>
      <c r="AI800" s="247"/>
      <c r="AJ800" s="247"/>
      <c r="AK800" s="247"/>
      <c r="AL800" s="247"/>
      <c r="AM800" s="247"/>
      <c r="AN800" s="247"/>
      <c r="AO800" s="247"/>
      <c r="AP800" s="247"/>
      <c r="AQ800" s="247"/>
      <c r="AR800" s="247"/>
      <c r="AS800" s="247"/>
      <c r="AT800" s="247"/>
      <c r="AU800" s="247"/>
      <c r="AV800" s="247"/>
      <c r="AW800" s="247"/>
      <c r="AX800" s="247"/>
      <c r="AY800" s="247"/>
      <c r="AZ800" s="247"/>
      <c r="BA800" s="247"/>
      <c r="BB800" s="247"/>
      <c r="BC800" s="247"/>
      <c r="BD800" s="247"/>
      <c r="BE800" s="247"/>
      <c r="BF800" s="247"/>
      <c r="BG800" s="247"/>
      <c r="BH800" s="247"/>
      <c r="BI800" s="247"/>
      <c r="BJ800" s="247"/>
      <c r="BK800" s="247"/>
      <c r="BL800" s="247"/>
      <c r="BM800" s="247"/>
      <c r="BN800" s="247"/>
      <c r="BO800" s="247"/>
      <c r="BP800" s="247"/>
      <c r="BQ800" s="247"/>
      <c r="BR800" s="247"/>
      <c r="BS800" s="247"/>
      <c r="BT800" s="247"/>
      <c r="BU800" s="247"/>
      <c r="BV800" s="247"/>
      <c r="BW800" s="247"/>
      <c r="BX800" s="247"/>
      <c r="BY800" s="247"/>
      <c r="BZ800" s="247"/>
      <c r="CA800" s="247"/>
      <c r="CB800" s="247"/>
      <c r="CC800" s="247"/>
      <c r="CD800" s="247"/>
      <c r="CE800" s="247"/>
      <c r="CF800" s="247"/>
      <c r="CG800" s="247"/>
      <c r="CH800" s="247"/>
      <c r="CI800" s="247"/>
      <c r="CJ800" s="247"/>
      <c r="CK800" s="247"/>
      <c r="CL800" s="247"/>
      <c r="CM800" s="247"/>
      <c r="CN800" s="247"/>
      <c r="CO800" s="247"/>
      <c r="CP800" s="247"/>
      <c r="CQ800" s="247"/>
      <c r="CR800" s="247"/>
      <c r="CS800" s="247"/>
      <c r="CT800" s="247"/>
      <c r="CU800" s="247"/>
      <c r="CV800" s="247"/>
      <c r="CW800" s="247"/>
      <c r="CX800" s="247"/>
      <c r="CY800" s="247"/>
      <c r="CZ800" s="247"/>
      <c r="DA800" s="247"/>
      <c r="DB800" s="247"/>
      <c r="DC800" s="247"/>
      <c r="DD800" s="247"/>
      <c r="DE800" s="247"/>
      <c r="DF800" s="247"/>
      <c r="DG800" s="247"/>
      <c r="DH800" s="247"/>
      <c r="DI800" s="247"/>
      <c r="DJ800" s="247"/>
      <c r="DK800" s="247"/>
      <c r="DL800" s="247"/>
      <c r="DM800" s="247"/>
      <c r="DN800" s="247"/>
      <c r="DO800" s="247"/>
      <c r="DP800" s="247"/>
      <c r="DQ800" s="247"/>
    </row>
    <row r="801" spans="1:121" s="326" customFormat="1" ht="19.95" customHeight="1">
      <c r="A801" s="314">
        <v>46078</v>
      </c>
      <c r="B801" s="315" t="s">
        <v>1112</v>
      </c>
      <c r="C801" s="315" t="s">
        <v>42</v>
      </c>
      <c r="D801" s="315" t="s">
        <v>730</v>
      </c>
      <c r="E801" s="315" t="s">
        <v>163</v>
      </c>
      <c r="F801" s="316" t="s">
        <v>26</v>
      </c>
      <c r="G801" s="316">
        <v>3808</v>
      </c>
      <c r="H801" s="317">
        <v>0.18</v>
      </c>
      <c r="I801" s="318">
        <v>25200</v>
      </c>
      <c r="J801" s="318">
        <f t="shared" si="59"/>
        <v>2268</v>
      </c>
      <c r="K801" s="318">
        <f t="shared" si="60"/>
        <v>2268</v>
      </c>
      <c r="L801" s="319"/>
      <c r="M801" s="319">
        <f>Table432[[#This Row],[Taxable Amount]]+Table432[[#This Row],[SGST]]+Table432[[#This Row],[CGST]]</f>
        <v>29736</v>
      </c>
      <c r="N801" s="320">
        <f>Table432[[#This Row],[Taxable Amount]]*1%</f>
        <v>252</v>
      </c>
      <c r="O801" s="321"/>
      <c r="P801" s="322"/>
      <c r="Q801" s="322"/>
      <c r="R801" s="321" t="s">
        <v>1162</v>
      </c>
      <c r="S801" s="323">
        <f>Table432[[#This Row],[Invoice Amount]]-Table432[[#This Row],[TDS]]-Table432[[#This Row],[RTN]]-Table432[[#This Row],[RECIVED AMOUNT]]</f>
        <v>29484</v>
      </c>
      <c r="T801" s="315"/>
      <c r="U801" s="315"/>
      <c r="V801" s="324">
        <f>Table432[[#This Row],[BALANCE]]-Table432[[#This Row],[RECIVED AMOUNT2]]</f>
        <v>29484</v>
      </c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  <c r="AH801" s="325"/>
      <c r="AI801" s="325"/>
      <c r="AJ801" s="325"/>
      <c r="AK801" s="325"/>
      <c r="AL801" s="325"/>
      <c r="AM801" s="325"/>
      <c r="AN801" s="325"/>
      <c r="AO801" s="325"/>
      <c r="AP801" s="325"/>
      <c r="AQ801" s="325"/>
      <c r="AR801" s="325"/>
      <c r="AS801" s="325"/>
      <c r="AT801" s="325"/>
      <c r="AU801" s="325"/>
      <c r="AV801" s="325"/>
      <c r="AW801" s="325"/>
      <c r="AX801" s="325"/>
      <c r="AY801" s="325"/>
      <c r="AZ801" s="325"/>
      <c r="BA801" s="325"/>
      <c r="BB801" s="325"/>
      <c r="BC801" s="325"/>
      <c r="BD801" s="325"/>
      <c r="BE801" s="325"/>
      <c r="BF801" s="325"/>
      <c r="BG801" s="325"/>
      <c r="BH801" s="325"/>
      <c r="BI801" s="325"/>
      <c r="BJ801" s="325"/>
      <c r="BK801" s="325"/>
      <c r="BL801" s="325"/>
      <c r="BM801" s="325"/>
      <c r="BN801" s="325"/>
      <c r="BO801" s="325"/>
      <c r="BP801" s="325"/>
      <c r="BQ801" s="325"/>
      <c r="BR801" s="325"/>
      <c r="BS801" s="325"/>
      <c r="BT801" s="325"/>
      <c r="BU801" s="325"/>
      <c r="BV801" s="325"/>
      <c r="BW801" s="325"/>
      <c r="BX801" s="325"/>
      <c r="BY801" s="325"/>
      <c r="BZ801" s="325"/>
      <c r="CA801" s="325"/>
      <c r="CB801" s="325"/>
      <c r="CC801" s="325"/>
      <c r="CD801" s="325"/>
      <c r="CE801" s="325"/>
      <c r="CF801" s="325"/>
      <c r="CG801" s="325"/>
      <c r="CH801" s="325"/>
      <c r="CI801" s="325"/>
      <c r="CJ801" s="325"/>
      <c r="CK801" s="325"/>
      <c r="CL801" s="325"/>
      <c r="CM801" s="325"/>
      <c r="CN801" s="325"/>
      <c r="CO801" s="325"/>
      <c r="CP801" s="325"/>
      <c r="CQ801" s="325"/>
      <c r="CR801" s="325"/>
      <c r="CS801" s="325"/>
      <c r="CT801" s="325"/>
      <c r="CU801" s="325"/>
      <c r="CV801" s="325"/>
      <c r="CW801" s="325"/>
      <c r="CX801" s="325"/>
      <c r="CY801" s="325"/>
      <c r="CZ801" s="325"/>
      <c r="DA801" s="325"/>
      <c r="DB801" s="325"/>
      <c r="DC801" s="325"/>
      <c r="DD801" s="325"/>
      <c r="DE801" s="325"/>
      <c r="DF801" s="325"/>
      <c r="DG801" s="325"/>
      <c r="DH801" s="325"/>
      <c r="DI801" s="325"/>
      <c r="DJ801" s="325"/>
      <c r="DK801" s="325"/>
      <c r="DL801" s="325"/>
      <c r="DM801" s="325"/>
      <c r="DN801" s="325"/>
      <c r="DO801" s="325"/>
      <c r="DP801" s="325"/>
      <c r="DQ801" s="325"/>
    </row>
    <row r="802" spans="1:121" s="12" customFormat="1" ht="19.95" customHeight="1">
      <c r="A802" s="128">
        <v>46078</v>
      </c>
      <c r="B802" s="131" t="s">
        <v>1113</v>
      </c>
      <c r="C802" s="131" t="s">
        <v>319</v>
      </c>
      <c r="D802" s="131" t="s">
        <v>320</v>
      </c>
      <c r="E802" s="131" t="s">
        <v>59</v>
      </c>
      <c r="F802" s="136" t="s">
        <v>26</v>
      </c>
      <c r="G802" s="136">
        <v>3808</v>
      </c>
      <c r="H802" s="23">
        <v>0.18</v>
      </c>
      <c r="I802" s="129">
        <v>34500</v>
      </c>
      <c r="J802" s="129">
        <f t="shared" si="59"/>
        <v>3105</v>
      </c>
      <c r="K802" s="129">
        <f t="shared" si="60"/>
        <v>3105</v>
      </c>
      <c r="L802" s="130"/>
      <c r="M802" s="130">
        <f>Table432[[#This Row],[Taxable Amount]]+Table432[[#This Row],[SGST]]+Table432[[#This Row],[CGST]]</f>
        <v>40710</v>
      </c>
      <c r="N802" s="161">
        <f>Table432[[#This Row],[Taxable Amount]]*1%</f>
        <v>345</v>
      </c>
      <c r="O802" s="132"/>
      <c r="P802" s="135"/>
      <c r="Q802" s="135"/>
      <c r="R802" s="132" t="s">
        <v>1162</v>
      </c>
      <c r="S802" s="93">
        <f>Table432[[#This Row],[Invoice Amount]]-Table432[[#This Row],[TDS]]-Table432[[#This Row],[RTN]]-Table432[[#This Row],[RECIVED AMOUNT]]</f>
        <v>40365</v>
      </c>
      <c r="T802" s="131"/>
      <c r="U802" s="131"/>
      <c r="V802" s="41">
        <f>Table432[[#This Row],[BALANCE]]-Table432[[#This Row],[RECIVED AMOUNT2]]</f>
        <v>40365</v>
      </c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</row>
    <row r="803" spans="1:121" s="12" customFormat="1" ht="19.95" customHeight="1">
      <c r="A803" s="128">
        <v>46081</v>
      </c>
      <c r="B803" s="131" t="s">
        <v>1114</v>
      </c>
      <c r="C803" s="131" t="s">
        <v>319</v>
      </c>
      <c r="D803" s="131" t="s">
        <v>320</v>
      </c>
      <c r="E803" s="131" t="s">
        <v>85</v>
      </c>
      <c r="F803" s="136" t="s">
        <v>26</v>
      </c>
      <c r="G803" s="136">
        <v>3808</v>
      </c>
      <c r="H803" s="23">
        <v>0.18</v>
      </c>
      <c r="I803" s="129">
        <v>17900</v>
      </c>
      <c r="J803" s="129">
        <f t="shared" si="59"/>
        <v>1611</v>
      </c>
      <c r="K803" s="129">
        <f t="shared" si="60"/>
        <v>1611</v>
      </c>
      <c r="L803" s="130"/>
      <c r="M803" s="130">
        <f>Table432[[#This Row],[Taxable Amount]]+Table432[[#This Row],[SGST]]+Table432[[#This Row],[CGST]]</f>
        <v>21122</v>
      </c>
      <c r="N803" s="161">
        <f>Table432[[#This Row],[Taxable Amount]]*1%</f>
        <v>179</v>
      </c>
      <c r="O803" s="132"/>
      <c r="P803" s="135"/>
      <c r="Q803" s="135"/>
      <c r="R803" s="132" t="s">
        <v>1162</v>
      </c>
      <c r="S803" s="138">
        <f>Table432[[#This Row],[Invoice Amount]]-Table432[[#This Row],[TDS]]-Table432[[#This Row],[RTN]]-Table432[[#This Row],[RECIVED AMOUNT]]</f>
        <v>20943</v>
      </c>
      <c r="T803" s="131"/>
      <c r="U803" s="131"/>
      <c r="V803" s="41">
        <f>Table432[[#This Row],[BALANCE]]-Table432[[#This Row],[RECIVED AMOUNT2]]</f>
        <v>20943</v>
      </c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</row>
    <row r="804" spans="1:121" s="12" customFormat="1" ht="19.95" customHeight="1">
      <c r="A804" s="128">
        <v>46081</v>
      </c>
      <c r="B804" s="131" t="s">
        <v>1115</v>
      </c>
      <c r="C804" s="131" t="s">
        <v>319</v>
      </c>
      <c r="D804" s="131" t="s">
        <v>320</v>
      </c>
      <c r="E804" s="131" t="s">
        <v>89</v>
      </c>
      <c r="F804" s="136" t="s">
        <v>26</v>
      </c>
      <c r="G804" s="136">
        <v>3808</v>
      </c>
      <c r="H804" s="23">
        <v>0.18</v>
      </c>
      <c r="I804" s="129">
        <v>18625</v>
      </c>
      <c r="J804" s="129">
        <f t="shared" si="59"/>
        <v>1676.25</v>
      </c>
      <c r="K804" s="129">
        <f t="shared" si="60"/>
        <v>1676.25</v>
      </c>
      <c r="L804" s="130"/>
      <c r="M804" s="130">
        <f>Table432[[#This Row],[Taxable Amount]]+Table432[[#This Row],[SGST]]+Table432[[#This Row],[CGST]]</f>
        <v>21977.5</v>
      </c>
      <c r="N804" s="161">
        <f>Table432[[#This Row],[Taxable Amount]]*1%</f>
        <v>186.25</v>
      </c>
      <c r="O804" s="132"/>
      <c r="P804" s="135"/>
      <c r="Q804" s="135"/>
      <c r="R804" s="132" t="s">
        <v>1162</v>
      </c>
      <c r="S804" s="138">
        <f>Table432[[#This Row],[Invoice Amount]]-Table432[[#This Row],[TDS]]-Table432[[#This Row],[RTN]]-Table432[[#This Row],[RECIVED AMOUNT]]</f>
        <v>21791.25</v>
      </c>
      <c r="T804" s="131"/>
      <c r="U804" s="131"/>
      <c r="V804" s="41">
        <f>Table432[[#This Row],[BALANCE]]-Table432[[#This Row],[RECIVED AMOUNT2]]</f>
        <v>21791.25</v>
      </c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</row>
    <row r="805" spans="1:121" s="12" customFormat="1" ht="19.95" customHeight="1">
      <c r="A805" s="128">
        <v>46081</v>
      </c>
      <c r="B805" s="131" t="s">
        <v>1116</v>
      </c>
      <c r="C805" s="131" t="s">
        <v>116</v>
      </c>
      <c r="D805" s="131" t="s">
        <v>117</v>
      </c>
      <c r="E805" s="131" t="s">
        <v>59</v>
      </c>
      <c r="F805" s="136" t="s">
        <v>26</v>
      </c>
      <c r="G805" s="136">
        <v>3808</v>
      </c>
      <c r="H805" s="23">
        <v>0.18</v>
      </c>
      <c r="I805" s="129">
        <v>17300</v>
      </c>
      <c r="J805" s="129">
        <f t="shared" si="59"/>
        <v>1557</v>
      </c>
      <c r="K805" s="129">
        <f t="shared" si="60"/>
        <v>1557</v>
      </c>
      <c r="L805" s="130"/>
      <c r="M805" s="130">
        <f>Table432[[#This Row],[Taxable Amount]]+Table432[[#This Row],[SGST]]+Table432[[#This Row],[CGST]]</f>
        <v>20414</v>
      </c>
      <c r="N805" s="161">
        <f>Table432[[#This Row],[Taxable Amount]]*1%</f>
        <v>173</v>
      </c>
      <c r="O805" s="132"/>
      <c r="P805" s="135">
        <v>20241</v>
      </c>
      <c r="Q805" s="205">
        <v>46107</v>
      </c>
      <c r="R805" s="132" t="s">
        <v>1162</v>
      </c>
      <c r="S805" s="138">
        <f>Table432[[#This Row],[Invoice Amount]]-Table432[[#This Row],[TDS]]-Table432[[#This Row],[RTN]]-Table432[[#This Row],[RECIVED AMOUNT]]</f>
        <v>0</v>
      </c>
      <c r="T805" s="131"/>
      <c r="U805" s="131"/>
      <c r="V805" s="41">
        <f>Table432[[#This Row],[BALANCE]]-Table432[[#This Row],[RECIVED AMOUNT2]]</f>
        <v>0</v>
      </c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</row>
    <row r="806" spans="1:121" s="12" customFormat="1" ht="19.95" customHeight="1">
      <c r="A806" s="128">
        <v>46081</v>
      </c>
      <c r="B806" s="131" t="s">
        <v>1117</v>
      </c>
      <c r="C806" s="131" t="s">
        <v>390</v>
      </c>
      <c r="D806" s="131" t="s">
        <v>391</v>
      </c>
      <c r="E806" s="131" t="s">
        <v>260</v>
      </c>
      <c r="F806" s="136" t="s">
        <v>26</v>
      </c>
      <c r="G806" s="136">
        <v>3808</v>
      </c>
      <c r="H806" s="23">
        <v>0.18</v>
      </c>
      <c r="I806" s="129">
        <v>1205.1600000000001</v>
      </c>
      <c r="J806" s="129">
        <f t="shared" si="59"/>
        <v>108.46440000000001</v>
      </c>
      <c r="K806" s="129">
        <f t="shared" si="60"/>
        <v>108.46440000000001</v>
      </c>
      <c r="L806" s="130"/>
      <c r="M806" s="130">
        <f>Table432[[#This Row],[Taxable Amount]]+Table432[[#This Row],[SGST]]+Table432[[#This Row],[CGST]]</f>
        <v>1422.0888000000002</v>
      </c>
      <c r="N806" s="161">
        <f>Table432[[#This Row],[Taxable Amount]]*1%</f>
        <v>12.051600000000001</v>
      </c>
      <c r="O806" s="132"/>
      <c r="P806" s="135"/>
      <c r="Q806" s="135"/>
      <c r="R806" s="132" t="s">
        <v>1162</v>
      </c>
      <c r="S806" s="138">
        <f>Table432[[#This Row],[Invoice Amount]]-Table432[[#This Row],[TDS]]-Table432[[#This Row],[RTN]]-Table432[[#This Row],[RECIVED AMOUNT]]</f>
        <v>1410.0372000000002</v>
      </c>
      <c r="T806" s="131"/>
      <c r="U806" s="131"/>
      <c r="V806" s="41">
        <f>Table432[[#This Row],[BALANCE]]-Table432[[#This Row],[RECIVED AMOUNT2]]</f>
        <v>1410.0372000000002</v>
      </c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</row>
    <row r="807" spans="1:121" s="12" customFormat="1" ht="19.95" customHeight="1">
      <c r="A807" s="128">
        <v>46081</v>
      </c>
      <c r="B807" s="131" t="s">
        <v>1118</v>
      </c>
      <c r="C807" s="131" t="s">
        <v>390</v>
      </c>
      <c r="D807" s="131" t="s">
        <v>391</v>
      </c>
      <c r="E807" s="131" t="s">
        <v>260</v>
      </c>
      <c r="F807" s="136" t="s">
        <v>26</v>
      </c>
      <c r="G807" s="136">
        <v>3808</v>
      </c>
      <c r="H807" s="23">
        <v>0.18</v>
      </c>
      <c r="I807" s="129">
        <v>1448.35</v>
      </c>
      <c r="J807" s="129">
        <f t="shared" si="59"/>
        <v>130.35149999999999</v>
      </c>
      <c r="K807" s="129">
        <f t="shared" si="60"/>
        <v>130.35149999999999</v>
      </c>
      <c r="L807" s="130"/>
      <c r="M807" s="130">
        <f>Table432[[#This Row],[Taxable Amount]]+Table432[[#This Row],[SGST]]+Table432[[#This Row],[CGST]]</f>
        <v>1709.0529999999999</v>
      </c>
      <c r="N807" s="161">
        <f>Table432[[#This Row],[Taxable Amount]]*1%</f>
        <v>14.483499999999999</v>
      </c>
      <c r="O807" s="132"/>
      <c r="P807" s="135"/>
      <c r="Q807" s="135"/>
      <c r="R807" s="132" t="s">
        <v>1162</v>
      </c>
      <c r="S807" s="138">
        <f>Table432[[#This Row],[Invoice Amount]]-Table432[[#This Row],[TDS]]-Table432[[#This Row],[RTN]]-Table432[[#This Row],[RECIVED AMOUNT]]</f>
        <v>1694.5694999999998</v>
      </c>
      <c r="T807" s="131"/>
      <c r="U807" s="131"/>
      <c r="V807" s="41">
        <f>Table432[[#This Row],[BALANCE]]-Table432[[#This Row],[RECIVED AMOUNT2]]</f>
        <v>1694.5694999999998</v>
      </c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</row>
    <row r="808" spans="1:121" s="12" customFormat="1" ht="19.95" customHeight="1">
      <c r="A808" s="128">
        <v>46081</v>
      </c>
      <c r="B808" s="131" t="s">
        <v>1119</v>
      </c>
      <c r="C808" s="131" t="s">
        <v>390</v>
      </c>
      <c r="D808" s="131" t="s">
        <v>391</v>
      </c>
      <c r="E808" s="131" t="s">
        <v>260</v>
      </c>
      <c r="F808" s="136" t="s">
        <v>26</v>
      </c>
      <c r="G808" s="136">
        <v>3808</v>
      </c>
      <c r="H808" s="23">
        <v>0.18</v>
      </c>
      <c r="I808" s="129">
        <v>2008.6</v>
      </c>
      <c r="J808" s="129">
        <f t="shared" si="59"/>
        <v>180.77399999999997</v>
      </c>
      <c r="K808" s="129">
        <f t="shared" si="60"/>
        <v>180.77399999999997</v>
      </c>
      <c r="L808" s="130"/>
      <c r="M808" s="130">
        <f>Table432[[#This Row],[Taxable Amount]]+Table432[[#This Row],[SGST]]+Table432[[#This Row],[CGST]]</f>
        <v>2370.1479999999997</v>
      </c>
      <c r="N808" s="161">
        <f>Table432[[#This Row],[Taxable Amount]]*1%</f>
        <v>20.085999999999999</v>
      </c>
      <c r="O808" s="132"/>
      <c r="P808" s="135"/>
      <c r="Q808" s="135"/>
      <c r="R808" s="132" t="s">
        <v>1162</v>
      </c>
      <c r="S808" s="138">
        <f>Table432[[#This Row],[Invoice Amount]]-Table432[[#This Row],[TDS]]-Table432[[#This Row],[RTN]]-Table432[[#This Row],[RECIVED AMOUNT]]</f>
        <v>2350.0619999999999</v>
      </c>
      <c r="T808" s="131"/>
      <c r="U808" s="131"/>
      <c r="V808" s="41">
        <f>Table432[[#This Row],[BALANCE]]-Table432[[#This Row],[RECIVED AMOUNT2]]</f>
        <v>2350.0619999999999</v>
      </c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</row>
    <row r="809" spans="1:121" s="12" customFormat="1" ht="19.95" customHeight="1">
      <c r="A809" s="128">
        <v>46081</v>
      </c>
      <c r="B809" s="131" t="s">
        <v>1120</v>
      </c>
      <c r="C809" s="131" t="s">
        <v>390</v>
      </c>
      <c r="D809" s="131" t="s">
        <v>391</v>
      </c>
      <c r="E809" s="131" t="s">
        <v>260</v>
      </c>
      <c r="F809" s="136" t="s">
        <v>26</v>
      </c>
      <c r="G809" s="136">
        <v>3808</v>
      </c>
      <c r="H809" s="23">
        <v>0.18</v>
      </c>
      <c r="I809" s="129">
        <v>1035.8399999999999</v>
      </c>
      <c r="J809" s="129">
        <f t="shared" si="59"/>
        <v>93.2256</v>
      </c>
      <c r="K809" s="129">
        <f t="shared" si="60"/>
        <v>93.2256</v>
      </c>
      <c r="L809" s="130"/>
      <c r="M809" s="130">
        <f>Table432[[#This Row],[Taxable Amount]]+Table432[[#This Row],[SGST]]+Table432[[#This Row],[CGST]]</f>
        <v>1222.2911999999999</v>
      </c>
      <c r="N809" s="161">
        <f>Table432[[#This Row],[Taxable Amount]]*1%</f>
        <v>10.3584</v>
      </c>
      <c r="O809" s="132"/>
      <c r="P809" s="135"/>
      <c r="Q809" s="135"/>
      <c r="R809" s="132" t="s">
        <v>1162</v>
      </c>
      <c r="S809" s="138">
        <f>Table432[[#This Row],[Invoice Amount]]-Table432[[#This Row],[TDS]]-Table432[[#This Row],[RTN]]-Table432[[#This Row],[RECIVED AMOUNT]]</f>
        <v>1211.9327999999998</v>
      </c>
      <c r="T809" s="131"/>
      <c r="U809" s="131"/>
      <c r="V809" s="41">
        <f>Table432[[#This Row],[BALANCE]]-Table432[[#This Row],[RECIVED AMOUNT2]]</f>
        <v>1211.9327999999998</v>
      </c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</row>
    <row r="810" spans="1:121" s="12" customFormat="1" ht="19.95" customHeight="1">
      <c r="A810" s="128">
        <v>46081</v>
      </c>
      <c r="B810" s="131" t="s">
        <v>1121</v>
      </c>
      <c r="C810" s="131" t="s">
        <v>390</v>
      </c>
      <c r="D810" s="131" t="s">
        <v>391</v>
      </c>
      <c r="E810" s="131" t="s">
        <v>260</v>
      </c>
      <c r="F810" s="136" t="s">
        <v>26</v>
      </c>
      <c r="G810" s="136">
        <v>3808</v>
      </c>
      <c r="H810" s="23">
        <v>0.18</v>
      </c>
      <c r="I810" s="129">
        <v>972.76</v>
      </c>
      <c r="J810" s="129">
        <f t="shared" ref="J810:J873" si="63">I810*9/100</f>
        <v>87.548400000000001</v>
      </c>
      <c r="K810" s="129">
        <f t="shared" ref="K810:K873" si="64">I810*9/100</f>
        <v>87.548400000000001</v>
      </c>
      <c r="L810" s="130"/>
      <c r="M810" s="130">
        <f>Table432[[#This Row],[Taxable Amount]]+Table432[[#This Row],[SGST]]+Table432[[#This Row],[CGST]]</f>
        <v>1147.8567999999998</v>
      </c>
      <c r="N810" s="161">
        <f>Table432[[#This Row],[Taxable Amount]]*1%</f>
        <v>9.7276000000000007</v>
      </c>
      <c r="O810" s="132"/>
      <c r="P810" s="135"/>
      <c r="Q810" s="135"/>
      <c r="R810" s="132" t="s">
        <v>1162</v>
      </c>
      <c r="S810" s="138">
        <f>Table432[[#This Row],[Invoice Amount]]-Table432[[#This Row],[TDS]]-Table432[[#This Row],[RTN]]-Table432[[#This Row],[RECIVED AMOUNT]]</f>
        <v>1138.1291999999999</v>
      </c>
      <c r="T810" s="131"/>
      <c r="U810" s="131"/>
      <c r="V810" s="41">
        <f>Table432[[#This Row],[BALANCE]]-Table432[[#This Row],[RECIVED AMOUNT2]]</f>
        <v>1138.1291999999999</v>
      </c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</row>
    <row r="811" spans="1:121" s="12" customFormat="1" ht="19.95" customHeight="1">
      <c r="A811" s="128">
        <v>46081</v>
      </c>
      <c r="B811" s="131" t="s">
        <v>1122</v>
      </c>
      <c r="C811" s="131" t="s">
        <v>390</v>
      </c>
      <c r="D811" s="131" t="s">
        <v>391</v>
      </c>
      <c r="E811" s="131" t="s">
        <v>260</v>
      </c>
      <c r="F811" s="136" t="s">
        <v>26</v>
      </c>
      <c r="G811" s="136">
        <v>3808</v>
      </c>
      <c r="H811" s="23">
        <v>0.18</v>
      </c>
      <c r="I811" s="129">
        <v>930.43</v>
      </c>
      <c r="J811" s="129">
        <f t="shared" si="63"/>
        <v>83.738699999999994</v>
      </c>
      <c r="K811" s="129">
        <f t="shared" si="64"/>
        <v>83.738699999999994</v>
      </c>
      <c r="L811" s="130"/>
      <c r="M811" s="130">
        <f>Table432[[#This Row],[Taxable Amount]]+Table432[[#This Row],[SGST]]+Table432[[#This Row],[CGST]]</f>
        <v>1097.9074000000001</v>
      </c>
      <c r="N811" s="161">
        <f>Table432[[#This Row],[Taxable Amount]]*1%</f>
        <v>9.3042999999999996</v>
      </c>
      <c r="O811" s="132"/>
      <c r="P811" s="135"/>
      <c r="Q811" s="135"/>
      <c r="R811" s="132" t="s">
        <v>1162</v>
      </c>
      <c r="S811" s="138">
        <f>Table432[[#This Row],[Invoice Amount]]-Table432[[#This Row],[TDS]]-Table432[[#This Row],[RTN]]-Table432[[#This Row],[RECIVED AMOUNT]]</f>
        <v>1088.6031</v>
      </c>
      <c r="T811" s="131"/>
      <c r="U811" s="131"/>
      <c r="V811" s="41">
        <f>Table432[[#This Row],[BALANCE]]-Table432[[#This Row],[RECIVED AMOUNT2]]</f>
        <v>1088.6031</v>
      </c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</row>
    <row r="812" spans="1:121" s="12" customFormat="1" ht="19.95" customHeight="1">
      <c r="A812" s="128">
        <v>46081</v>
      </c>
      <c r="B812" s="131" t="s">
        <v>1123</v>
      </c>
      <c r="C812" s="131" t="s">
        <v>390</v>
      </c>
      <c r="D812" s="131" t="s">
        <v>391</v>
      </c>
      <c r="E812" s="131" t="s">
        <v>260</v>
      </c>
      <c r="F812" s="136" t="s">
        <v>26</v>
      </c>
      <c r="G812" s="136">
        <v>3808</v>
      </c>
      <c r="H812" s="23">
        <v>0.18</v>
      </c>
      <c r="I812" s="129">
        <v>698.86</v>
      </c>
      <c r="J812" s="129">
        <f t="shared" si="63"/>
        <v>62.897399999999998</v>
      </c>
      <c r="K812" s="129">
        <f t="shared" si="64"/>
        <v>62.897399999999998</v>
      </c>
      <c r="L812" s="130"/>
      <c r="M812" s="130">
        <f>Table432[[#This Row],[Taxable Amount]]+Table432[[#This Row],[SGST]]+Table432[[#This Row],[CGST]]</f>
        <v>824.65479999999991</v>
      </c>
      <c r="N812" s="161">
        <f>Table432[[#This Row],[Taxable Amount]]*1%</f>
        <v>6.9885999999999999</v>
      </c>
      <c r="O812" s="132"/>
      <c r="P812" s="135"/>
      <c r="Q812" s="135"/>
      <c r="R812" s="132" t="s">
        <v>1162</v>
      </c>
      <c r="S812" s="138">
        <f>Table432[[#This Row],[Invoice Amount]]-Table432[[#This Row],[TDS]]-Table432[[#This Row],[RTN]]-Table432[[#This Row],[RECIVED AMOUNT]]</f>
        <v>817.66619999999989</v>
      </c>
      <c r="T812" s="131"/>
      <c r="U812" s="131"/>
      <c r="V812" s="41">
        <f>Table432[[#This Row],[BALANCE]]-Table432[[#This Row],[RECIVED AMOUNT2]]</f>
        <v>817.66619999999989</v>
      </c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</row>
    <row r="813" spans="1:121" s="12" customFormat="1" ht="19.95" customHeight="1">
      <c r="A813" s="128">
        <v>46081</v>
      </c>
      <c r="B813" s="131" t="s">
        <v>1124</v>
      </c>
      <c r="C813" s="131" t="s">
        <v>290</v>
      </c>
      <c r="D813" s="131" t="s">
        <v>291</v>
      </c>
      <c r="E813" s="131" t="s">
        <v>25</v>
      </c>
      <c r="F813" s="136" t="s">
        <v>26</v>
      </c>
      <c r="G813" s="136">
        <v>3808</v>
      </c>
      <c r="H813" s="23">
        <v>0.18</v>
      </c>
      <c r="I813" s="129">
        <v>3000</v>
      </c>
      <c r="J813" s="129">
        <f t="shared" si="63"/>
        <v>270</v>
      </c>
      <c r="K813" s="129">
        <f t="shared" si="64"/>
        <v>270</v>
      </c>
      <c r="L813" s="130"/>
      <c r="M813" s="130">
        <f>Table432[[#This Row],[Taxable Amount]]+Table432[[#This Row],[SGST]]+Table432[[#This Row],[CGST]]</f>
        <v>3540</v>
      </c>
      <c r="N813" s="161">
        <f>Table432[[#This Row],[Taxable Amount]]*1%</f>
        <v>30</v>
      </c>
      <c r="O813" s="132"/>
      <c r="P813" s="119">
        <f>Table432[[#This Row],[Taxable Amount]]+Table432[[#This Row],[SGST]]+Table432[[#This Row],[CGST]]</f>
        <v>3540</v>
      </c>
      <c r="Q813" s="205">
        <v>46101</v>
      </c>
      <c r="R813" s="132" t="s">
        <v>1162</v>
      </c>
      <c r="S813" s="138">
        <f>Table432[[#This Row],[Invoice Amount]]-Table432[[#This Row],[TDS]]-Table432[[#This Row],[RTN]]-Table432[[#This Row],[RECIVED AMOUNT]]</f>
        <v>-30</v>
      </c>
      <c r="T813" s="131"/>
      <c r="U813" s="131"/>
      <c r="V813" s="41">
        <f>Table432[[#This Row],[BALANCE]]-Table432[[#This Row],[RECIVED AMOUNT2]]</f>
        <v>-30</v>
      </c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</row>
    <row r="814" spans="1:121" s="12" customFormat="1" ht="19.95" customHeight="1">
      <c r="A814" s="128">
        <v>46081</v>
      </c>
      <c r="B814" s="131" t="s">
        <v>1125</v>
      </c>
      <c r="C814" s="131" t="s">
        <v>372</v>
      </c>
      <c r="D814" s="131" t="s">
        <v>794</v>
      </c>
      <c r="E814" s="131" t="s">
        <v>374</v>
      </c>
      <c r="F814" s="136" t="s">
        <v>26</v>
      </c>
      <c r="G814" s="136">
        <v>3808</v>
      </c>
      <c r="H814" s="23">
        <v>0.18</v>
      </c>
      <c r="I814" s="129">
        <v>2500</v>
      </c>
      <c r="J814" s="129">
        <f t="shared" si="63"/>
        <v>225</v>
      </c>
      <c r="K814" s="129">
        <f t="shared" si="64"/>
        <v>225</v>
      </c>
      <c r="L814" s="130"/>
      <c r="M814" s="130">
        <f>Table432[[#This Row],[Taxable Amount]]+Table432[[#This Row],[SGST]]+Table432[[#This Row],[CGST]]</f>
        <v>2950</v>
      </c>
      <c r="N814" s="161">
        <f>Table432[[#This Row],[Taxable Amount]]*1%</f>
        <v>25</v>
      </c>
      <c r="O814" s="132"/>
      <c r="P814" s="135"/>
      <c r="Q814" s="135"/>
      <c r="R814" s="132" t="s">
        <v>1162</v>
      </c>
      <c r="S814" s="138">
        <f>Table432[[#This Row],[Invoice Amount]]-Table432[[#This Row],[TDS]]-Table432[[#This Row],[RTN]]-Table432[[#This Row],[RECIVED AMOUNT]]</f>
        <v>2925</v>
      </c>
      <c r="T814" s="131"/>
      <c r="U814" s="131"/>
      <c r="V814" s="41">
        <f>Table432[[#This Row],[BALANCE]]-Table432[[#This Row],[RECIVED AMOUNT2]]</f>
        <v>2925</v>
      </c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</row>
    <row r="815" spans="1:121" s="12" customFormat="1" ht="19.95" customHeight="1">
      <c r="A815" s="128">
        <v>46081</v>
      </c>
      <c r="B815" s="131" t="s">
        <v>1126</v>
      </c>
      <c r="C815" s="131" t="s">
        <v>955</v>
      </c>
      <c r="D815" s="131" t="s">
        <v>205</v>
      </c>
      <c r="E815" s="131" t="s">
        <v>67</v>
      </c>
      <c r="F815" s="136" t="s">
        <v>26</v>
      </c>
      <c r="G815" s="136">
        <v>3808</v>
      </c>
      <c r="H815" s="23">
        <v>0.18</v>
      </c>
      <c r="I815" s="129">
        <v>14500</v>
      </c>
      <c r="J815" s="129">
        <f t="shared" si="63"/>
        <v>1305</v>
      </c>
      <c r="K815" s="129">
        <f t="shared" si="64"/>
        <v>1305</v>
      </c>
      <c r="L815" s="130"/>
      <c r="M815" s="130">
        <f>Table432[[#This Row],[Taxable Amount]]+Table432[[#This Row],[SGST]]+Table432[[#This Row],[CGST]]</f>
        <v>17110</v>
      </c>
      <c r="N815" s="161">
        <f>Table432[[#This Row],[Taxable Amount]]*1%</f>
        <v>145</v>
      </c>
      <c r="O815" s="132"/>
      <c r="P815" s="135">
        <v>16438</v>
      </c>
      <c r="Q815" s="205">
        <v>46172</v>
      </c>
      <c r="R815" s="132" t="s">
        <v>1162</v>
      </c>
      <c r="S815" s="138">
        <f>Table432[[#This Row],[Invoice Amount]]-Table432[[#This Row],[TDS]]-Table432[[#This Row],[RTN]]-Table432[[#This Row],[RECIVED AMOUNT]]</f>
        <v>527</v>
      </c>
      <c r="T815" s="131"/>
      <c r="U815" s="131"/>
      <c r="V815" s="41">
        <f>Table432[[#This Row],[BALANCE]]-Table432[[#This Row],[RECIVED AMOUNT2]]</f>
        <v>527</v>
      </c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</row>
    <row r="816" spans="1:121" s="12" customFormat="1" ht="19.95" customHeight="1">
      <c r="A816" s="128">
        <v>46081</v>
      </c>
      <c r="B816" s="131" t="s">
        <v>1127</v>
      </c>
      <c r="C816" s="131" t="s">
        <v>720</v>
      </c>
      <c r="D816" s="131" t="s">
        <v>721</v>
      </c>
      <c r="E816" s="131" t="s">
        <v>722</v>
      </c>
      <c r="F816" s="136" t="s">
        <v>26</v>
      </c>
      <c r="G816" s="136">
        <v>3808</v>
      </c>
      <c r="H816" s="23">
        <v>0.18</v>
      </c>
      <c r="I816" s="129">
        <v>12200</v>
      </c>
      <c r="J816" s="129">
        <f t="shared" si="63"/>
        <v>1098</v>
      </c>
      <c r="K816" s="129">
        <f t="shared" si="64"/>
        <v>1098</v>
      </c>
      <c r="L816" s="130"/>
      <c r="M816" s="130">
        <f>Table432[[#This Row],[Taxable Amount]]+Table432[[#This Row],[SGST]]+Table432[[#This Row],[CGST]]</f>
        <v>14396</v>
      </c>
      <c r="N816" s="161"/>
      <c r="O816" s="132"/>
      <c r="P816" s="135">
        <v>14396</v>
      </c>
      <c r="Q816" s="205">
        <v>46092</v>
      </c>
      <c r="R816" s="132" t="s">
        <v>1162</v>
      </c>
      <c r="S816" s="138">
        <f>Table432[[#This Row],[Invoice Amount]]-Table432[[#This Row],[TDS]]-Table432[[#This Row],[RTN]]-Table432[[#This Row],[RECIVED AMOUNT]]</f>
        <v>0</v>
      </c>
      <c r="T816" s="131"/>
      <c r="U816" s="131"/>
      <c r="V816" s="41">
        <f>Table432[[#This Row],[BALANCE]]-Table432[[#This Row],[RECIVED AMOUNT2]]</f>
        <v>0</v>
      </c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</row>
    <row r="817" spans="1:121" s="12" customFormat="1" ht="19.95" customHeight="1">
      <c r="A817" s="128">
        <v>46081</v>
      </c>
      <c r="B817" s="131" t="s">
        <v>1128</v>
      </c>
      <c r="C817" s="131" t="s">
        <v>720</v>
      </c>
      <c r="D817" s="131" t="s">
        <v>721</v>
      </c>
      <c r="E817" s="131" t="s">
        <v>750</v>
      </c>
      <c r="F817" s="136" t="s">
        <v>26</v>
      </c>
      <c r="G817" s="136">
        <v>3808</v>
      </c>
      <c r="H817" s="23">
        <v>0.18</v>
      </c>
      <c r="I817" s="129">
        <v>18500</v>
      </c>
      <c r="J817" s="129">
        <f t="shared" si="63"/>
        <v>1665</v>
      </c>
      <c r="K817" s="129">
        <f t="shared" si="64"/>
        <v>1665</v>
      </c>
      <c r="L817" s="130"/>
      <c r="M817" s="130">
        <f>Table432[[#This Row],[Taxable Amount]]+Table432[[#This Row],[SGST]]+Table432[[#This Row],[CGST]]</f>
        <v>21830</v>
      </c>
      <c r="N817" s="161">
        <f>Table432[[#This Row],[Taxable Amount]]*1%</f>
        <v>185</v>
      </c>
      <c r="O817" s="132"/>
      <c r="P817" s="206">
        <v>20000</v>
      </c>
      <c r="Q817" s="205">
        <v>46098</v>
      </c>
      <c r="R817" s="132" t="s">
        <v>1162</v>
      </c>
      <c r="S817" s="138">
        <f>Table432[[#This Row],[Invoice Amount]]-Table432[[#This Row],[TDS]]-Table432[[#This Row],[RTN]]-Table432[[#This Row],[RECIVED AMOUNT]]</f>
        <v>1645</v>
      </c>
      <c r="T817" s="131"/>
      <c r="U817" s="131"/>
      <c r="V817" s="41">
        <f>Table432[[#This Row],[BALANCE]]-Table432[[#This Row],[RECIVED AMOUNT2]]</f>
        <v>1645</v>
      </c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</row>
    <row r="818" spans="1:121" s="12" customFormat="1" ht="19.95" customHeight="1">
      <c r="A818" s="128">
        <v>46081</v>
      </c>
      <c r="B818" s="131" t="s">
        <v>1129</v>
      </c>
      <c r="C818" s="131" t="s">
        <v>720</v>
      </c>
      <c r="D818" s="131" t="s">
        <v>721</v>
      </c>
      <c r="E818" s="131" t="s">
        <v>482</v>
      </c>
      <c r="F818" s="136" t="s">
        <v>26</v>
      </c>
      <c r="G818" s="136">
        <v>3808</v>
      </c>
      <c r="H818" s="23">
        <v>0.18</v>
      </c>
      <c r="I818" s="129">
        <v>5000</v>
      </c>
      <c r="J818" s="129">
        <f t="shared" si="63"/>
        <v>450</v>
      </c>
      <c r="K818" s="129">
        <f t="shared" si="64"/>
        <v>450</v>
      </c>
      <c r="L818" s="130"/>
      <c r="M818" s="130">
        <f>Table432[[#This Row],[Taxable Amount]]+Table432[[#This Row],[SGST]]+Table432[[#This Row],[CGST]]</f>
        <v>5900</v>
      </c>
      <c r="N818" s="161">
        <f>Table432[[#This Row],[Taxable Amount]]*1%</f>
        <v>50</v>
      </c>
      <c r="O818" s="132"/>
      <c r="P818" s="135">
        <v>0</v>
      </c>
      <c r="Q818" s="205">
        <v>46091</v>
      </c>
      <c r="R818" s="132" t="s">
        <v>1162</v>
      </c>
      <c r="S818" s="138">
        <f>Table432[[#This Row],[Invoice Amount]]-Table432[[#This Row],[TDS]]-Table432[[#This Row],[RTN]]-Table432[[#This Row],[RECIVED AMOUNT]]</f>
        <v>5850</v>
      </c>
      <c r="T818" s="395"/>
      <c r="U818" s="280"/>
      <c r="V818" s="41">
        <f>Table432[[#This Row],[BALANCE]]-Table432[[#This Row],[RECIVED AMOUNT2]]</f>
        <v>5850</v>
      </c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</row>
    <row r="819" spans="1:121" s="12" customFormat="1" ht="19.95" customHeight="1">
      <c r="A819" s="128">
        <v>46081</v>
      </c>
      <c r="B819" s="131" t="s">
        <v>1130</v>
      </c>
      <c r="C819" s="163" t="s">
        <v>23</v>
      </c>
      <c r="D819" s="131" t="s">
        <v>24</v>
      </c>
      <c r="E819" s="131" t="s">
        <v>25</v>
      </c>
      <c r="F819" s="136" t="s">
        <v>26</v>
      </c>
      <c r="G819" s="136">
        <v>3808</v>
      </c>
      <c r="H819" s="23">
        <v>0.18</v>
      </c>
      <c r="I819" s="129">
        <v>14175</v>
      </c>
      <c r="J819" s="129">
        <f t="shared" si="63"/>
        <v>1275.75</v>
      </c>
      <c r="K819" s="129">
        <f t="shared" si="64"/>
        <v>1275.75</v>
      </c>
      <c r="L819" s="130"/>
      <c r="M819" s="130">
        <f>Table432[[#This Row],[Taxable Amount]]+Table432[[#This Row],[SGST]]+Table432[[#This Row],[CGST]]</f>
        <v>16726.5</v>
      </c>
      <c r="N819" s="161">
        <f>Table432[[#This Row],[Taxable Amount]]*1%</f>
        <v>141.75</v>
      </c>
      <c r="O819" s="132"/>
      <c r="P819" s="135"/>
      <c r="Q819" s="205">
        <v>46158</v>
      </c>
      <c r="R819" s="132" t="s">
        <v>1162</v>
      </c>
      <c r="S819" s="138">
        <f>Table432[[#This Row],[Invoice Amount]]-Table432[[#This Row],[TDS]]-Table432[[#This Row],[RTN]]-Table432[[#This Row],[RECIVED AMOUNT]]</f>
        <v>16584.75</v>
      </c>
      <c r="T819" s="131"/>
      <c r="U819" s="131"/>
      <c r="V819" s="41">
        <f>Table432[[#This Row],[BALANCE]]-Table432[[#This Row],[RECIVED AMOUNT2]]</f>
        <v>16584.75</v>
      </c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</row>
    <row r="820" spans="1:121" s="12" customFormat="1" ht="19.95" customHeight="1">
      <c r="A820" s="128">
        <v>46081</v>
      </c>
      <c r="B820" s="131" t="s">
        <v>1131</v>
      </c>
      <c r="C820" s="163" t="s">
        <v>444</v>
      </c>
      <c r="D820" s="131" t="s">
        <v>445</v>
      </c>
      <c r="E820" s="131" t="s">
        <v>232</v>
      </c>
      <c r="F820" s="136" t="s">
        <v>26</v>
      </c>
      <c r="G820" s="136">
        <v>3808</v>
      </c>
      <c r="H820" s="23">
        <v>0.18</v>
      </c>
      <c r="I820" s="129">
        <v>7650</v>
      </c>
      <c r="J820" s="129">
        <f t="shared" si="63"/>
        <v>688.5</v>
      </c>
      <c r="K820" s="129">
        <f t="shared" si="64"/>
        <v>688.5</v>
      </c>
      <c r="L820" s="130"/>
      <c r="M820" s="130">
        <f>Table432[[#This Row],[Taxable Amount]]+Table432[[#This Row],[SGST]]+Table432[[#This Row],[CGST]]</f>
        <v>9027</v>
      </c>
      <c r="N820" s="161">
        <v>0</v>
      </c>
      <c r="O820" s="132"/>
      <c r="P820" s="135">
        <v>9000</v>
      </c>
      <c r="Q820" s="205">
        <v>46116</v>
      </c>
      <c r="R820" s="132" t="s">
        <v>1162</v>
      </c>
      <c r="S820" s="138">
        <f>Table432[[#This Row],[Invoice Amount]]-Table432[[#This Row],[TDS]]-Table432[[#This Row],[RTN]]-Table432[[#This Row],[RECIVED AMOUNT]]</f>
        <v>27</v>
      </c>
      <c r="T820" s="131"/>
      <c r="U820" s="131"/>
      <c r="V820" s="41">
        <f>Table432[[#This Row],[BALANCE]]-Table432[[#This Row],[RECIVED AMOUNT2]]</f>
        <v>27</v>
      </c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</row>
    <row r="821" spans="1:121" s="12" customFormat="1" ht="19.95" customHeight="1">
      <c r="A821" s="128">
        <v>46081</v>
      </c>
      <c r="B821" s="131" t="s">
        <v>1132</v>
      </c>
      <c r="C821" s="131" t="s">
        <v>885</v>
      </c>
      <c r="D821" s="131" t="s">
        <v>886</v>
      </c>
      <c r="E821" s="131" t="s">
        <v>59</v>
      </c>
      <c r="F821" s="136" t="s">
        <v>26</v>
      </c>
      <c r="G821" s="136">
        <v>3808</v>
      </c>
      <c r="H821" s="23">
        <v>0.18</v>
      </c>
      <c r="I821" s="129">
        <v>2200</v>
      </c>
      <c r="J821" s="129">
        <f t="shared" si="63"/>
        <v>198</v>
      </c>
      <c r="K821" s="129">
        <f t="shared" si="64"/>
        <v>198</v>
      </c>
      <c r="L821" s="130"/>
      <c r="M821" s="130">
        <f>Table432[[#This Row],[Taxable Amount]]+Table432[[#This Row],[SGST]]+Table432[[#This Row],[CGST]]</f>
        <v>2596</v>
      </c>
      <c r="N821" s="161"/>
      <c r="O821" s="132"/>
      <c r="P821" s="135"/>
      <c r="Q821" s="205">
        <v>46172</v>
      </c>
      <c r="R821" s="132" t="s">
        <v>1162</v>
      </c>
      <c r="S821" s="138">
        <f>Table432[[#This Row],[Invoice Amount]]-Table432[[#This Row],[TDS]]-Table432[[#This Row],[RTN]]-Table432[[#This Row],[RECIVED AMOUNT]]</f>
        <v>2596</v>
      </c>
      <c r="T821" s="131"/>
      <c r="U821" s="131"/>
      <c r="V821" s="41">
        <f>Table432[[#This Row],[BALANCE]]-Table432[[#This Row],[RECIVED AMOUNT2]]</f>
        <v>2596</v>
      </c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</row>
    <row r="822" spans="1:121" s="12" customFormat="1" ht="19.95" customHeight="1">
      <c r="A822" s="128">
        <v>46081</v>
      </c>
      <c r="B822" s="131" t="s">
        <v>1133</v>
      </c>
      <c r="C822" s="131" t="s">
        <v>981</v>
      </c>
      <c r="D822" s="131" t="s">
        <v>982</v>
      </c>
      <c r="E822" s="131" t="s">
        <v>1053</v>
      </c>
      <c r="F822" s="136" t="s">
        <v>26</v>
      </c>
      <c r="G822" s="136">
        <v>3808</v>
      </c>
      <c r="H822" s="23">
        <v>0.18</v>
      </c>
      <c r="I822" s="129">
        <v>29350</v>
      </c>
      <c r="J822" s="129">
        <f t="shared" si="63"/>
        <v>2641.5</v>
      </c>
      <c r="K822" s="129">
        <f t="shared" si="64"/>
        <v>2641.5</v>
      </c>
      <c r="L822" s="130"/>
      <c r="M822" s="130">
        <f>Table432[[#This Row],[Taxable Amount]]+Table432[[#This Row],[SGST]]+Table432[[#This Row],[CGST]]</f>
        <v>34633</v>
      </c>
      <c r="N822" s="161">
        <v>0</v>
      </c>
      <c r="O822" s="132"/>
      <c r="P822" s="135">
        <v>34633</v>
      </c>
      <c r="Q822" s="205">
        <v>46091</v>
      </c>
      <c r="R822" s="132" t="s">
        <v>1162</v>
      </c>
      <c r="S822" s="138">
        <f>Table432[[#This Row],[Invoice Amount]]-Table432[[#This Row],[TDS]]-Table432[[#This Row],[RTN]]-Table432[[#This Row],[RECIVED AMOUNT]]</f>
        <v>0</v>
      </c>
      <c r="T822" s="131"/>
      <c r="U822" s="131"/>
      <c r="V822" s="41">
        <f>Table432[[#This Row],[BALANCE]]-Table432[[#This Row],[RECIVED AMOUNT2]]</f>
        <v>0</v>
      </c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</row>
    <row r="823" spans="1:121" s="12" customFormat="1" ht="19.95" customHeight="1">
      <c r="A823" s="128">
        <v>46083</v>
      </c>
      <c r="B823" s="131" t="s">
        <v>1134</v>
      </c>
      <c r="C823" s="131" t="s">
        <v>173</v>
      </c>
      <c r="D823" s="131" t="s">
        <v>174</v>
      </c>
      <c r="E823" s="131" t="s">
        <v>62</v>
      </c>
      <c r="F823" s="136" t="s">
        <v>26</v>
      </c>
      <c r="G823" s="136">
        <v>3808</v>
      </c>
      <c r="H823" s="23">
        <v>0.18</v>
      </c>
      <c r="I823" s="129">
        <v>8800</v>
      </c>
      <c r="J823" s="129">
        <f t="shared" si="63"/>
        <v>792</v>
      </c>
      <c r="K823" s="129">
        <f t="shared" si="64"/>
        <v>792</v>
      </c>
      <c r="L823" s="130"/>
      <c r="M823" s="130">
        <f>Table432[[#This Row],[Taxable Amount]]+Table432[[#This Row],[SGST]]+Table432[[#This Row],[CGST]]</f>
        <v>10384</v>
      </c>
      <c r="N823" s="161">
        <f>Table432[[#This Row],[Taxable Amount]]*1%</f>
        <v>88</v>
      </c>
      <c r="O823" s="132"/>
      <c r="P823" s="135"/>
      <c r="Q823" s="135"/>
      <c r="R823" s="132" t="s">
        <v>1263</v>
      </c>
      <c r="S823" s="138">
        <f>Table432[[#This Row],[Invoice Amount]]-Table432[[#This Row],[TDS]]-Table432[[#This Row],[RTN]]-Table432[[#This Row],[RECIVED AMOUNT]]</f>
        <v>10296</v>
      </c>
      <c r="T823" s="131"/>
      <c r="U823" s="131"/>
      <c r="V823" s="41">
        <f>Table432[[#This Row],[BALANCE]]-Table432[[#This Row],[RECIVED AMOUNT2]]</f>
        <v>10296</v>
      </c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</row>
    <row r="824" spans="1:121" s="12" customFormat="1" ht="19.95" customHeight="1">
      <c r="A824" s="128">
        <v>46086</v>
      </c>
      <c r="B824" s="131" t="s">
        <v>1135</v>
      </c>
      <c r="C824" s="131" t="s">
        <v>674</v>
      </c>
      <c r="D824" s="131" t="s">
        <v>675</v>
      </c>
      <c r="E824" s="131" t="s">
        <v>676</v>
      </c>
      <c r="F824" s="136" t="s">
        <v>26</v>
      </c>
      <c r="G824" s="136">
        <v>3808</v>
      </c>
      <c r="H824" s="23">
        <v>0.18</v>
      </c>
      <c r="I824" s="129">
        <v>9600</v>
      </c>
      <c r="J824" s="129">
        <f t="shared" si="63"/>
        <v>864</v>
      </c>
      <c r="K824" s="129">
        <f t="shared" si="64"/>
        <v>864</v>
      </c>
      <c r="L824" s="130"/>
      <c r="M824" s="130">
        <f>Table432[[#This Row],[Taxable Amount]]+Table432[[#This Row],[SGST]]+Table432[[#This Row],[CGST]]</f>
        <v>11328</v>
      </c>
      <c r="N824" s="161">
        <f>Table432[[#This Row],[Taxable Amount]]*1%</f>
        <v>96</v>
      </c>
      <c r="O824" s="132"/>
      <c r="P824" s="135">
        <v>11232</v>
      </c>
      <c r="Q824" s="205">
        <v>46210</v>
      </c>
      <c r="R824" s="132" t="s">
        <v>1263</v>
      </c>
      <c r="S824" s="138">
        <f>Table432[[#This Row],[Invoice Amount]]-Table432[[#This Row],[TDS]]-Table432[[#This Row],[RTN]]-Table432[[#This Row],[RECIVED AMOUNT]]</f>
        <v>0</v>
      </c>
      <c r="T824" s="131"/>
      <c r="U824" s="131"/>
      <c r="V824" s="41">
        <f>Table432[[#This Row],[BALANCE]]-Table432[[#This Row],[RECIVED AMOUNT2]]</f>
        <v>0</v>
      </c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</row>
    <row r="825" spans="1:121" s="12" customFormat="1" ht="19.95" customHeight="1">
      <c r="A825" s="128">
        <v>46086</v>
      </c>
      <c r="B825" s="131" t="s">
        <v>1136</v>
      </c>
      <c r="C825" s="131" t="s">
        <v>674</v>
      </c>
      <c r="D825" s="131" t="s">
        <v>675</v>
      </c>
      <c r="E825" s="131" t="s">
        <v>678</v>
      </c>
      <c r="F825" s="136" t="s">
        <v>26</v>
      </c>
      <c r="G825" s="136">
        <v>3808</v>
      </c>
      <c r="H825" s="23">
        <v>0.18</v>
      </c>
      <c r="I825" s="129">
        <v>4900</v>
      </c>
      <c r="J825" s="129">
        <f t="shared" si="63"/>
        <v>441</v>
      </c>
      <c r="K825" s="129">
        <f t="shared" si="64"/>
        <v>441</v>
      </c>
      <c r="L825" s="130"/>
      <c r="M825" s="130">
        <f>Table432[[#This Row],[Taxable Amount]]+Table432[[#This Row],[SGST]]+Table432[[#This Row],[CGST]]</f>
        <v>5782</v>
      </c>
      <c r="N825" s="161">
        <f>Table432[[#This Row],[Taxable Amount]]*1%</f>
        <v>49</v>
      </c>
      <c r="O825" s="132"/>
      <c r="P825" s="135">
        <v>5733</v>
      </c>
      <c r="Q825" s="205">
        <v>46210</v>
      </c>
      <c r="R825" s="132" t="s">
        <v>1263</v>
      </c>
      <c r="S825" s="138">
        <f>Table432[[#This Row],[Invoice Amount]]-Table432[[#This Row],[TDS]]-Table432[[#This Row],[RTN]]-Table432[[#This Row],[RECIVED AMOUNT]]</f>
        <v>0</v>
      </c>
      <c r="T825" s="131"/>
      <c r="U825" s="131"/>
      <c r="V825" s="41">
        <f>Table432[[#This Row],[BALANCE]]-Table432[[#This Row],[RECIVED AMOUNT2]]</f>
        <v>0</v>
      </c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</row>
    <row r="826" spans="1:121" s="12" customFormat="1" ht="19.95" customHeight="1">
      <c r="A826" s="128">
        <v>46086</v>
      </c>
      <c r="B826" s="131" t="s">
        <v>1137</v>
      </c>
      <c r="C826" s="131" t="s">
        <v>887</v>
      </c>
      <c r="D826" s="131" t="s">
        <v>1163</v>
      </c>
      <c r="E826" s="131" t="s">
        <v>1164</v>
      </c>
      <c r="F826" s="136" t="s">
        <v>26</v>
      </c>
      <c r="G826" s="136">
        <v>3808</v>
      </c>
      <c r="H826" s="23">
        <v>0.18</v>
      </c>
      <c r="I826" s="129">
        <v>2000</v>
      </c>
      <c r="J826" s="129">
        <f t="shared" si="63"/>
        <v>180</v>
      </c>
      <c r="K826" s="129">
        <f t="shared" si="64"/>
        <v>180</v>
      </c>
      <c r="L826" s="130"/>
      <c r="M826" s="130">
        <f>Table432[[#This Row],[Taxable Amount]]+Table432[[#This Row],[SGST]]+Table432[[#This Row],[CGST]]</f>
        <v>2360</v>
      </c>
      <c r="N826" s="161">
        <f>Table432[[#This Row],[Taxable Amount]]*1%</f>
        <v>20</v>
      </c>
      <c r="O826" s="132"/>
      <c r="P826" s="135">
        <v>2360</v>
      </c>
      <c r="Q826" s="205">
        <v>46210</v>
      </c>
      <c r="R826" s="132" t="s">
        <v>1263</v>
      </c>
      <c r="S826" s="138">
        <f>Table432[[#This Row],[Invoice Amount]]-Table432[[#This Row],[TDS]]-Table432[[#This Row],[RTN]]-Table432[[#This Row],[RECIVED AMOUNT]]</f>
        <v>-20</v>
      </c>
      <c r="T826" s="131"/>
      <c r="U826" s="131"/>
      <c r="V826" s="41">
        <f>Table432[[#This Row],[BALANCE]]-Table432[[#This Row],[RECIVED AMOUNT2]]</f>
        <v>-20</v>
      </c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</row>
    <row r="827" spans="1:121" s="12" customFormat="1" ht="19.95" customHeight="1">
      <c r="A827" s="128">
        <v>46086</v>
      </c>
      <c r="B827" s="131" t="s">
        <v>1138</v>
      </c>
      <c r="C827" s="131" t="s">
        <v>674</v>
      </c>
      <c r="D827" s="131" t="s">
        <v>675</v>
      </c>
      <c r="E827" s="131" t="s">
        <v>684</v>
      </c>
      <c r="F827" s="136" t="s">
        <v>26</v>
      </c>
      <c r="G827" s="136">
        <v>3808</v>
      </c>
      <c r="H827" s="23">
        <v>0.18</v>
      </c>
      <c r="I827" s="129">
        <v>3000</v>
      </c>
      <c r="J827" s="129">
        <f t="shared" si="63"/>
        <v>270</v>
      </c>
      <c r="K827" s="129">
        <f t="shared" si="64"/>
        <v>270</v>
      </c>
      <c r="L827" s="130"/>
      <c r="M827" s="130">
        <f>Table432[[#This Row],[Taxable Amount]]+Table432[[#This Row],[SGST]]+Table432[[#This Row],[CGST]]</f>
        <v>3540</v>
      </c>
      <c r="N827" s="161">
        <f>Table432[[#This Row],[Taxable Amount]]*1%</f>
        <v>30</v>
      </c>
      <c r="O827" s="132"/>
      <c r="P827" s="135">
        <v>3510</v>
      </c>
      <c r="Q827" s="205">
        <v>46210</v>
      </c>
      <c r="R827" s="132" t="s">
        <v>1263</v>
      </c>
      <c r="S827" s="138">
        <f>Table432[[#This Row],[Invoice Amount]]-Table432[[#This Row],[TDS]]-Table432[[#This Row],[RTN]]-Table432[[#This Row],[RECIVED AMOUNT]]</f>
        <v>0</v>
      </c>
      <c r="T827" s="131"/>
      <c r="U827" s="131"/>
      <c r="V827" s="41">
        <f>Table432[[#This Row],[BALANCE]]-Table432[[#This Row],[RECIVED AMOUNT2]]</f>
        <v>0</v>
      </c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</row>
    <row r="828" spans="1:121" s="12" customFormat="1" ht="19.95" customHeight="1">
      <c r="A828" s="128">
        <v>46086</v>
      </c>
      <c r="B828" s="131" t="s">
        <v>1139</v>
      </c>
      <c r="C828" s="131" t="s">
        <v>674</v>
      </c>
      <c r="D828" s="131" t="s">
        <v>675</v>
      </c>
      <c r="E828" s="131" t="s">
        <v>956</v>
      </c>
      <c r="F828" s="136" t="s">
        <v>26</v>
      </c>
      <c r="G828" s="136">
        <v>3808</v>
      </c>
      <c r="H828" s="23">
        <v>0.18</v>
      </c>
      <c r="I828" s="129">
        <v>2200</v>
      </c>
      <c r="J828" s="129">
        <f t="shared" si="63"/>
        <v>198</v>
      </c>
      <c r="K828" s="129">
        <f t="shared" si="64"/>
        <v>198</v>
      </c>
      <c r="L828" s="130"/>
      <c r="M828" s="130">
        <f>Table432[[#This Row],[Taxable Amount]]+Table432[[#This Row],[SGST]]+Table432[[#This Row],[CGST]]</f>
        <v>2596</v>
      </c>
      <c r="N828" s="161">
        <f>Table432[[#This Row],[Taxable Amount]]*1%</f>
        <v>22</v>
      </c>
      <c r="O828" s="132"/>
      <c r="P828" s="135">
        <v>2574</v>
      </c>
      <c r="Q828" s="205">
        <v>46210</v>
      </c>
      <c r="R828" s="132" t="s">
        <v>1263</v>
      </c>
      <c r="S828" s="138">
        <f>Table432[[#This Row],[Invoice Amount]]-Table432[[#This Row],[TDS]]-Table432[[#This Row],[RTN]]-Table432[[#This Row],[RECIVED AMOUNT]]</f>
        <v>0</v>
      </c>
      <c r="T828" s="131"/>
      <c r="U828" s="131"/>
      <c r="V828" s="41">
        <f>Table432[[#This Row],[BALANCE]]-Table432[[#This Row],[RECIVED AMOUNT2]]</f>
        <v>0</v>
      </c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</row>
    <row r="829" spans="1:121" s="12" customFormat="1" ht="19.95" customHeight="1">
      <c r="A829" s="128">
        <v>46086</v>
      </c>
      <c r="B829" s="131" t="s">
        <v>1140</v>
      </c>
      <c r="C829" s="131" t="s">
        <v>674</v>
      </c>
      <c r="D829" s="131" t="s">
        <v>675</v>
      </c>
      <c r="E829" s="131" t="s">
        <v>716</v>
      </c>
      <c r="F829" s="136" t="s">
        <v>26</v>
      </c>
      <c r="G829" s="136">
        <v>3808</v>
      </c>
      <c r="H829" s="23">
        <v>0.18</v>
      </c>
      <c r="I829" s="129">
        <v>2800</v>
      </c>
      <c r="J829" s="129">
        <f t="shared" si="63"/>
        <v>252</v>
      </c>
      <c r="K829" s="129">
        <f t="shared" si="64"/>
        <v>252</v>
      </c>
      <c r="L829" s="130"/>
      <c r="M829" s="130">
        <f>Table432[[#This Row],[Taxable Amount]]+Table432[[#This Row],[SGST]]+Table432[[#This Row],[CGST]]</f>
        <v>3304</v>
      </c>
      <c r="N829" s="161">
        <f>Table432[[#This Row],[Taxable Amount]]*1%</f>
        <v>28</v>
      </c>
      <c r="O829" s="132"/>
      <c r="P829" s="135">
        <v>3276</v>
      </c>
      <c r="Q829" s="205">
        <v>46210</v>
      </c>
      <c r="R829" s="132" t="s">
        <v>1263</v>
      </c>
      <c r="S829" s="138">
        <f>Table432[[#This Row],[Invoice Amount]]-Table432[[#This Row],[TDS]]-Table432[[#This Row],[RTN]]-Table432[[#This Row],[RECIVED AMOUNT]]</f>
        <v>0</v>
      </c>
      <c r="T829" s="131"/>
      <c r="U829" s="131"/>
      <c r="V829" s="41">
        <f>Table432[[#This Row],[BALANCE]]-Table432[[#This Row],[RECIVED AMOUNT2]]</f>
        <v>0</v>
      </c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</row>
    <row r="830" spans="1:121" s="12" customFormat="1" ht="19.95" customHeight="1">
      <c r="A830" s="128">
        <v>46086</v>
      </c>
      <c r="B830" s="131" t="s">
        <v>1141</v>
      </c>
      <c r="C830" s="131" t="s">
        <v>674</v>
      </c>
      <c r="D830" s="131" t="s">
        <v>675</v>
      </c>
      <c r="E830" s="131" t="s">
        <v>811</v>
      </c>
      <c r="F830" s="136" t="s">
        <v>26</v>
      </c>
      <c r="G830" s="136">
        <v>3808</v>
      </c>
      <c r="H830" s="23">
        <v>0.18</v>
      </c>
      <c r="I830" s="129">
        <v>9000</v>
      </c>
      <c r="J830" s="129">
        <f t="shared" si="63"/>
        <v>810</v>
      </c>
      <c r="K830" s="129">
        <f t="shared" si="64"/>
        <v>810</v>
      </c>
      <c r="L830" s="130"/>
      <c r="M830" s="130">
        <f>Table432[[#This Row],[Taxable Amount]]+Table432[[#This Row],[SGST]]+Table432[[#This Row],[CGST]]</f>
        <v>10620</v>
      </c>
      <c r="N830" s="161">
        <f>Table432[[#This Row],[Taxable Amount]]*1%</f>
        <v>90</v>
      </c>
      <c r="O830" s="132"/>
      <c r="P830" s="135">
        <v>10530</v>
      </c>
      <c r="Q830" s="205">
        <v>46210</v>
      </c>
      <c r="R830" s="132" t="s">
        <v>1263</v>
      </c>
      <c r="S830" s="138">
        <f>Table432[[#This Row],[Invoice Amount]]-Table432[[#This Row],[TDS]]-Table432[[#This Row],[RTN]]-Table432[[#This Row],[RECIVED AMOUNT]]</f>
        <v>0</v>
      </c>
      <c r="T830" s="131"/>
      <c r="U830" s="131"/>
      <c r="V830" s="41">
        <f>Table432[[#This Row],[BALANCE]]-Table432[[#This Row],[RECIVED AMOUNT2]]</f>
        <v>0</v>
      </c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</row>
    <row r="831" spans="1:121" s="12" customFormat="1" ht="19.95" customHeight="1">
      <c r="A831" s="128">
        <v>46086</v>
      </c>
      <c r="B831" s="131" t="s">
        <v>1142</v>
      </c>
      <c r="C831" s="131" t="s">
        <v>674</v>
      </c>
      <c r="D831" s="131" t="s">
        <v>675</v>
      </c>
      <c r="E831" s="131" t="s">
        <v>813</v>
      </c>
      <c r="F831" s="136" t="s">
        <v>26</v>
      </c>
      <c r="G831" s="136">
        <v>3808</v>
      </c>
      <c r="H831" s="23">
        <v>0.18</v>
      </c>
      <c r="I831" s="129">
        <v>4200</v>
      </c>
      <c r="J831" s="129">
        <f t="shared" si="63"/>
        <v>378</v>
      </c>
      <c r="K831" s="129">
        <f t="shared" si="64"/>
        <v>378</v>
      </c>
      <c r="L831" s="130"/>
      <c r="M831" s="130">
        <f>Table432[[#This Row],[Taxable Amount]]+Table432[[#This Row],[SGST]]+Table432[[#This Row],[CGST]]</f>
        <v>4956</v>
      </c>
      <c r="N831" s="161">
        <f>Table432[[#This Row],[Taxable Amount]]*1%</f>
        <v>42</v>
      </c>
      <c r="O831" s="132"/>
      <c r="P831" s="135">
        <v>4914</v>
      </c>
      <c r="Q831" s="205">
        <v>46210</v>
      </c>
      <c r="R831" s="132" t="s">
        <v>1263</v>
      </c>
      <c r="S831" s="138">
        <f>Table432[[#This Row],[Invoice Amount]]-Table432[[#This Row],[TDS]]-Table432[[#This Row],[RTN]]-Table432[[#This Row],[RECIVED AMOUNT]]</f>
        <v>0</v>
      </c>
      <c r="T831" s="131"/>
      <c r="U831" s="131"/>
      <c r="V831" s="41">
        <f>Table432[[#This Row],[BALANCE]]-Table432[[#This Row],[RECIVED AMOUNT2]]</f>
        <v>0</v>
      </c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</row>
    <row r="832" spans="1:121" s="12" customFormat="1" ht="19.95" customHeight="1">
      <c r="A832" s="128">
        <v>46086</v>
      </c>
      <c r="B832" s="131" t="s">
        <v>1143</v>
      </c>
      <c r="C832" s="131" t="s">
        <v>674</v>
      </c>
      <c r="D832" s="131" t="s">
        <v>675</v>
      </c>
      <c r="E832" s="131" t="s">
        <v>815</v>
      </c>
      <c r="F832" s="136" t="s">
        <v>26</v>
      </c>
      <c r="G832" s="136">
        <v>3808</v>
      </c>
      <c r="H832" s="23">
        <v>0.18</v>
      </c>
      <c r="I832" s="129">
        <v>500</v>
      </c>
      <c r="J832" s="129">
        <f t="shared" si="63"/>
        <v>45</v>
      </c>
      <c r="K832" s="129">
        <f t="shared" si="64"/>
        <v>45</v>
      </c>
      <c r="L832" s="130"/>
      <c r="M832" s="130">
        <f>Table432[[#This Row],[Taxable Amount]]+Table432[[#This Row],[SGST]]+Table432[[#This Row],[CGST]]</f>
        <v>590</v>
      </c>
      <c r="N832" s="161">
        <f>Table432[[#This Row],[Taxable Amount]]*1%</f>
        <v>5</v>
      </c>
      <c r="O832" s="132"/>
      <c r="P832" s="135">
        <v>585</v>
      </c>
      <c r="Q832" s="205">
        <v>46210</v>
      </c>
      <c r="R832" s="132" t="s">
        <v>1263</v>
      </c>
      <c r="S832" s="138">
        <f>Table432[[#This Row],[Invoice Amount]]-Table432[[#This Row],[TDS]]-Table432[[#This Row],[RTN]]-Table432[[#This Row],[RECIVED AMOUNT]]</f>
        <v>0</v>
      </c>
      <c r="T832" s="131"/>
      <c r="U832" s="131"/>
      <c r="V832" s="41">
        <f>Table432[[#This Row],[BALANCE]]-Table432[[#This Row],[RECIVED AMOUNT2]]</f>
        <v>0</v>
      </c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</row>
    <row r="833" spans="1:121" s="12" customFormat="1" ht="19.95" customHeight="1">
      <c r="A833" s="128">
        <v>46086</v>
      </c>
      <c r="B833" s="131" t="s">
        <v>1144</v>
      </c>
      <c r="C833" s="131" t="s">
        <v>1102</v>
      </c>
      <c r="D833" s="131" t="s">
        <v>1103</v>
      </c>
      <c r="E833" s="131" t="s">
        <v>67</v>
      </c>
      <c r="F833" s="136" t="s">
        <v>37</v>
      </c>
      <c r="G833" s="136">
        <v>3808</v>
      </c>
      <c r="H833" s="23">
        <v>0.18</v>
      </c>
      <c r="I833" s="129">
        <v>40140</v>
      </c>
      <c r="J833" s="129">
        <f t="shared" si="63"/>
        <v>3612.6</v>
      </c>
      <c r="K833" s="129">
        <f t="shared" si="64"/>
        <v>3612.6</v>
      </c>
      <c r="L833" s="130"/>
      <c r="M833" s="130">
        <f>Table432[[#This Row],[Taxable Amount]]+Table432[[#This Row],[SGST]]+Table432[[#This Row],[CGST]]</f>
        <v>47365.2</v>
      </c>
      <c r="N833" s="161">
        <f>Table432[[#This Row],[Taxable Amount]]*1%</f>
        <v>401.40000000000003</v>
      </c>
      <c r="O833" s="132"/>
      <c r="P833" s="135">
        <v>39337</v>
      </c>
      <c r="Q833" s="205">
        <v>46104</v>
      </c>
      <c r="R833" s="132" t="s">
        <v>1263</v>
      </c>
      <c r="S833" s="138">
        <f>Table432[[#This Row],[Invoice Amount]]-Table432[[#This Row],[TDS]]-Table432[[#This Row],[RTN]]-Table432[[#This Row],[RECIVED AMOUNT]]</f>
        <v>7626.7999999999956</v>
      </c>
      <c r="T833" s="131"/>
      <c r="U833" s="131"/>
      <c r="V833" s="41">
        <f>Table432[[#This Row],[BALANCE]]-Table432[[#This Row],[RECIVED AMOUNT2]]</f>
        <v>7626.7999999999956</v>
      </c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</row>
    <row r="834" spans="1:121" s="12" customFormat="1" ht="19.95" customHeight="1">
      <c r="A834" s="128">
        <v>46091</v>
      </c>
      <c r="B834" s="131" t="s">
        <v>1145</v>
      </c>
      <c r="C834" s="131" t="s">
        <v>470</v>
      </c>
      <c r="D834" s="131" t="s">
        <v>471</v>
      </c>
      <c r="E834" s="131" t="s">
        <v>1105</v>
      </c>
      <c r="F834" s="136" t="s">
        <v>37</v>
      </c>
      <c r="G834" s="136">
        <v>3808</v>
      </c>
      <c r="H834" s="23">
        <v>0.18</v>
      </c>
      <c r="I834" s="129">
        <v>66930</v>
      </c>
      <c r="J834" s="129">
        <f t="shared" si="63"/>
        <v>6023.7</v>
      </c>
      <c r="K834" s="129">
        <f t="shared" si="64"/>
        <v>6023.7</v>
      </c>
      <c r="L834" s="130"/>
      <c r="M834" s="130">
        <f>Table432[[#This Row],[Taxable Amount]]+Table432[[#This Row],[SGST]]+Table432[[#This Row],[CGST]]</f>
        <v>78977.399999999994</v>
      </c>
      <c r="N834" s="161">
        <f>Table432[[#This Row],[Taxable Amount]]*1%</f>
        <v>669.30000000000007</v>
      </c>
      <c r="O834" s="132"/>
      <c r="P834" s="135">
        <v>74291.8</v>
      </c>
      <c r="Q834" s="205">
        <v>46118</v>
      </c>
      <c r="R834" s="132" t="s">
        <v>1263</v>
      </c>
      <c r="S834" s="138">
        <f>Table432[[#This Row],[Invoice Amount]]-Table432[[#This Row],[TDS]]-Table432[[#This Row],[RTN]]-Table432[[#This Row],[RECIVED AMOUNT]]</f>
        <v>4016.2999999999884</v>
      </c>
      <c r="T834" s="131"/>
      <c r="U834" s="131"/>
      <c r="V834" s="41">
        <f>Table432[[#This Row],[BALANCE]]-Table432[[#This Row],[RECIVED AMOUNT2]]</f>
        <v>4016.2999999999884</v>
      </c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</row>
    <row r="835" spans="1:121" s="12" customFormat="1" ht="19.95" customHeight="1">
      <c r="A835" s="128">
        <v>46097</v>
      </c>
      <c r="B835" s="131" t="s">
        <v>1146</v>
      </c>
      <c r="C835" s="131" t="s">
        <v>518</v>
      </c>
      <c r="D835" s="131" t="s">
        <v>519</v>
      </c>
      <c r="E835" s="131" t="s">
        <v>520</v>
      </c>
      <c r="F835" s="136" t="s">
        <v>37</v>
      </c>
      <c r="G835" s="136">
        <v>3808</v>
      </c>
      <c r="H835" s="23">
        <v>0.18</v>
      </c>
      <c r="I835" s="129">
        <v>61596</v>
      </c>
      <c r="J835" s="129">
        <f t="shared" si="63"/>
        <v>5543.64</v>
      </c>
      <c r="K835" s="129">
        <f t="shared" si="64"/>
        <v>5543.64</v>
      </c>
      <c r="L835" s="130"/>
      <c r="M835" s="130">
        <f>Table432[[#This Row],[Taxable Amount]]+Table432[[#This Row],[SGST]]+Table432[[#This Row],[CGST]]</f>
        <v>72683.28</v>
      </c>
      <c r="N835" s="161">
        <f>Table432[[#This Row],[Taxable Amount]]*1%</f>
        <v>615.96</v>
      </c>
      <c r="O835" s="132"/>
      <c r="P835" s="206">
        <v>72067</v>
      </c>
      <c r="Q835" s="205">
        <v>46125</v>
      </c>
      <c r="R835" s="132" t="s">
        <v>1263</v>
      </c>
      <c r="S835" s="138">
        <f>Table432[[#This Row],[Invoice Amount]]-Table432[[#This Row],[TDS]]-Table432[[#This Row],[RTN]]-Table432[[#This Row],[RECIVED AMOUNT]]</f>
        <v>0.319999999992433</v>
      </c>
      <c r="T835" s="131"/>
      <c r="U835" s="131"/>
      <c r="V835" s="41">
        <f>Table432[[#This Row],[BALANCE]]-Table432[[#This Row],[RECIVED AMOUNT2]]</f>
        <v>0.319999999992433</v>
      </c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</row>
    <row r="836" spans="1:121" s="477" customFormat="1" ht="19.95" customHeight="1">
      <c r="A836" s="466">
        <v>46105</v>
      </c>
      <c r="B836" s="468" t="s">
        <v>1147</v>
      </c>
      <c r="C836" s="468" t="s">
        <v>319</v>
      </c>
      <c r="D836" s="468" t="s">
        <v>320</v>
      </c>
      <c r="E836" s="468" t="s">
        <v>59</v>
      </c>
      <c r="F836" s="469" t="s">
        <v>26</v>
      </c>
      <c r="G836" s="469">
        <v>3808</v>
      </c>
      <c r="H836" s="470">
        <v>0.18</v>
      </c>
      <c r="I836" s="471">
        <v>23825</v>
      </c>
      <c r="J836" s="471">
        <f t="shared" si="63"/>
        <v>2144.25</v>
      </c>
      <c r="K836" s="471">
        <f t="shared" si="64"/>
        <v>2144.25</v>
      </c>
      <c r="L836" s="472"/>
      <c r="M836" s="472">
        <f>Table432[[#This Row],[Taxable Amount]]+Table432[[#This Row],[SGST]]+Table432[[#This Row],[CGST]]</f>
        <v>28113.5</v>
      </c>
      <c r="N836" s="473">
        <f>Table432[[#This Row],[Taxable Amount]]*1%</f>
        <v>238.25</v>
      </c>
      <c r="O836" s="474"/>
      <c r="P836" s="475">
        <v>27874</v>
      </c>
      <c r="Q836" s="478">
        <v>46125</v>
      </c>
      <c r="R836" s="474" t="s">
        <v>1263</v>
      </c>
      <c r="S836" s="479">
        <f>Table432[[#This Row],[Invoice Amount]]-Table432[[#This Row],[TDS]]-Table432[[#This Row],[RTN]]-Table432[[#This Row],[RECIVED AMOUNT]]</f>
        <v>1.25</v>
      </c>
      <c r="T836" s="468"/>
      <c r="U836" s="468"/>
      <c r="V836" s="480">
        <f>Table432[[#This Row],[BALANCE]]-Table432[[#This Row],[RECIVED AMOUNT2]]</f>
        <v>1.25</v>
      </c>
      <c r="W836" s="481"/>
      <c r="X836" s="481"/>
      <c r="Y836" s="481"/>
      <c r="Z836" s="481"/>
      <c r="AA836" s="481"/>
      <c r="AB836" s="481"/>
      <c r="AC836" s="481"/>
      <c r="AD836" s="481"/>
      <c r="AE836" s="481"/>
      <c r="AF836" s="481"/>
      <c r="AG836" s="481"/>
      <c r="AH836" s="481"/>
      <c r="AI836" s="481"/>
      <c r="AJ836" s="481"/>
      <c r="AK836" s="481"/>
      <c r="AL836" s="481"/>
      <c r="AM836" s="481"/>
      <c r="AN836" s="481"/>
      <c r="AO836" s="481"/>
      <c r="AP836" s="481"/>
      <c r="AQ836" s="481"/>
      <c r="AR836" s="481"/>
      <c r="AS836" s="481"/>
      <c r="AT836" s="481"/>
      <c r="AU836" s="481"/>
      <c r="AV836" s="481"/>
      <c r="AW836" s="481"/>
      <c r="AX836" s="481"/>
      <c r="AY836" s="481"/>
      <c r="AZ836" s="481"/>
      <c r="BA836" s="481"/>
      <c r="BB836" s="481"/>
      <c r="BC836" s="481"/>
      <c r="BD836" s="481"/>
      <c r="BE836" s="481"/>
      <c r="BF836" s="481"/>
      <c r="BG836" s="481"/>
      <c r="BH836" s="481"/>
      <c r="BI836" s="481"/>
      <c r="BJ836" s="481"/>
      <c r="BK836" s="481"/>
      <c r="BL836" s="481"/>
      <c r="BM836" s="481"/>
      <c r="BN836" s="481"/>
      <c r="BO836" s="481"/>
      <c r="BP836" s="481"/>
      <c r="BQ836" s="481"/>
      <c r="BR836" s="481"/>
      <c r="BS836" s="481"/>
      <c r="BT836" s="481"/>
      <c r="BU836" s="481"/>
      <c r="BV836" s="481"/>
      <c r="BW836" s="481"/>
      <c r="BX836" s="481"/>
      <c r="BY836" s="481"/>
      <c r="BZ836" s="481"/>
      <c r="CA836" s="481"/>
      <c r="CB836" s="481"/>
      <c r="CC836" s="481"/>
      <c r="CD836" s="481"/>
      <c r="CE836" s="481"/>
      <c r="CF836" s="481"/>
      <c r="CG836" s="481"/>
      <c r="CH836" s="481"/>
      <c r="CI836" s="481"/>
      <c r="CJ836" s="481"/>
      <c r="CK836" s="481"/>
      <c r="CL836" s="481"/>
      <c r="CM836" s="481"/>
      <c r="CN836" s="481"/>
      <c r="CO836" s="481"/>
      <c r="CP836" s="481"/>
      <c r="CQ836" s="481"/>
      <c r="CR836" s="481"/>
      <c r="CS836" s="481"/>
      <c r="CT836" s="481"/>
      <c r="CU836" s="481"/>
      <c r="CV836" s="481"/>
      <c r="CW836" s="481"/>
      <c r="CX836" s="481"/>
      <c r="CY836" s="481"/>
      <c r="CZ836" s="481"/>
      <c r="DA836" s="481"/>
      <c r="DB836" s="481"/>
      <c r="DC836" s="481"/>
      <c r="DD836" s="481"/>
      <c r="DE836" s="481"/>
      <c r="DF836" s="481"/>
      <c r="DG836" s="481"/>
      <c r="DH836" s="481"/>
      <c r="DI836" s="481"/>
      <c r="DJ836" s="481"/>
      <c r="DK836" s="481"/>
      <c r="DL836" s="481"/>
      <c r="DM836" s="481"/>
      <c r="DN836" s="481"/>
      <c r="DO836" s="481"/>
      <c r="DP836" s="481"/>
      <c r="DQ836" s="481"/>
    </row>
    <row r="837" spans="1:121" s="12" customFormat="1" ht="19.95" customHeight="1">
      <c r="A837" s="128">
        <v>46106</v>
      </c>
      <c r="B837" s="131" t="s">
        <v>1148</v>
      </c>
      <c r="C837" s="131" t="s">
        <v>637</v>
      </c>
      <c r="D837" s="131" t="s">
        <v>638</v>
      </c>
      <c r="E837" s="131" t="s">
        <v>629</v>
      </c>
      <c r="F837" s="136" t="s">
        <v>26</v>
      </c>
      <c r="G837" s="136">
        <v>3808</v>
      </c>
      <c r="H837" s="23">
        <v>0.18</v>
      </c>
      <c r="I837" s="129">
        <v>16000</v>
      </c>
      <c r="J837" s="129">
        <f t="shared" si="63"/>
        <v>1440</v>
      </c>
      <c r="K837" s="129">
        <f t="shared" si="64"/>
        <v>1440</v>
      </c>
      <c r="L837" s="130"/>
      <c r="M837" s="130">
        <f>Table432[[#This Row],[Taxable Amount]]+Table432[[#This Row],[SGST]]+Table432[[#This Row],[CGST]]</f>
        <v>18880</v>
      </c>
      <c r="N837" s="161">
        <f>Table432[[#This Row],[Taxable Amount]]*1%</f>
        <v>160</v>
      </c>
      <c r="O837" s="132"/>
      <c r="P837" s="135"/>
      <c r="Q837" s="135"/>
      <c r="R837" s="132" t="s">
        <v>1263</v>
      </c>
      <c r="S837" s="138">
        <f>Table432[[#This Row],[Invoice Amount]]-Table432[[#This Row],[TDS]]-Table432[[#This Row],[RTN]]-Table432[[#This Row],[RECIVED AMOUNT]]</f>
        <v>18720</v>
      </c>
      <c r="T837" s="131"/>
      <c r="U837" s="131"/>
      <c r="V837" s="41">
        <f>Table432[[#This Row],[BALANCE]]-Table432[[#This Row],[RECIVED AMOUNT2]]</f>
        <v>18720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</row>
    <row r="838" spans="1:121" s="248" customFormat="1" ht="19.95" customHeight="1">
      <c r="A838" s="293">
        <v>46106</v>
      </c>
      <c r="B838" s="235" t="s">
        <v>1149</v>
      </c>
      <c r="C838" s="235" t="s">
        <v>42</v>
      </c>
      <c r="D838" s="235" t="s">
        <v>730</v>
      </c>
      <c r="E838" s="235" t="s">
        <v>953</v>
      </c>
      <c r="F838" s="236" t="s">
        <v>26</v>
      </c>
      <c r="G838" s="236">
        <v>3808</v>
      </c>
      <c r="H838" s="237">
        <v>0.18</v>
      </c>
      <c r="I838" s="238">
        <v>12611</v>
      </c>
      <c r="J838" s="238">
        <f t="shared" si="63"/>
        <v>1134.99</v>
      </c>
      <c r="K838" s="238">
        <f t="shared" si="64"/>
        <v>1134.99</v>
      </c>
      <c r="L838" s="294"/>
      <c r="M838" s="294">
        <f>Table432[[#This Row],[Taxable Amount]]+Table432[[#This Row],[SGST]]+Table432[[#This Row],[CGST]]</f>
        <v>14880.98</v>
      </c>
      <c r="N838" s="240">
        <f>Table432[[#This Row],[Taxable Amount]]*1%</f>
        <v>126.11</v>
      </c>
      <c r="O838" s="244"/>
      <c r="P838" s="242"/>
      <c r="Q838" s="243">
        <v>46134</v>
      </c>
      <c r="R838" s="132" t="s">
        <v>1263</v>
      </c>
      <c r="S838" s="245">
        <f>Table432[[#This Row],[Invoice Amount]]-Table432[[#This Row],[TDS]]-Table432[[#This Row],[RTN]]-Table432[[#This Row],[RECIVED AMOUNT]]</f>
        <v>14754.869999999999</v>
      </c>
      <c r="T838" s="235"/>
      <c r="U838" s="235"/>
      <c r="V838" s="246">
        <f>Table432[[#This Row],[BALANCE]]-Table432[[#This Row],[RECIVED AMOUNT2]]</f>
        <v>14754.869999999999</v>
      </c>
      <c r="W838" s="247"/>
      <c r="X838" s="247"/>
      <c r="Y838" s="247"/>
      <c r="Z838" s="247"/>
      <c r="AA838" s="247"/>
      <c r="AB838" s="247"/>
      <c r="AC838" s="247"/>
      <c r="AD838" s="247"/>
      <c r="AE838" s="247"/>
      <c r="AF838" s="247"/>
      <c r="AG838" s="247"/>
      <c r="AH838" s="247"/>
      <c r="AI838" s="247"/>
      <c r="AJ838" s="247"/>
      <c r="AK838" s="247"/>
      <c r="AL838" s="247"/>
      <c r="AM838" s="247"/>
      <c r="AN838" s="247"/>
      <c r="AO838" s="247"/>
      <c r="AP838" s="247"/>
      <c r="AQ838" s="247"/>
      <c r="AR838" s="247"/>
      <c r="AS838" s="247"/>
      <c r="AT838" s="247"/>
      <c r="AU838" s="247"/>
      <c r="AV838" s="247"/>
      <c r="AW838" s="247"/>
      <c r="AX838" s="247"/>
      <c r="AY838" s="247"/>
      <c r="AZ838" s="247"/>
      <c r="BA838" s="247"/>
      <c r="BB838" s="247"/>
      <c r="BC838" s="247"/>
      <c r="BD838" s="247"/>
      <c r="BE838" s="247"/>
      <c r="BF838" s="247"/>
      <c r="BG838" s="247"/>
      <c r="BH838" s="247"/>
      <c r="BI838" s="247"/>
      <c r="BJ838" s="247"/>
      <c r="BK838" s="247"/>
      <c r="BL838" s="247"/>
      <c r="BM838" s="247"/>
      <c r="BN838" s="247"/>
      <c r="BO838" s="247"/>
      <c r="BP838" s="247"/>
      <c r="BQ838" s="247"/>
      <c r="BR838" s="247"/>
      <c r="BS838" s="247"/>
      <c r="BT838" s="247"/>
      <c r="BU838" s="247"/>
      <c r="BV838" s="247"/>
      <c r="BW838" s="247"/>
      <c r="BX838" s="247"/>
      <c r="BY838" s="247"/>
      <c r="BZ838" s="247"/>
      <c r="CA838" s="247"/>
      <c r="CB838" s="247"/>
      <c r="CC838" s="247"/>
      <c r="CD838" s="247"/>
      <c r="CE838" s="247"/>
      <c r="CF838" s="247"/>
      <c r="CG838" s="247"/>
      <c r="CH838" s="247"/>
      <c r="CI838" s="247"/>
      <c r="CJ838" s="247"/>
      <c r="CK838" s="247"/>
      <c r="CL838" s="247"/>
      <c r="CM838" s="247"/>
      <c r="CN838" s="247"/>
      <c r="CO838" s="247"/>
      <c r="CP838" s="247"/>
      <c r="CQ838" s="247"/>
      <c r="CR838" s="247"/>
      <c r="CS838" s="247"/>
      <c r="CT838" s="247"/>
      <c r="CU838" s="247"/>
      <c r="CV838" s="247"/>
      <c r="CW838" s="247"/>
      <c r="CX838" s="247"/>
      <c r="CY838" s="247"/>
      <c r="CZ838" s="247"/>
      <c r="DA838" s="247"/>
      <c r="DB838" s="247"/>
      <c r="DC838" s="247"/>
      <c r="DD838" s="247"/>
      <c r="DE838" s="247"/>
      <c r="DF838" s="247"/>
      <c r="DG838" s="247"/>
      <c r="DH838" s="247"/>
      <c r="DI838" s="247"/>
      <c r="DJ838" s="247"/>
      <c r="DK838" s="247"/>
      <c r="DL838" s="247"/>
      <c r="DM838" s="247"/>
      <c r="DN838" s="247"/>
      <c r="DO838" s="247"/>
      <c r="DP838" s="247"/>
      <c r="DQ838" s="247"/>
    </row>
    <row r="839" spans="1:121" s="248" customFormat="1" ht="19.95" customHeight="1">
      <c r="A839" s="293">
        <v>46106</v>
      </c>
      <c r="B839" s="235" t="s">
        <v>1150</v>
      </c>
      <c r="C839" s="235" t="s">
        <v>42</v>
      </c>
      <c r="D839" s="235" t="s">
        <v>730</v>
      </c>
      <c r="E839" s="235" t="s">
        <v>101</v>
      </c>
      <c r="F839" s="236" t="s">
        <v>26</v>
      </c>
      <c r="G839" s="236">
        <v>3808</v>
      </c>
      <c r="H839" s="237">
        <v>0.18</v>
      </c>
      <c r="I839" s="238">
        <v>6537</v>
      </c>
      <c r="J839" s="238">
        <f t="shared" si="63"/>
        <v>588.33000000000004</v>
      </c>
      <c r="K839" s="238">
        <f t="shared" si="64"/>
        <v>588.33000000000004</v>
      </c>
      <c r="L839" s="294"/>
      <c r="M839" s="294">
        <f>Table432[[#This Row],[Taxable Amount]]+Table432[[#This Row],[SGST]]+Table432[[#This Row],[CGST]]</f>
        <v>7713.66</v>
      </c>
      <c r="N839" s="240">
        <f>Table432[[#This Row],[Taxable Amount]]*1%</f>
        <v>65.37</v>
      </c>
      <c r="O839" s="244"/>
      <c r="P839" s="295">
        <v>22404</v>
      </c>
      <c r="Q839" s="243">
        <v>46134</v>
      </c>
      <c r="R839" s="132" t="s">
        <v>1263</v>
      </c>
      <c r="S839" s="245">
        <f>Table432[[#This Row],[Invoice Amount]]-Table432[[#This Row],[TDS]]-Table432[[#This Row],[RTN]]-Table432[[#This Row],[RECIVED AMOUNT]]</f>
        <v>-14755.71</v>
      </c>
      <c r="T839" s="235"/>
      <c r="U839" s="235"/>
      <c r="V839" s="246">
        <f>Table432[[#This Row],[BALANCE]]-Table432[[#This Row],[RECIVED AMOUNT2]]</f>
        <v>-14755.71</v>
      </c>
      <c r="W839" s="247"/>
      <c r="X839" s="247"/>
      <c r="Y839" s="248" t="s">
        <v>1262</v>
      </c>
      <c r="Z839" s="247"/>
      <c r="AA839" s="247"/>
      <c r="AB839" s="247"/>
      <c r="AC839" s="247"/>
      <c r="AD839" s="247"/>
      <c r="AE839" s="247"/>
      <c r="AF839" s="247"/>
      <c r="AG839" s="247"/>
      <c r="AH839" s="247"/>
      <c r="AI839" s="247"/>
      <c r="AJ839" s="247"/>
      <c r="AK839" s="247"/>
      <c r="AL839" s="247"/>
      <c r="AM839" s="247"/>
      <c r="AN839" s="247"/>
      <c r="AO839" s="247"/>
      <c r="AP839" s="247"/>
      <c r="AQ839" s="247"/>
      <c r="AR839" s="247"/>
      <c r="AS839" s="247"/>
      <c r="AT839" s="247"/>
      <c r="AU839" s="247"/>
      <c r="AV839" s="247"/>
      <c r="AW839" s="247"/>
      <c r="AX839" s="247"/>
      <c r="AY839" s="247"/>
      <c r="AZ839" s="247"/>
      <c r="BA839" s="247"/>
      <c r="BB839" s="247"/>
      <c r="BC839" s="247"/>
      <c r="BD839" s="247"/>
      <c r="BE839" s="247"/>
      <c r="BF839" s="247"/>
      <c r="BG839" s="247"/>
      <c r="BH839" s="247"/>
      <c r="BI839" s="247"/>
      <c r="BJ839" s="247"/>
      <c r="BK839" s="247"/>
      <c r="BL839" s="247"/>
      <c r="BM839" s="247"/>
      <c r="BN839" s="247"/>
      <c r="BO839" s="247"/>
      <c r="BP839" s="247"/>
      <c r="BQ839" s="247"/>
      <c r="BR839" s="247"/>
      <c r="BS839" s="247"/>
      <c r="BT839" s="247"/>
      <c r="BU839" s="247"/>
      <c r="BV839" s="247"/>
      <c r="BW839" s="247"/>
      <c r="BX839" s="247"/>
      <c r="BY839" s="247"/>
      <c r="BZ839" s="247"/>
      <c r="CA839" s="247"/>
      <c r="CB839" s="247"/>
      <c r="CC839" s="247"/>
      <c r="CD839" s="247"/>
      <c r="CE839" s="247"/>
      <c r="CF839" s="247"/>
      <c r="CG839" s="247"/>
      <c r="CH839" s="247"/>
      <c r="CI839" s="247"/>
      <c r="CJ839" s="247"/>
      <c r="CK839" s="247"/>
      <c r="CL839" s="247"/>
      <c r="CM839" s="247"/>
      <c r="CN839" s="247"/>
      <c r="CO839" s="247"/>
      <c r="CP839" s="247"/>
      <c r="CQ839" s="247"/>
      <c r="CR839" s="247"/>
      <c r="CS839" s="247"/>
      <c r="CT839" s="247"/>
      <c r="CU839" s="247"/>
      <c r="CV839" s="247"/>
      <c r="CW839" s="247"/>
      <c r="CX839" s="247"/>
      <c r="CY839" s="247"/>
      <c r="CZ839" s="247"/>
      <c r="DA839" s="247"/>
      <c r="DB839" s="247"/>
      <c r="DC839" s="247"/>
      <c r="DD839" s="247"/>
      <c r="DE839" s="247"/>
      <c r="DF839" s="247"/>
      <c r="DG839" s="247"/>
      <c r="DH839" s="247"/>
      <c r="DI839" s="247"/>
      <c r="DJ839" s="247"/>
      <c r="DK839" s="247"/>
      <c r="DL839" s="247"/>
      <c r="DM839" s="247"/>
      <c r="DN839" s="247"/>
      <c r="DO839" s="247"/>
      <c r="DP839" s="247"/>
      <c r="DQ839" s="247"/>
    </row>
    <row r="840" spans="1:121" s="248" customFormat="1" ht="19.95" customHeight="1">
      <c r="A840" s="293">
        <v>46106</v>
      </c>
      <c r="B840" s="235" t="s">
        <v>1151</v>
      </c>
      <c r="C840" s="235" t="s">
        <v>42</v>
      </c>
      <c r="D840" s="235" t="s">
        <v>730</v>
      </c>
      <c r="E840" s="235" t="s">
        <v>44</v>
      </c>
      <c r="F840" s="236" t="s">
        <v>26</v>
      </c>
      <c r="G840" s="236">
        <v>3808</v>
      </c>
      <c r="H840" s="237">
        <v>0.18</v>
      </c>
      <c r="I840" s="238">
        <v>13350</v>
      </c>
      <c r="J840" s="238">
        <f t="shared" si="63"/>
        <v>1201.5</v>
      </c>
      <c r="K840" s="238">
        <f t="shared" si="64"/>
        <v>1201.5</v>
      </c>
      <c r="L840" s="294"/>
      <c r="M840" s="294">
        <f>Table432[[#This Row],[Taxable Amount]]+Table432[[#This Row],[SGST]]+Table432[[#This Row],[CGST]]</f>
        <v>15753</v>
      </c>
      <c r="N840" s="240">
        <f>Table432[[#This Row],[Taxable Amount]]*1%</f>
        <v>133.5</v>
      </c>
      <c r="O840" s="244"/>
      <c r="P840" s="295">
        <v>15285</v>
      </c>
      <c r="Q840" s="243">
        <v>46129</v>
      </c>
      <c r="R840" s="132" t="s">
        <v>1263</v>
      </c>
      <c r="S840" s="245">
        <f>Table432[[#This Row],[Invoice Amount]]-Table432[[#This Row],[TDS]]-Table432[[#This Row],[RTN]]-Table432[[#This Row],[RECIVED AMOUNT]]</f>
        <v>334.5</v>
      </c>
      <c r="T840" s="235"/>
      <c r="U840" s="235"/>
      <c r="V840" s="246">
        <f>Table432[[#This Row],[BALANCE]]-Table432[[#This Row],[RECIVED AMOUNT2]]</f>
        <v>334.5</v>
      </c>
      <c r="W840" s="247"/>
      <c r="X840" s="247"/>
      <c r="Y840" s="247"/>
      <c r="Z840" s="12" t="s">
        <v>1258</v>
      </c>
      <c r="AA840" s="247"/>
      <c r="AB840" s="247"/>
      <c r="AC840" s="247"/>
      <c r="AD840" s="247"/>
      <c r="AE840" s="247"/>
      <c r="AF840" s="247"/>
      <c r="AG840" s="247"/>
      <c r="AH840" s="247"/>
      <c r="AI840" s="247"/>
      <c r="AJ840" s="247"/>
      <c r="AK840" s="247"/>
      <c r="AL840" s="247"/>
      <c r="AM840" s="247"/>
      <c r="AN840" s="247"/>
      <c r="AO840" s="247"/>
      <c r="AP840" s="247"/>
      <c r="AQ840" s="247"/>
      <c r="AR840" s="247"/>
      <c r="AS840" s="247"/>
      <c r="AT840" s="247"/>
      <c r="AU840" s="247"/>
      <c r="AV840" s="247"/>
      <c r="AW840" s="247"/>
      <c r="AX840" s="247"/>
      <c r="AY840" s="247"/>
      <c r="AZ840" s="247"/>
      <c r="BA840" s="247"/>
      <c r="BB840" s="247"/>
      <c r="BC840" s="247"/>
      <c r="BD840" s="247"/>
      <c r="BE840" s="247"/>
      <c r="BF840" s="247"/>
      <c r="BG840" s="247"/>
      <c r="BH840" s="247"/>
      <c r="BI840" s="247"/>
      <c r="BJ840" s="247"/>
      <c r="BK840" s="247"/>
      <c r="BL840" s="247"/>
      <c r="BM840" s="247"/>
      <c r="BN840" s="247"/>
      <c r="BO840" s="247"/>
      <c r="BP840" s="247"/>
      <c r="BQ840" s="247"/>
      <c r="BR840" s="247"/>
      <c r="BS840" s="247"/>
      <c r="BT840" s="247"/>
      <c r="BU840" s="247"/>
      <c r="BV840" s="247"/>
      <c r="BW840" s="247"/>
      <c r="BX840" s="247"/>
      <c r="BY840" s="247"/>
      <c r="BZ840" s="247"/>
      <c r="CA840" s="247"/>
      <c r="CB840" s="247"/>
      <c r="CC840" s="247"/>
      <c r="CD840" s="247"/>
      <c r="CE840" s="247"/>
      <c r="CF840" s="247"/>
      <c r="CG840" s="247"/>
      <c r="CH840" s="247"/>
      <c r="CI840" s="247"/>
      <c r="CJ840" s="247"/>
      <c r="CK840" s="247"/>
      <c r="CL840" s="247"/>
      <c r="CM840" s="247"/>
      <c r="CN840" s="247"/>
      <c r="CO840" s="247"/>
      <c r="CP840" s="247"/>
      <c r="CQ840" s="247"/>
      <c r="CR840" s="247"/>
      <c r="CS840" s="247"/>
      <c r="CT840" s="247"/>
      <c r="CU840" s="247"/>
      <c r="CV840" s="247"/>
      <c r="CW840" s="247"/>
      <c r="CX840" s="247"/>
      <c r="CY840" s="247"/>
      <c r="CZ840" s="247"/>
      <c r="DA840" s="247"/>
      <c r="DB840" s="247"/>
      <c r="DC840" s="247"/>
      <c r="DD840" s="247"/>
      <c r="DE840" s="247"/>
      <c r="DF840" s="247"/>
      <c r="DG840" s="247"/>
      <c r="DH840" s="247"/>
      <c r="DI840" s="247"/>
      <c r="DJ840" s="247"/>
      <c r="DK840" s="247"/>
      <c r="DL840" s="247"/>
      <c r="DM840" s="247"/>
      <c r="DN840" s="247"/>
      <c r="DO840" s="247"/>
      <c r="DP840" s="247"/>
      <c r="DQ840" s="247"/>
    </row>
    <row r="841" spans="1:121" s="248" customFormat="1" ht="19.95" customHeight="1">
      <c r="A841" s="293">
        <v>46106</v>
      </c>
      <c r="B841" s="235" t="s">
        <v>1152</v>
      </c>
      <c r="C841" s="235" t="s">
        <v>42</v>
      </c>
      <c r="D841" s="235" t="s">
        <v>730</v>
      </c>
      <c r="E841" s="235" t="s">
        <v>163</v>
      </c>
      <c r="F841" s="236" t="s">
        <v>26</v>
      </c>
      <c r="G841" s="236">
        <v>3808</v>
      </c>
      <c r="H841" s="237">
        <v>0.18</v>
      </c>
      <c r="I841" s="238">
        <v>60550</v>
      </c>
      <c r="J841" s="238">
        <f t="shared" si="63"/>
        <v>5449.5</v>
      </c>
      <c r="K841" s="238">
        <f t="shared" si="64"/>
        <v>5449.5</v>
      </c>
      <c r="L841" s="294"/>
      <c r="M841" s="294">
        <f>Table432[[#This Row],[Taxable Amount]]+Table432[[#This Row],[SGST]]+Table432[[#This Row],[CGST]]</f>
        <v>71449</v>
      </c>
      <c r="N841" s="240">
        <f>Table432[[#This Row],[Taxable Amount]]*1%</f>
        <v>605.5</v>
      </c>
      <c r="O841" s="244"/>
      <c r="P841" s="295">
        <v>59771</v>
      </c>
      <c r="Q841" s="243">
        <v>46144</v>
      </c>
      <c r="R841" s="132" t="s">
        <v>1263</v>
      </c>
      <c r="S841" s="245">
        <f>Table432[[#This Row],[Invoice Amount]]-Table432[[#This Row],[TDS]]-Table432[[#This Row],[RTN]]-Table432[[#This Row],[RECIVED AMOUNT]]</f>
        <v>11072.5</v>
      </c>
      <c r="T841" s="235"/>
      <c r="U841" s="235"/>
      <c r="V841" s="246">
        <f>Table432[[#This Row],[BALANCE]]-Table432[[#This Row],[RECIVED AMOUNT2]]</f>
        <v>11072.5</v>
      </c>
      <c r="W841" s="247"/>
      <c r="X841" s="247"/>
      <c r="Y841" s="247"/>
      <c r="Z841" s="247"/>
      <c r="AA841" s="247"/>
      <c r="AB841" s="247"/>
      <c r="AC841" s="247"/>
      <c r="AD841" s="247"/>
      <c r="AE841" s="247"/>
      <c r="AF841" s="247"/>
      <c r="AG841" s="247"/>
      <c r="AH841" s="247"/>
      <c r="AI841" s="247"/>
      <c r="AJ841" s="247"/>
      <c r="AK841" s="247"/>
      <c r="AL841" s="247"/>
      <c r="AM841" s="247"/>
      <c r="AN841" s="247"/>
      <c r="AO841" s="247"/>
      <c r="AP841" s="247"/>
      <c r="AQ841" s="247"/>
      <c r="AR841" s="247"/>
      <c r="AS841" s="247"/>
      <c r="AT841" s="247"/>
      <c r="AU841" s="247"/>
      <c r="AV841" s="247"/>
      <c r="AW841" s="247"/>
      <c r="AX841" s="247"/>
      <c r="AY841" s="247"/>
      <c r="AZ841" s="247"/>
      <c r="BA841" s="247"/>
      <c r="BB841" s="247"/>
      <c r="BC841" s="247"/>
      <c r="BD841" s="247"/>
      <c r="BE841" s="247"/>
      <c r="BF841" s="247"/>
      <c r="BG841" s="247"/>
      <c r="BH841" s="247"/>
      <c r="BI841" s="247"/>
      <c r="BJ841" s="247"/>
      <c r="BK841" s="247"/>
      <c r="BL841" s="247"/>
      <c r="BM841" s="247"/>
      <c r="BN841" s="247"/>
      <c r="BO841" s="247"/>
      <c r="BP841" s="247"/>
      <c r="BQ841" s="247"/>
      <c r="BR841" s="247"/>
      <c r="BS841" s="247"/>
      <c r="BT841" s="247"/>
      <c r="BU841" s="247"/>
      <c r="BV841" s="247"/>
      <c r="BW841" s="247"/>
      <c r="BX841" s="247"/>
      <c r="BY841" s="247"/>
      <c r="BZ841" s="247"/>
      <c r="CA841" s="247"/>
      <c r="CB841" s="247"/>
      <c r="CC841" s="247"/>
      <c r="CD841" s="247"/>
      <c r="CE841" s="247"/>
      <c r="CF841" s="247"/>
      <c r="CG841" s="247"/>
      <c r="CH841" s="247"/>
      <c r="CI841" s="247"/>
      <c r="CJ841" s="247"/>
      <c r="CK841" s="247"/>
      <c r="CL841" s="247"/>
      <c r="CM841" s="247"/>
      <c r="CN841" s="247"/>
      <c r="CO841" s="247"/>
      <c r="CP841" s="247"/>
      <c r="CQ841" s="247"/>
      <c r="CR841" s="247"/>
      <c r="CS841" s="247"/>
      <c r="CT841" s="247"/>
      <c r="CU841" s="247"/>
      <c r="CV841" s="247"/>
      <c r="CW841" s="247"/>
      <c r="CX841" s="247"/>
      <c r="CY841" s="247"/>
      <c r="CZ841" s="247"/>
      <c r="DA841" s="247"/>
      <c r="DB841" s="247"/>
      <c r="DC841" s="247"/>
      <c r="DD841" s="247"/>
      <c r="DE841" s="247"/>
      <c r="DF841" s="247"/>
      <c r="DG841" s="247"/>
      <c r="DH841" s="247"/>
      <c r="DI841" s="247"/>
      <c r="DJ841" s="247"/>
      <c r="DK841" s="247"/>
      <c r="DL841" s="247"/>
      <c r="DM841" s="247"/>
      <c r="DN841" s="247"/>
      <c r="DO841" s="247"/>
      <c r="DP841" s="247"/>
      <c r="DQ841" s="247"/>
    </row>
    <row r="842" spans="1:121" s="12" customFormat="1" ht="19.95" customHeight="1">
      <c r="A842" s="128">
        <v>46112</v>
      </c>
      <c r="B842" s="131" t="s">
        <v>1153</v>
      </c>
      <c r="C842" s="131" t="s">
        <v>319</v>
      </c>
      <c r="D842" s="131" t="s">
        <v>320</v>
      </c>
      <c r="E842" s="131" t="s">
        <v>85</v>
      </c>
      <c r="F842" s="136" t="s">
        <v>26</v>
      </c>
      <c r="G842" s="136">
        <v>3808</v>
      </c>
      <c r="H842" s="23">
        <v>0.18</v>
      </c>
      <c r="I842" s="129">
        <v>16600</v>
      </c>
      <c r="J842" s="129">
        <f t="shared" si="63"/>
        <v>1494</v>
      </c>
      <c r="K842" s="129">
        <f t="shared" si="64"/>
        <v>1494</v>
      </c>
      <c r="L842" s="130"/>
      <c r="M842" s="130">
        <f>Table432[[#This Row],[Taxable Amount]]+Table432[[#This Row],[SGST]]+Table432[[#This Row],[CGST]]</f>
        <v>19588</v>
      </c>
      <c r="N842" s="161">
        <f>Table432[[#This Row],[Taxable Amount]]*1%</f>
        <v>166</v>
      </c>
      <c r="O842" s="132"/>
      <c r="P842" s="135"/>
      <c r="Q842" s="135"/>
      <c r="R842" s="132" t="s">
        <v>1263</v>
      </c>
      <c r="S842" s="138">
        <f>Table432[[#This Row],[Invoice Amount]]-Table432[[#This Row],[TDS]]-Table432[[#This Row],[RTN]]-Table432[[#This Row],[RECIVED AMOUNT]]</f>
        <v>19422</v>
      </c>
      <c r="T842" s="131"/>
      <c r="U842" s="131"/>
      <c r="V842" s="41">
        <f>Table432[[#This Row],[BALANCE]]-Table432[[#This Row],[RECIVED AMOUNT2]]</f>
        <v>19422</v>
      </c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</row>
    <row r="843" spans="1:121" s="12" customFormat="1" ht="19.95" customHeight="1">
      <c r="A843" s="128">
        <v>46112</v>
      </c>
      <c r="B843" s="131" t="s">
        <v>1154</v>
      </c>
      <c r="C843" s="131" t="s">
        <v>319</v>
      </c>
      <c r="D843" s="131" t="s">
        <v>320</v>
      </c>
      <c r="E843" s="131" t="s">
        <v>89</v>
      </c>
      <c r="F843" s="136" t="s">
        <v>26</v>
      </c>
      <c r="G843" s="136">
        <v>3808</v>
      </c>
      <c r="H843" s="23">
        <v>0.18</v>
      </c>
      <c r="I843" s="129">
        <v>18850</v>
      </c>
      <c r="J843" s="129">
        <f t="shared" si="63"/>
        <v>1696.5</v>
      </c>
      <c r="K843" s="129">
        <f t="shared" si="64"/>
        <v>1696.5</v>
      </c>
      <c r="L843" s="130"/>
      <c r="M843" s="130">
        <f>Table432[[#This Row],[Taxable Amount]]+Table432[[#This Row],[SGST]]+Table432[[#This Row],[CGST]]</f>
        <v>22243</v>
      </c>
      <c r="N843" s="161">
        <f>Table432[[#This Row],[Taxable Amount]]*1%</f>
        <v>188.5</v>
      </c>
      <c r="O843" s="132"/>
      <c r="P843" s="135"/>
      <c r="Q843" s="135"/>
      <c r="R843" s="132" t="s">
        <v>1263</v>
      </c>
      <c r="S843" s="138">
        <f>Table432[[#This Row],[Invoice Amount]]-Table432[[#This Row],[TDS]]-Table432[[#This Row],[RTN]]-Table432[[#This Row],[RECIVED AMOUNT]]</f>
        <v>22054.5</v>
      </c>
      <c r="T843" s="131"/>
      <c r="U843" s="131"/>
      <c r="V843" s="41">
        <f>Table432[[#This Row],[BALANCE]]-Table432[[#This Row],[RECIVED AMOUNT2]]</f>
        <v>22054.5</v>
      </c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</row>
    <row r="844" spans="1:121" s="12" customFormat="1" ht="19.95" customHeight="1">
      <c r="A844" s="128">
        <v>46112</v>
      </c>
      <c r="B844" s="131" t="s">
        <v>1155</v>
      </c>
      <c r="C844" s="131" t="s">
        <v>116</v>
      </c>
      <c r="D844" s="131" t="s">
        <v>117</v>
      </c>
      <c r="E844" s="131" t="s">
        <v>59</v>
      </c>
      <c r="F844" s="136" t="s">
        <v>26</v>
      </c>
      <c r="G844" s="136">
        <v>3808</v>
      </c>
      <c r="H844" s="23">
        <v>0.18</v>
      </c>
      <c r="I844" s="129">
        <v>17300</v>
      </c>
      <c r="J844" s="129">
        <f t="shared" si="63"/>
        <v>1557</v>
      </c>
      <c r="K844" s="129">
        <f t="shared" si="64"/>
        <v>1557</v>
      </c>
      <c r="L844" s="130"/>
      <c r="M844" s="130">
        <f>Table432[[#This Row],[Taxable Amount]]+Table432[[#This Row],[SGST]]+Table432[[#This Row],[CGST]]</f>
        <v>20414</v>
      </c>
      <c r="N844" s="161">
        <f>Table432[[#This Row],[Taxable Amount]]*1%</f>
        <v>173</v>
      </c>
      <c r="O844" s="132"/>
      <c r="P844" s="206">
        <v>20241</v>
      </c>
      <c r="Q844" s="205">
        <v>46142</v>
      </c>
      <c r="R844" s="132" t="s">
        <v>1263</v>
      </c>
      <c r="S844" s="138">
        <f>Table432[[#This Row],[Invoice Amount]]-Table432[[#This Row],[TDS]]-Table432[[#This Row],[RTN]]-Table432[[#This Row],[RECIVED AMOUNT]]</f>
        <v>0</v>
      </c>
      <c r="T844" s="131"/>
      <c r="U844" s="131"/>
      <c r="V844" s="41">
        <f>Table432[[#This Row],[BALANCE]]-Table432[[#This Row],[RECIVED AMOUNT2]]</f>
        <v>0</v>
      </c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</row>
    <row r="845" spans="1:121" s="12" customFormat="1" ht="19.95" customHeight="1">
      <c r="A845" s="128">
        <v>46112</v>
      </c>
      <c r="B845" s="131" t="s">
        <v>1156</v>
      </c>
      <c r="C845" s="131" t="s">
        <v>390</v>
      </c>
      <c r="D845" s="131" t="s">
        <v>391</v>
      </c>
      <c r="E845" s="131" t="s">
        <v>260</v>
      </c>
      <c r="F845" s="136" t="s">
        <v>26</v>
      </c>
      <c r="G845" s="136">
        <v>3808</v>
      </c>
      <c r="H845" s="23">
        <v>0.18</v>
      </c>
      <c r="I845" s="129">
        <v>1205.1600000000001</v>
      </c>
      <c r="J845" s="129">
        <f t="shared" si="63"/>
        <v>108.46440000000001</v>
      </c>
      <c r="K845" s="129">
        <f t="shared" si="64"/>
        <v>108.46440000000001</v>
      </c>
      <c r="L845" s="130"/>
      <c r="M845" s="130">
        <f>Table432[[#This Row],[Taxable Amount]]+Table432[[#This Row],[SGST]]+Table432[[#This Row],[CGST]]</f>
        <v>1422.0888000000002</v>
      </c>
      <c r="N845" s="161">
        <f>Table432[[#This Row],[Taxable Amount]]*1%</f>
        <v>12.051600000000001</v>
      </c>
      <c r="O845" s="132"/>
      <c r="P845" s="135"/>
      <c r="Q845" s="135"/>
      <c r="R845" s="132" t="s">
        <v>1263</v>
      </c>
      <c r="S845" s="138">
        <f>Table432[[#This Row],[Invoice Amount]]-Table432[[#This Row],[TDS]]-Table432[[#This Row],[RTN]]-Table432[[#This Row],[RECIVED AMOUNT]]</f>
        <v>1410.0372000000002</v>
      </c>
      <c r="T845" s="131"/>
      <c r="U845" s="131"/>
      <c r="V845" s="41">
        <f>Table432[[#This Row],[BALANCE]]-Table432[[#This Row],[RECIVED AMOUNT2]]</f>
        <v>1410.0372000000002</v>
      </c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</row>
    <row r="846" spans="1:121" s="12" customFormat="1" ht="19.95" customHeight="1">
      <c r="A846" s="128">
        <v>46112</v>
      </c>
      <c r="B846" s="131" t="s">
        <v>1157</v>
      </c>
      <c r="C846" s="131" t="s">
        <v>390</v>
      </c>
      <c r="D846" s="131" t="s">
        <v>391</v>
      </c>
      <c r="E846" s="131" t="s">
        <v>260</v>
      </c>
      <c r="F846" s="136" t="s">
        <v>26</v>
      </c>
      <c r="G846" s="136">
        <v>3808</v>
      </c>
      <c r="H846" s="23">
        <v>0.18</v>
      </c>
      <c r="I846" s="129">
        <v>1448.35</v>
      </c>
      <c r="J846" s="129">
        <f t="shared" si="63"/>
        <v>130.35149999999999</v>
      </c>
      <c r="K846" s="129">
        <f t="shared" si="64"/>
        <v>130.35149999999999</v>
      </c>
      <c r="L846" s="130"/>
      <c r="M846" s="130">
        <f>Table432[[#This Row],[Taxable Amount]]+Table432[[#This Row],[SGST]]+Table432[[#This Row],[CGST]]</f>
        <v>1709.0529999999999</v>
      </c>
      <c r="N846" s="161">
        <f>Table432[[#This Row],[Taxable Amount]]*1%</f>
        <v>14.483499999999999</v>
      </c>
      <c r="O846" s="132"/>
      <c r="P846" s="135"/>
      <c r="Q846" s="135"/>
      <c r="R846" s="132" t="s">
        <v>1263</v>
      </c>
      <c r="S846" s="138">
        <f>Table432[[#This Row],[Invoice Amount]]-Table432[[#This Row],[TDS]]-Table432[[#This Row],[RTN]]-Table432[[#This Row],[RECIVED AMOUNT]]</f>
        <v>1694.5694999999998</v>
      </c>
      <c r="T846" s="131"/>
      <c r="U846" s="131"/>
      <c r="V846" s="41">
        <f>Table432[[#This Row],[BALANCE]]-Table432[[#This Row],[RECIVED AMOUNT2]]</f>
        <v>1694.5694999999998</v>
      </c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</row>
    <row r="847" spans="1:121" s="12" customFormat="1" ht="19.95" customHeight="1">
      <c r="A847" s="128">
        <v>46112</v>
      </c>
      <c r="B847" s="131" t="s">
        <v>1158</v>
      </c>
      <c r="C847" s="131" t="s">
        <v>390</v>
      </c>
      <c r="D847" s="131" t="s">
        <v>391</v>
      </c>
      <c r="E847" s="131" t="s">
        <v>260</v>
      </c>
      <c r="F847" s="136" t="s">
        <v>26</v>
      </c>
      <c r="G847" s="136">
        <v>3808</v>
      </c>
      <c r="H847" s="23">
        <v>0.18</v>
      </c>
      <c r="I847" s="129">
        <v>2008.6</v>
      </c>
      <c r="J847" s="129">
        <f t="shared" si="63"/>
        <v>180.77399999999997</v>
      </c>
      <c r="K847" s="129">
        <f t="shared" si="64"/>
        <v>180.77399999999997</v>
      </c>
      <c r="L847" s="130"/>
      <c r="M847" s="130">
        <f>Table432[[#This Row],[Taxable Amount]]+Table432[[#This Row],[SGST]]+Table432[[#This Row],[CGST]]</f>
        <v>2370.1479999999997</v>
      </c>
      <c r="N847" s="161">
        <f>Table432[[#This Row],[Taxable Amount]]*1%</f>
        <v>20.085999999999999</v>
      </c>
      <c r="O847" s="132"/>
      <c r="P847" s="135"/>
      <c r="Q847" s="135"/>
      <c r="R847" s="132" t="s">
        <v>1263</v>
      </c>
      <c r="S847" s="138">
        <f>Table432[[#This Row],[Invoice Amount]]-Table432[[#This Row],[TDS]]-Table432[[#This Row],[RTN]]-Table432[[#This Row],[RECIVED AMOUNT]]</f>
        <v>2350.0619999999999</v>
      </c>
      <c r="T847" s="131"/>
      <c r="U847" s="131"/>
      <c r="V847" s="41">
        <f>Table432[[#This Row],[BALANCE]]-Table432[[#This Row],[RECIVED AMOUNT2]]</f>
        <v>2350.0619999999999</v>
      </c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</row>
    <row r="848" spans="1:121" s="12" customFormat="1" ht="19.95" customHeight="1">
      <c r="A848" s="128">
        <v>46112</v>
      </c>
      <c r="B848" s="131" t="s">
        <v>1159</v>
      </c>
      <c r="C848" s="131" t="s">
        <v>390</v>
      </c>
      <c r="D848" s="131" t="s">
        <v>391</v>
      </c>
      <c r="E848" s="131" t="s">
        <v>260</v>
      </c>
      <c r="F848" s="136" t="s">
        <v>26</v>
      </c>
      <c r="G848" s="136">
        <v>3808</v>
      </c>
      <c r="H848" s="23">
        <v>0.18</v>
      </c>
      <c r="I848" s="129">
        <v>1035.8399999999999</v>
      </c>
      <c r="J848" s="129">
        <f t="shared" si="63"/>
        <v>93.2256</v>
      </c>
      <c r="K848" s="129">
        <f t="shared" si="64"/>
        <v>93.2256</v>
      </c>
      <c r="L848" s="130"/>
      <c r="M848" s="130">
        <f>Table432[[#This Row],[Taxable Amount]]+Table432[[#This Row],[SGST]]+Table432[[#This Row],[CGST]]</f>
        <v>1222.2911999999999</v>
      </c>
      <c r="N848" s="161">
        <f>Table432[[#This Row],[Taxable Amount]]*1%</f>
        <v>10.3584</v>
      </c>
      <c r="O848" s="132"/>
      <c r="P848" s="135"/>
      <c r="Q848" s="135"/>
      <c r="R848" s="132" t="s">
        <v>1263</v>
      </c>
      <c r="S848" s="138">
        <f>Table432[[#This Row],[Invoice Amount]]-Table432[[#This Row],[TDS]]-Table432[[#This Row],[RTN]]-Table432[[#This Row],[RECIVED AMOUNT]]</f>
        <v>1211.9327999999998</v>
      </c>
      <c r="T848" s="131"/>
      <c r="U848" s="131"/>
      <c r="V848" s="41">
        <f>Table432[[#This Row],[BALANCE]]-Table432[[#This Row],[RECIVED AMOUNT2]]</f>
        <v>1211.9327999999998</v>
      </c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</row>
    <row r="849" spans="1:121" s="12" customFormat="1" ht="19.95" customHeight="1">
      <c r="A849" s="128">
        <v>46112</v>
      </c>
      <c r="B849" s="131" t="s">
        <v>1167</v>
      </c>
      <c r="C849" s="131" t="s">
        <v>390</v>
      </c>
      <c r="D849" s="131" t="s">
        <v>391</v>
      </c>
      <c r="E849" s="131" t="s">
        <v>260</v>
      </c>
      <c r="F849" s="136" t="s">
        <v>26</v>
      </c>
      <c r="G849" s="136">
        <v>3808</v>
      </c>
      <c r="H849" s="23">
        <v>0.18</v>
      </c>
      <c r="I849" s="129">
        <v>972.76</v>
      </c>
      <c r="J849" s="129">
        <f t="shared" si="63"/>
        <v>87.548400000000001</v>
      </c>
      <c r="K849" s="129">
        <f t="shared" si="64"/>
        <v>87.548400000000001</v>
      </c>
      <c r="L849" s="130"/>
      <c r="M849" s="130">
        <f>Table432[[#This Row],[Taxable Amount]]+Table432[[#This Row],[SGST]]+Table432[[#This Row],[CGST]]</f>
        <v>1147.8567999999998</v>
      </c>
      <c r="N849" s="161">
        <f>Table432[[#This Row],[Taxable Amount]]*1%</f>
        <v>9.7276000000000007</v>
      </c>
      <c r="O849" s="132"/>
      <c r="P849" s="135"/>
      <c r="Q849" s="135"/>
      <c r="R849" s="132" t="s">
        <v>1263</v>
      </c>
      <c r="S849" s="138">
        <f>Table432[[#This Row],[Invoice Amount]]-Table432[[#This Row],[TDS]]-Table432[[#This Row],[RTN]]-Table432[[#This Row],[RECIVED AMOUNT]]</f>
        <v>1138.1291999999999</v>
      </c>
      <c r="T849" s="131"/>
      <c r="U849" s="131"/>
      <c r="V849" s="41">
        <f>Table432[[#This Row],[BALANCE]]-Table432[[#This Row],[RECIVED AMOUNT2]]</f>
        <v>1138.1291999999999</v>
      </c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</row>
    <row r="850" spans="1:121" s="12" customFormat="1" ht="19.95" customHeight="1">
      <c r="A850" s="128">
        <v>46112</v>
      </c>
      <c r="B850" s="131" t="s">
        <v>1168</v>
      </c>
      <c r="C850" s="131" t="s">
        <v>390</v>
      </c>
      <c r="D850" s="131" t="s">
        <v>391</v>
      </c>
      <c r="E850" s="131" t="s">
        <v>260</v>
      </c>
      <c r="F850" s="136" t="s">
        <v>26</v>
      </c>
      <c r="G850" s="136">
        <v>3808</v>
      </c>
      <c r="H850" s="23">
        <v>0.18</v>
      </c>
      <c r="I850" s="129">
        <v>930.43</v>
      </c>
      <c r="J850" s="129">
        <f t="shared" si="63"/>
        <v>83.738699999999994</v>
      </c>
      <c r="K850" s="129">
        <f t="shared" si="64"/>
        <v>83.738699999999994</v>
      </c>
      <c r="L850" s="130"/>
      <c r="M850" s="130">
        <f>Table432[[#This Row],[Taxable Amount]]+Table432[[#This Row],[SGST]]+Table432[[#This Row],[CGST]]</f>
        <v>1097.9074000000001</v>
      </c>
      <c r="N850" s="161">
        <f>Table432[[#This Row],[Taxable Amount]]*1%</f>
        <v>9.3042999999999996</v>
      </c>
      <c r="O850" s="132"/>
      <c r="P850" s="135"/>
      <c r="Q850" s="135"/>
      <c r="R850" s="132" t="s">
        <v>1263</v>
      </c>
      <c r="S850" s="138">
        <f>Table432[[#This Row],[Invoice Amount]]-Table432[[#This Row],[TDS]]-Table432[[#This Row],[RTN]]-Table432[[#This Row],[RECIVED AMOUNT]]</f>
        <v>1088.6031</v>
      </c>
      <c r="T850" s="131"/>
      <c r="U850" s="131"/>
      <c r="V850" s="41">
        <f>Table432[[#This Row],[BALANCE]]-Table432[[#This Row],[RECIVED AMOUNT2]]</f>
        <v>1088.6031</v>
      </c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</row>
    <row r="851" spans="1:121" s="12" customFormat="1" ht="19.95" customHeight="1">
      <c r="A851" s="128">
        <v>46112</v>
      </c>
      <c r="B851" s="131" t="s">
        <v>1169</v>
      </c>
      <c r="C851" s="131" t="s">
        <v>390</v>
      </c>
      <c r="D851" s="131" t="s">
        <v>391</v>
      </c>
      <c r="E851" s="131" t="s">
        <v>260</v>
      </c>
      <c r="F851" s="136" t="s">
        <v>26</v>
      </c>
      <c r="G851" s="136">
        <v>3808</v>
      </c>
      <c r="H851" s="23">
        <v>0.18</v>
      </c>
      <c r="I851" s="129">
        <v>698.86</v>
      </c>
      <c r="J851" s="129">
        <f t="shared" si="63"/>
        <v>62.897399999999998</v>
      </c>
      <c r="K851" s="129">
        <f t="shared" si="64"/>
        <v>62.897399999999998</v>
      </c>
      <c r="L851" s="130"/>
      <c r="M851" s="130">
        <f>Table432[[#This Row],[Taxable Amount]]+Table432[[#This Row],[SGST]]+Table432[[#This Row],[CGST]]</f>
        <v>824.65479999999991</v>
      </c>
      <c r="N851" s="161">
        <f>Table432[[#This Row],[Taxable Amount]]*1%</f>
        <v>6.9885999999999999</v>
      </c>
      <c r="O851" s="132"/>
      <c r="P851" s="135"/>
      <c r="Q851" s="135"/>
      <c r="R851" s="132" t="s">
        <v>1263</v>
      </c>
      <c r="S851" s="138">
        <f>Table432[[#This Row],[Invoice Amount]]-Table432[[#This Row],[TDS]]-Table432[[#This Row],[RTN]]-Table432[[#This Row],[RECIVED AMOUNT]]</f>
        <v>817.66619999999989</v>
      </c>
      <c r="T851" s="131"/>
      <c r="U851" s="131"/>
      <c r="V851" s="41">
        <f>Table432[[#This Row],[BALANCE]]-Table432[[#This Row],[RECIVED AMOUNT2]]</f>
        <v>817.66619999999989</v>
      </c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</row>
    <row r="852" spans="1:121" s="12" customFormat="1" ht="19.95" customHeight="1">
      <c r="A852" s="128">
        <v>46112</v>
      </c>
      <c r="B852" s="131" t="s">
        <v>1170</v>
      </c>
      <c r="C852" s="131" t="s">
        <v>290</v>
      </c>
      <c r="D852" s="131" t="s">
        <v>291</v>
      </c>
      <c r="E852" s="131" t="s">
        <v>25</v>
      </c>
      <c r="F852" s="136" t="s">
        <v>26</v>
      </c>
      <c r="G852" s="136">
        <v>3808</v>
      </c>
      <c r="H852" s="23">
        <v>0.18</v>
      </c>
      <c r="I852" s="129">
        <v>3000</v>
      </c>
      <c r="J852" s="129">
        <f t="shared" si="63"/>
        <v>270</v>
      </c>
      <c r="K852" s="129">
        <f t="shared" si="64"/>
        <v>270</v>
      </c>
      <c r="L852" s="130"/>
      <c r="M852" s="130">
        <f>Table432[[#This Row],[Taxable Amount]]+Table432[[#This Row],[SGST]]+Table432[[#This Row],[CGST]]</f>
        <v>3540</v>
      </c>
      <c r="N852" s="161">
        <f>Table432[[#This Row],[Taxable Amount]]*1%</f>
        <v>30</v>
      </c>
      <c r="O852" s="132"/>
      <c r="P852" s="135">
        <v>3540</v>
      </c>
      <c r="Q852" s="205">
        <v>46132</v>
      </c>
      <c r="R852" s="132" t="s">
        <v>1263</v>
      </c>
      <c r="S852" s="138">
        <f>Table432[[#This Row],[Invoice Amount]]-Table432[[#This Row],[TDS]]-Table432[[#This Row],[RTN]]-Table432[[#This Row],[RECIVED AMOUNT]]</f>
        <v>-30</v>
      </c>
      <c r="T852" s="131"/>
      <c r="U852" s="131"/>
      <c r="V852" s="41">
        <f>Table432[[#This Row],[BALANCE]]-Table432[[#This Row],[RECIVED AMOUNT2]]</f>
        <v>-30</v>
      </c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</row>
    <row r="853" spans="1:121" s="12" customFormat="1" ht="19.95" customHeight="1">
      <c r="A853" s="128">
        <v>46112</v>
      </c>
      <c r="B853" s="131" t="s">
        <v>1171</v>
      </c>
      <c r="C853" s="131" t="s">
        <v>372</v>
      </c>
      <c r="D853" s="131" t="s">
        <v>794</v>
      </c>
      <c r="E853" s="131" t="s">
        <v>374</v>
      </c>
      <c r="F853" s="136" t="s">
        <v>26</v>
      </c>
      <c r="G853" s="136">
        <v>3808</v>
      </c>
      <c r="H853" s="23">
        <v>0.18</v>
      </c>
      <c r="I853" s="129">
        <v>2500</v>
      </c>
      <c r="J853" s="129">
        <f t="shared" si="63"/>
        <v>225</v>
      </c>
      <c r="K853" s="129">
        <f t="shared" si="64"/>
        <v>225</v>
      </c>
      <c r="L853" s="130"/>
      <c r="M853" s="130">
        <f>Table432[[#This Row],[Taxable Amount]]+Table432[[#This Row],[SGST]]+Table432[[#This Row],[CGST]]</f>
        <v>2950</v>
      </c>
      <c r="N853" s="161">
        <f>Table432[[#This Row],[Taxable Amount]]*1%</f>
        <v>25</v>
      </c>
      <c r="O853" s="132"/>
      <c r="P853" s="135">
        <v>2950</v>
      </c>
      <c r="Q853" s="205">
        <v>46119</v>
      </c>
      <c r="R853" s="132" t="s">
        <v>1263</v>
      </c>
      <c r="S853" s="138">
        <f>Table432[[#This Row],[Invoice Amount]]-Table432[[#This Row],[TDS]]-Table432[[#This Row],[RTN]]-Table432[[#This Row],[RECIVED AMOUNT]]</f>
        <v>-25</v>
      </c>
      <c r="T853" s="131"/>
      <c r="U853" s="131"/>
      <c r="V853" s="41">
        <f>Table432[[#This Row],[BALANCE]]-Table432[[#This Row],[RECIVED AMOUNT2]]</f>
        <v>-25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</row>
    <row r="854" spans="1:121" s="12" customFormat="1" ht="19.95" customHeight="1">
      <c r="A854" s="128">
        <v>46112</v>
      </c>
      <c r="B854" s="131" t="s">
        <v>1172</v>
      </c>
      <c r="C854" s="131" t="s">
        <v>372</v>
      </c>
      <c r="D854" s="131" t="s">
        <v>794</v>
      </c>
      <c r="E854" s="131" t="s">
        <v>374</v>
      </c>
      <c r="F854" s="136" t="s">
        <v>26</v>
      </c>
      <c r="G854" s="136">
        <v>3808</v>
      </c>
      <c r="H854" s="23">
        <v>0.18</v>
      </c>
      <c r="I854" s="129">
        <v>1250</v>
      </c>
      <c r="J854" s="129">
        <f t="shared" si="63"/>
        <v>112.5</v>
      </c>
      <c r="K854" s="129">
        <f t="shared" si="64"/>
        <v>112.5</v>
      </c>
      <c r="L854" s="130"/>
      <c r="M854" s="130">
        <f>Table432[[#This Row],[Taxable Amount]]+Table432[[#This Row],[SGST]]+Table432[[#This Row],[CGST]]</f>
        <v>1475</v>
      </c>
      <c r="N854" s="161">
        <f>Table432[[#This Row],[Taxable Amount]]*1%</f>
        <v>12.5</v>
      </c>
      <c r="O854" s="132"/>
      <c r="P854" s="135"/>
      <c r="Q854" s="135"/>
      <c r="R854" s="132" t="s">
        <v>1263</v>
      </c>
      <c r="S854" s="138">
        <f>Table432[[#This Row],[Invoice Amount]]-Table432[[#This Row],[TDS]]-Table432[[#This Row],[RTN]]-Table432[[#This Row],[RECIVED AMOUNT]]</f>
        <v>1462.5</v>
      </c>
      <c r="T854" s="131"/>
      <c r="U854" s="131"/>
      <c r="V854" s="41">
        <f>Table432[[#This Row],[BALANCE]]-Table432[[#This Row],[RECIVED AMOUNT2]]</f>
        <v>1462.5</v>
      </c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</row>
    <row r="855" spans="1:121" s="12" customFormat="1" ht="19.95" customHeight="1">
      <c r="A855" s="128">
        <v>46112</v>
      </c>
      <c r="B855" s="131" t="s">
        <v>1173</v>
      </c>
      <c r="C855" s="131" t="s">
        <v>955</v>
      </c>
      <c r="D855" s="131" t="s">
        <v>205</v>
      </c>
      <c r="E855" s="131" t="s">
        <v>67</v>
      </c>
      <c r="F855" s="136" t="s">
        <v>26</v>
      </c>
      <c r="G855" s="136">
        <v>3808</v>
      </c>
      <c r="H855" s="23">
        <v>0.18</v>
      </c>
      <c r="I855" s="129">
        <v>10000</v>
      </c>
      <c r="J855" s="129">
        <f t="shared" si="63"/>
        <v>900</v>
      </c>
      <c r="K855" s="129">
        <f t="shared" si="64"/>
        <v>900</v>
      </c>
      <c r="L855" s="130"/>
      <c r="M855" s="130">
        <f>Table432[[#This Row],[Taxable Amount]]+Table432[[#This Row],[SGST]]+Table432[[#This Row],[CGST]]</f>
        <v>11800</v>
      </c>
      <c r="N855" s="161">
        <f>Table432[[#This Row],[Taxable Amount]]*1%</f>
        <v>100</v>
      </c>
      <c r="O855" s="132"/>
      <c r="P855" s="135">
        <v>11700</v>
      </c>
      <c r="Q855" s="205">
        <v>46172</v>
      </c>
      <c r="R855" s="132" t="s">
        <v>1263</v>
      </c>
      <c r="S855" s="138">
        <f>Table432[[#This Row],[Invoice Amount]]-Table432[[#This Row],[TDS]]-Table432[[#This Row],[RTN]]-Table432[[#This Row],[RECIVED AMOUNT]]</f>
        <v>0</v>
      </c>
      <c r="T855" s="131"/>
      <c r="U855" s="131"/>
      <c r="V855" s="41">
        <f>Table432[[#This Row],[BALANCE]]-Table432[[#This Row],[RECIVED AMOUNT2]]</f>
        <v>0</v>
      </c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</row>
    <row r="856" spans="1:121" s="12" customFormat="1" ht="19.95" customHeight="1">
      <c r="A856" s="128">
        <v>46112</v>
      </c>
      <c r="B856" s="131" t="s">
        <v>1174</v>
      </c>
      <c r="C856" s="131" t="s">
        <v>981</v>
      </c>
      <c r="D856" s="131" t="s">
        <v>982</v>
      </c>
      <c r="E856" s="131" t="s">
        <v>1053</v>
      </c>
      <c r="F856" s="136" t="s">
        <v>26</v>
      </c>
      <c r="G856" s="136">
        <v>3808</v>
      </c>
      <c r="H856" s="23">
        <v>0.18</v>
      </c>
      <c r="I856" s="129">
        <v>40000</v>
      </c>
      <c r="J856" s="129">
        <f t="shared" si="63"/>
        <v>3600</v>
      </c>
      <c r="K856" s="129">
        <f t="shared" si="64"/>
        <v>3600</v>
      </c>
      <c r="L856" s="130"/>
      <c r="M856" s="130">
        <f>Table432[[#This Row],[Taxable Amount]]+Table432[[#This Row],[SGST]]+Table432[[#This Row],[CGST]]</f>
        <v>47200</v>
      </c>
      <c r="N856" s="161">
        <f>Table432[[#This Row],[Taxable Amount]]*1%</f>
        <v>400</v>
      </c>
      <c r="O856" s="132"/>
      <c r="P856" s="206">
        <v>46800</v>
      </c>
      <c r="Q856" s="205">
        <v>46120</v>
      </c>
      <c r="R856" s="132" t="s">
        <v>1263</v>
      </c>
      <c r="S856" s="138">
        <f>Table432[[#This Row],[Invoice Amount]]-Table432[[#This Row],[TDS]]-Table432[[#This Row],[RTN]]-Table432[[#This Row],[RECIVED AMOUNT]]</f>
        <v>0</v>
      </c>
      <c r="T856" s="131"/>
      <c r="U856" s="131"/>
      <c r="V856" s="41">
        <f>Table432[[#This Row],[BALANCE]]-Table432[[#This Row],[RECIVED AMOUNT2]]</f>
        <v>0</v>
      </c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</row>
    <row r="857" spans="1:121" s="326" customFormat="1" ht="19.95" customHeight="1">
      <c r="A857" s="314">
        <v>46112</v>
      </c>
      <c r="B857" s="315" t="s">
        <v>1175</v>
      </c>
      <c r="C857" s="315" t="s">
        <v>23</v>
      </c>
      <c r="D857" s="315" t="s">
        <v>24</v>
      </c>
      <c r="E857" s="315" t="s">
        <v>25</v>
      </c>
      <c r="F857" s="316" t="s">
        <v>26</v>
      </c>
      <c r="G857" s="316">
        <v>3808</v>
      </c>
      <c r="H857" s="317">
        <v>0.18</v>
      </c>
      <c r="I857" s="318">
        <v>7350</v>
      </c>
      <c r="J857" s="318">
        <f t="shared" si="63"/>
        <v>661.5</v>
      </c>
      <c r="K857" s="318">
        <f t="shared" si="64"/>
        <v>661.5</v>
      </c>
      <c r="L857" s="319"/>
      <c r="M857" s="319">
        <f>Table432[[#This Row],[Taxable Amount]]+Table432[[#This Row],[SGST]]+Table432[[#This Row],[CGST]]</f>
        <v>8673</v>
      </c>
      <c r="N857" s="320">
        <f>Table432[[#This Row],[Taxable Amount]]*1%</f>
        <v>73.5</v>
      </c>
      <c r="O857" s="321"/>
      <c r="P857" s="322"/>
      <c r="Q857" s="322"/>
      <c r="R857" s="132" t="s">
        <v>1263</v>
      </c>
      <c r="S857" s="323">
        <f>Table432[[#This Row],[Invoice Amount]]-Table432[[#This Row],[TDS]]-Table432[[#This Row],[RTN]]-Table432[[#This Row],[RECIVED AMOUNT]]</f>
        <v>8599.5</v>
      </c>
      <c r="T857" s="315"/>
      <c r="U857" s="315"/>
      <c r="V857" s="324">
        <f>Table432[[#This Row],[BALANCE]]-Table432[[#This Row],[RECIVED AMOUNT2]]</f>
        <v>8599.5</v>
      </c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  <c r="AH857" s="325"/>
      <c r="AI857" s="325"/>
      <c r="AJ857" s="325"/>
      <c r="AK857" s="325"/>
      <c r="AL857" s="325"/>
      <c r="AM857" s="325"/>
      <c r="AN857" s="325"/>
      <c r="AO857" s="325"/>
      <c r="AP857" s="325"/>
      <c r="AQ857" s="325"/>
      <c r="AR857" s="325"/>
      <c r="AS857" s="325"/>
      <c r="AT857" s="325"/>
      <c r="AU857" s="325"/>
      <c r="AV857" s="325"/>
      <c r="AW857" s="325"/>
      <c r="AX857" s="325"/>
      <c r="AY857" s="325"/>
      <c r="AZ857" s="325"/>
      <c r="BA857" s="325"/>
      <c r="BB857" s="325"/>
      <c r="BC857" s="325"/>
      <c r="BD857" s="325"/>
      <c r="BE857" s="325"/>
      <c r="BF857" s="325"/>
      <c r="BG857" s="325"/>
      <c r="BH857" s="325"/>
      <c r="BI857" s="325"/>
      <c r="BJ857" s="325"/>
      <c r="BK857" s="325"/>
      <c r="BL857" s="325"/>
      <c r="BM857" s="325"/>
      <c r="BN857" s="325"/>
      <c r="BO857" s="325"/>
      <c r="BP857" s="325"/>
      <c r="BQ857" s="325"/>
      <c r="BR857" s="325"/>
      <c r="BS857" s="325"/>
      <c r="BT857" s="325"/>
      <c r="BU857" s="325"/>
      <c r="BV857" s="325"/>
      <c r="BW857" s="325"/>
      <c r="BX857" s="325"/>
      <c r="BY857" s="325"/>
      <c r="BZ857" s="325"/>
      <c r="CA857" s="325"/>
      <c r="CB857" s="325"/>
      <c r="CC857" s="325"/>
      <c r="CD857" s="325"/>
      <c r="CE857" s="325"/>
      <c r="CF857" s="325"/>
      <c r="CG857" s="325"/>
      <c r="CH857" s="325"/>
      <c r="CI857" s="325"/>
      <c r="CJ857" s="325"/>
      <c r="CK857" s="325"/>
      <c r="CL857" s="325"/>
      <c r="CM857" s="325"/>
      <c r="CN857" s="325"/>
      <c r="CO857" s="325"/>
      <c r="CP857" s="325"/>
      <c r="CQ857" s="325"/>
      <c r="CR857" s="325"/>
      <c r="CS857" s="325"/>
      <c r="CT857" s="325"/>
      <c r="CU857" s="325"/>
      <c r="CV857" s="325"/>
      <c r="CW857" s="325"/>
      <c r="CX857" s="325"/>
      <c r="CY857" s="325"/>
      <c r="CZ857" s="325"/>
      <c r="DA857" s="325"/>
      <c r="DB857" s="325"/>
      <c r="DC857" s="325"/>
      <c r="DD857" s="325"/>
      <c r="DE857" s="325"/>
      <c r="DF857" s="325"/>
      <c r="DG857" s="325"/>
      <c r="DH857" s="325"/>
      <c r="DI857" s="325"/>
      <c r="DJ857" s="325"/>
      <c r="DK857" s="325"/>
      <c r="DL857" s="325"/>
      <c r="DM857" s="325"/>
      <c r="DN857" s="325"/>
      <c r="DO857" s="325"/>
      <c r="DP857" s="325"/>
      <c r="DQ857" s="325"/>
    </row>
    <row r="858" spans="1:121" s="12" customFormat="1" ht="19.95" customHeight="1">
      <c r="A858" s="128">
        <v>46112</v>
      </c>
      <c r="B858" s="131" t="s">
        <v>1176</v>
      </c>
      <c r="C858" s="131" t="s">
        <v>444</v>
      </c>
      <c r="D858" s="131" t="s">
        <v>445</v>
      </c>
      <c r="E858" s="131" t="s">
        <v>232</v>
      </c>
      <c r="F858" s="136" t="s">
        <v>26</v>
      </c>
      <c r="G858" s="136">
        <v>3808</v>
      </c>
      <c r="H858" s="23">
        <v>0.18</v>
      </c>
      <c r="I858" s="129">
        <v>3750</v>
      </c>
      <c r="J858" s="129">
        <f t="shared" si="63"/>
        <v>337.5</v>
      </c>
      <c r="K858" s="129">
        <f t="shared" si="64"/>
        <v>337.5</v>
      </c>
      <c r="L858" s="130"/>
      <c r="M858" s="130">
        <f>Table432[[#This Row],[Taxable Amount]]+Table432[[#This Row],[SGST]]+Table432[[#This Row],[CGST]]</f>
        <v>4425</v>
      </c>
      <c r="N858" s="161">
        <f>Table432[[#This Row],[Taxable Amount]]*1%</f>
        <v>37.5</v>
      </c>
      <c r="O858" s="132"/>
      <c r="P858" s="135"/>
      <c r="Q858" s="135"/>
      <c r="R858" s="132" t="s">
        <v>1263</v>
      </c>
      <c r="S858" s="138">
        <f>Table432[[#This Row],[Invoice Amount]]-Table432[[#This Row],[TDS]]-Table432[[#This Row],[RTN]]-Table432[[#This Row],[RECIVED AMOUNT]]</f>
        <v>4387.5</v>
      </c>
      <c r="T858" s="131"/>
      <c r="U858" s="131"/>
      <c r="V858" s="41">
        <f>Table432[[#This Row],[BALANCE]]-Table432[[#This Row],[RECIVED AMOUNT2]]</f>
        <v>4387.5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</row>
    <row r="859" spans="1:121" s="12" customFormat="1" ht="19.95" customHeight="1">
      <c r="A859" s="128">
        <v>46112</v>
      </c>
      <c r="B859" s="131" t="s">
        <v>1177</v>
      </c>
      <c r="C859" s="131" t="s">
        <v>567</v>
      </c>
      <c r="D859" s="7" t="s">
        <v>568</v>
      </c>
      <c r="E859" s="131" t="s">
        <v>232</v>
      </c>
      <c r="F859" s="136" t="s">
        <v>26</v>
      </c>
      <c r="G859" s="136">
        <v>3808</v>
      </c>
      <c r="H859" s="23">
        <v>0.18</v>
      </c>
      <c r="I859" s="129">
        <v>3000</v>
      </c>
      <c r="J859" s="129">
        <f t="shared" si="63"/>
        <v>270</v>
      </c>
      <c r="K859" s="129">
        <f t="shared" si="64"/>
        <v>270</v>
      </c>
      <c r="L859" s="130"/>
      <c r="M859" s="130">
        <f>Table432[[#This Row],[Taxable Amount]]+Table432[[#This Row],[SGST]]+Table432[[#This Row],[CGST]]</f>
        <v>3540</v>
      </c>
      <c r="N859" s="161">
        <f>Table432[[#This Row],[Taxable Amount]]*1%</f>
        <v>30</v>
      </c>
      <c r="O859" s="132"/>
      <c r="P859" s="135"/>
      <c r="Q859" s="135"/>
      <c r="R859" s="132" t="s">
        <v>1263</v>
      </c>
      <c r="S859" s="138">
        <f>Table432[[#This Row],[Invoice Amount]]-Table432[[#This Row],[TDS]]-Table432[[#This Row],[RTN]]-Table432[[#This Row],[RECIVED AMOUNT]]</f>
        <v>3510</v>
      </c>
      <c r="T859" s="131"/>
      <c r="U859" s="131"/>
      <c r="V859" s="41">
        <f>Table432[[#This Row],[BALANCE]]-Table432[[#This Row],[RECIVED AMOUNT2]]</f>
        <v>3510</v>
      </c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</row>
    <row r="860" spans="1:121" s="326" customFormat="1" ht="19.95" customHeight="1">
      <c r="A860" s="314">
        <v>46112</v>
      </c>
      <c r="B860" s="315" t="s">
        <v>1178</v>
      </c>
      <c r="C860" s="315" t="s">
        <v>883</v>
      </c>
      <c r="D860" s="315" t="s">
        <v>884</v>
      </c>
      <c r="E860" s="315" t="s">
        <v>89</v>
      </c>
      <c r="F860" s="316" t="s">
        <v>26</v>
      </c>
      <c r="G860" s="316">
        <v>3808</v>
      </c>
      <c r="H860" s="317">
        <v>0.18</v>
      </c>
      <c r="I860" s="318">
        <v>1666.5</v>
      </c>
      <c r="J860" s="318">
        <f t="shared" si="63"/>
        <v>149.98500000000001</v>
      </c>
      <c r="K860" s="318">
        <f t="shared" si="64"/>
        <v>149.98500000000001</v>
      </c>
      <c r="L860" s="319"/>
      <c r="M860" s="319">
        <f>Table432[[#This Row],[Taxable Amount]]+Table432[[#This Row],[SGST]]+Table432[[#This Row],[CGST]]</f>
        <v>1966.4700000000003</v>
      </c>
      <c r="N860" s="320">
        <f>Table432[[#This Row],[Taxable Amount]]*1%</f>
        <v>16.664999999999999</v>
      </c>
      <c r="O860" s="321"/>
      <c r="P860" s="322" t="s">
        <v>54</v>
      </c>
      <c r="Q860" s="465" t="s">
        <v>1334</v>
      </c>
      <c r="R860" s="321" t="s">
        <v>1263</v>
      </c>
      <c r="S860" s="323" t="e">
        <f>Table432[[#This Row],[Invoice Amount]]-Table432[[#This Row],[TDS]]-Table432[[#This Row],[RTN]]-Table432[[#This Row],[RECIVED AMOUNT]]</f>
        <v>#VALUE!</v>
      </c>
      <c r="T860" s="315"/>
      <c r="U860" s="315"/>
      <c r="V860" s="324" t="e">
        <f>Table432[[#This Row],[BALANCE]]-Table432[[#This Row],[RECIVED AMOUNT2]]</f>
        <v>#VALUE!</v>
      </c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  <c r="AH860" s="325"/>
      <c r="AI860" s="325"/>
      <c r="AJ860" s="325"/>
      <c r="AK860" s="325"/>
      <c r="AL860" s="325"/>
      <c r="AM860" s="325"/>
      <c r="AN860" s="325"/>
      <c r="AO860" s="325"/>
      <c r="AP860" s="325"/>
      <c r="AQ860" s="325"/>
      <c r="AR860" s="325"/>
      <c r="AS860" s="325"/>
      <c r="AT860" s="325"/>
      <c r="AU860" s="325"/>
      <c r="AV860" s="325"/>
      <c r="AW860" s="325"/>
      <c r="AX860" s="325"/>
      <c r="AY860" s="325"/>
      <c r="AZ860" s="325"/>
      <c r="BA860" s="325"/>
      <c r="BB860" s="325"/>
      <c r="BC860" s="325"/>
      <c r="BD860" s="325"/>
      <c r="BE860" s="325"/>
      <c r="BF860" s="325"/>
      <c r="BG860" s="325"/>
      <c r="BH860" s="325"/>
      <c r="BI860" s="325"/>
      <c r="BJ860" s="325"/>
      <c r="BK860" s="325"/>
      <c r="BL860" s="325"/>
      <c r="BM860" s="325"/>
      <c r="BN860" s="325"/>
      <c r="BO860" s="325"/>
      <c r="BP860" s="325"/>
      <c r="BQ860" s="325"/>
      <c r="BR860" s="325"/>
      <c r="BS860" s="325"/>
      <c r="BT860" s="325"/>
      <c r="BU860" s="325"/>
      <c r="BV860" s="325"/>
      <c r="BW860" s="325"/>
      <c r="BX860" s="325"/>
      <c r="BY860" s="325"/>
      <c r="BZ860" s="325"/>
      <c r="CA860" s="325"/>
      <c r="CB860" s="325"/>
      <c r="CC860" s="325"/>
      <c r="CD860" s="325"/>
      <c r="CE860" s="325"/>
      <c r="CF860" s="325"/>
      <c r="CG860" s="325"/>
      <c r="CH860" s="325"/>
      <c r="CI860" s="325"/>
      <c r="CJ860" s="325"/>
      <c r="CK860" s="325"/>
      <c r="CL860" s="325"/>
      <c r="CM860" s="325"/>
      <c r="CN860" s="325"/>
      <c r="CO860" s="325"/>
      <c r="CP860" s="325"/>
      <c r="CQ860" s="325"/>
      <c r="CR860" s="325"/>
      <c r="CS860" s="325"/>
      <c r="CT860" s="325"/>
      <c r="CU860" s="325"/>
      <c r="CV860" s="325"/>
      <c r="CW860" s="325"/>
      <c r="CX860" s="325"/>
      <c r="CY860" s="325"/>
      <c r="CZ860" s="325"/>
      <c r="DA860" s="325"/>
      <c r="DB860" s="325"/>
      <c r="DC860" s="325"/>
      <c r="DD860" s="325"/>
      <c r="DE860" s="325"/>
      <c r="DF860" s="325"/>
      <c r="DG860" s="325"/>
      <c r="DH860" s="325"/>
      <c r="DI860" s="325"/>
      <c r="DJ860" s="325"/>
      <c r="DK860" s="325"/>
      <c r="DL860" s="325"/>
      <c r="DM860" s="325"/>
      <c r="DN860" s="325"/>
      <c r="DO860" s="325"/>
      <c r="DP860" s="325"/>
      <c r="DQ860" s="325"/>
    </row>
    <row r="861" spans="1:121" s="326" customFormat="1" ht="19.95" customHeight="1">
      <c r="A861" s="314">
        <v>46112</v>
      </c>
      <c r="B861" s="315" t="s">
        <v>1179</v>
      </c>
      <c r="C861" s="315" t="s">
        <v>883</v>
      </c>
      <c r="D861" s="315" t="s">
        <v>884</v>
      </c>
      <c r="E861" s="315" t="s">
        <v>89</v>
      </c>
      <c r="F861" s="316" t="s">
        <v>26</v>
      </c>
      <c r="G861" s="316">
        <v>3808</v>
      </c>
      <c r="H861" s="317">
        <v>0.18</v>
      </c>
      <c r="I861" s="318">
        <v>1666.5</v>
      </c>
      <c r="J861" s="318">
        <f t="shared" si="63"/>
        <v>149.98500000000001</v>
      </c>
      <c r="K861" s="318">
        <f t="shared" si="64"/>
        <v>149.98500000000001</v>
      </c>
      <c r="L861" s="319"/>
      <c r="M861" s="319">
        <f>Table432[[#This Row],[Taxable Amount]]+Table432[[#This Row],[SGST]]+Table432[[#This Row],[CGST]]</f>
        <v>1966.4700000000003</v>
      </c>
      <c r="N861" s="320">
        <f>Table432[[#This Row],[Taxable Amount]]*1%</f>
        <v>16.664999999999999</v>
      </c>
      <c r="O861" s="321"/>
      <c r="P861" s="322" t="s">
        <v>54</v>
      </c>
      <c r="Q861" s="465" t="s">
        <v>1334</v>
      </c>
      <c r="R861" s="321" t="s">
        <v>1263</v>
      </c>
      <c r="S861" s="323" t="e">
        <f>Table432[[#This Row],[Invoice Amount]]-Table432[[#This Row],[TDS]]-Table432[[#This Row],[RTN]]-Table432[[#This Row],[RECIVED AMOUNT]]</f>
        <v>#VALUE!</v>
      </c>
      <c r="T861" s="315"/>
      <c r="U861" s="315"/>
      <c r="V861" s="324" t="e">
        <f>Table432[[#This Row],[BALANCE]]-Table432[[#This Row],[RECIVED AMOUNT2]]</f>
        <v>#VALUE!</v>
      </c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  <c r="AH861" s="325"/>
      <c r="AI861" s="325"/>
      <c r="AJ861" s="325"/>
      <c r="AK861" s="325"/>
      <c r="AL861" s="325"/>
      <c r="AM861" s="325"/>
      <c r="AN861" s="325"/>
      <c r="AO861" s="325"/>
      <c r="AP861" s="325"/>
      <c r="AQ861" s="325"/>
      <c r="AR861" s="325"/>
      <c r="AS861" s="325"/>
      <c r="AT861" s="325"/>
      <c r="AU861" s="325"/>
      <c r="AV861" s="325"/>
      <c r="AW861" s="325"/>
      <c r="AX861" s="325"/>
      <c r="AY861" s="325"/>
      <c r="AZ861" s="325"/>
      <c r="BA861" s="325"/>
      <c r="BB861" s="325"/>
      <c r="BC861" s="325"/>
      <c r="BD861" s="325"/>
      <c r="BE861" s="325"/>
      <c r="BF861" s="325"/>
      <c r="BG861" s="325"/>
      <c r="BH861" s="325"/>
      <c r="BI861" s="325"/>
      <c r="BJ861" s="325"/>
      <c r="BK861" s="325"/>
      <c r="BL861" s="325"/>
      <c r="BM861" s="325"/>
      <c r="BN861" s="325"/>
      <c r="BO861" s="325"/>
      <c r="BP861" s="325"/>
      <c r="BQ861" s="325"/>
      <c r="BR861" s="325"/>
      <c r="BS861" s="325"/>
      <c r="BT861" s="325"/>
      <c r="BU861" s="325"/>
      <c r="BV861" s="325"/>
      <c r="BW861" s="325"/>
      <c r="BX861" s="325"/>
      <c r="BY861" s="325"/>
      <c r="BZ861" s="325"/>
      <c r="CA861" s="325"/>
      <c r="CB861" s="325"/>
      <c r="CC861" s="325"/>
      <c r="CD861" s="325"/>
      <c r="CE861" s="325"/>
      <c r="CF861" s="325"/>
      <c r="CG861" s="325"/>
      <c r="CH861" s="325"/>
      <c r="CI861" s="325"/>
      <c r="CJ861" s="325"/>
      <c r="CK861" s="325"/>
      <c r="CL861" s="325"/>
      <c r="CM861" s="325"/>
      <c r="CN861" s="325"/>
      <c r="CO861" s="325"/>
      <c r="CP861" s="325"/>
      <c r="CQ861" s="325"/>
      <c r="CR861" s="325"/>
      <c r="CS861" s="325"/>
      <c r="CT861" s="325"/>
      <c r="CU861" s="325"/>
      <c r="CV861" s="325"/>
      <c r="CW861" s="325"/>
      <c r="CX861" s="325"/>
      <c r="CY861" s="325"/>
      <c r="CZ861" s="325"/>
      <c r="DA861" s="325"/>
      <c r="DB861" s="325"/>
      <c r="DC861" s="325"/>
      <c r="DD861" s="325"/>
      <c r="DE861" s="325"/>
      <c r="DF861" s="325"/>
      <c r="DG861" s="325"/>
      <c r="DH861" s="325"/>
      <c r="DI861" s="325"/>
      <c r="DJ861" s="325"/>
      <c r="DK861" s="325"/>
      <c r="DL861" s="325"/>
      <c r="DM861" s="325"/>
      <c r="DN861" s="325"/>
      <c r="DO861" s="325"/>
      <c r="DP861" s="325"/>
      <c r="DQ861" s="325"/>
    </row>
    <row r="862" spans="1:121" s="326" customFormat="1" ht="19.95" customHeight="1">
      <c r="A862" s="314">
        <v>46112</v>
      </c>
      <c r="B862" s="315" t="s">
        <v>1180</v>
      </c>
      <c r="C862" s="315" t="s">
        <v>883</v>
      </c>
      <c r="D862" s="315" t="s">
        <v>884</v>
      </c>
      <c r="E862" s="315" t="s">
        <v>89</v>
      </c>
      <c r="F862" s="316" t="s">
        <v>26</v>
      </c>
      <c r="G862" s="316">
        <v>3808</v>
      </c>
      <c r="H862" s="317">
        <v>0.18</v>
      </c>
      <c r="I862" s="318">
        <v>1666.5</v>
      </c>
      <c r="J862" s="318">
        <f t="shared" si="63"/>
        <v>149.98500000000001</v>
      </c>
      <c r="K862" s="318">
        <f t="shared" si="64"/>
        <v>149.98500000000001</v>
      </c>
      <c r="L862" s="319"/>
      <c r="M862" s="319">
        <f>Table432[[#This Row],[Taxable Amount]]+Table432[[#This Row],[SGST]]+Table432[[#This Row],[CGST]]</f>
        <v>1966.4700000000003</v>
      </c>
      <c r="N862" s="320">
        <f>Table432[[#This Row],[Taxable Amount]]*1%</f>
        <v>16.664999999999999</v>
      </c>
      <c r="O862" s="321"/>
      <c r="P862" s="322" t="s">
        <v>54</v>
      </c>
      <c r="Q862" s="465" t="s">
        <v>1334</v>
      </c>
      <c r="R862" s="321" t="s">
        <v>1263</v>
      </c>
      <c r="S862" s="323" t="e">
        <f>Table432[[#This Row],[Invoice Amount]]-Table432[[#This Row],[TDS]]-Table432[[#This Row],[RTN]]-Table432[[#This Row],[RECIVED AMOUNT]]</f>
        <v>#VALUE!</v>
      </c>
      <c r="T862" s="315"/>
      <c r="U862" s="315"/>
      <c r="V862" s="324" t="e">
        <f>Table432[[#This Row],[BALANCE]]-Table432[[#This Row],[RECIVED AMOUNT2]]</f>
        <v>#VALUE!</v>
      </c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  <c r="AH862" s="325"/>
      <c r="AI862" s="325"/>
      <c r="AJ862" s="325"/>
      <c r="AK862" s="325"/>
      <c r="AL862" s="325"/>
      <c r="AM862" s="325"/>
      <c r="AN862" s="325"/>
      <c r="AO862" s="325"/>
      <c r="AP862" s="325"/>
      <c r="AQ862" s="325"/>
      <c r="AR862" s="325"/>
      <c r="AS862" s="325"/>
      <c r="AT862" s="325"/>
      <c r="AU862" s="325"/>
      <c r="AV862" s="325"/>
      <c r="AW862" s="325"/>
      <c r="AX862" s="325"/>
      <c r="AY862" s="325"/>
      <c r="AZ862" s="325"/>
      <c r="BA862" s="325"/>
      <c r="BB862" s="325"/>
      <c r="BC862" s="325"/>
      <c r="BD862" s="325"/>
      <c r="BE862" s="325"/>
      <c r="BF862" s="325"/>
      <c r="BG862" s="325"/>
      <c r="BH862" s="325"/>
      <c r="BI862" s="325"/>
      <c r="BJ862" s="325"/>
      <c r="BK862" s="325"/>
      <c r="BL862" s="325"/>
      <c r="BM862" s="325"/>
      <c r="BN862" s="325"/>
      <c r="BO862" s="325"/>
      <c r="BP862" s="325"/>
      <c r="BQ862" s="325"/>
      <c r="BR862" s="325"/>
      <c r="BS862" s="325"/>
      <c r="BT862" s="325"/>
      <c r="BU862" s="325"/>
      <c r="BV862" s="325"/>
      <c r="BW862" s="325"/>
      <c r="BX862" s="325"/>
      <c r="BY862" s="325"/>
      <c r="BZ862" s="325"/>
      <c r="CA862" s="325"/>
      <c r="CB862" s="325"/>
      <c r="CC862" s="325"/>
      <c r="CD862" s="325"/>
      <c r="CE862" s="325"/>
      <c r="CF862" s="325"/>
      <c r="CG862" s="325"/>
      <c r="CH862" s="325"/>
      <c r="CI862" s="325"/>
      <c r="CJ862" s="325"/>
      <c r="CK862" s="325"/>
      <c r="CL862" s="325"/>
      <c r="CM862" s="325"/>
      <c r="CN862" s="325"/>
      <c r="CO862" s="325"/>
      <c r="CP862" s="325"/>
      <c r="CQ862" s="325"/>
      <c r="CR862" s="325"/>
      <c r="CS862" s="325"/>
      <c r="CT862" s="325"/>
      <c r="CU862" s="325"/>
      <c r="CV862" s="325"/>
      <c r="CW862" s="325"/>
      <c r="CX862" s="325"/>
      <c r="CY862" s="325"/>
      <c r="CZ862" s="325"/>
      <c r="DA862" s="325"/>
      <c r="DB862" s="325"/>
      <c r="DC862" s="325"/>
      <c r="DD862" s="325"/>
      <c r="DE862" s="325"/>
      <c r="DF862" s="325"/>
      <c r="DG862" s="325"/>
      <c r="DH862" s="325"/>
      <c r="DI862" s="325"/>
      <c r="DJ862" s="325"/>
      <c r="DK862" s="325"/>
      <c r="DL862" s="325"/>
      <c r="DM862" s="325"/>
      <c r="DN862" s="325"/>
      <c r="DO862" s="325"/>
      <c r="DP862" s="325"/>
      <c r="DQ862" s="325"/>
    </row>
    <row r="863" spans="1:121" s="12" customFormat="1" ht="19.95" customHeight="1">
      <c r="A863" s="128">
        <v>46112</v>
      </c>
      <c r="B863" s="131" t="s">
        <v>1181</v>
      </c>
      <c r="C863" s="131" t="s">
        <v>885</v>
      </c>
      <c r="D863" s="131" t="s">
        <v>886</v>
      </c>
      <c r="E863" s="131" t="s">
        <v>59</v>
      </c>
      <c r="F863" s="136" t="s">
        <v>26</v>
      </c>
      <c r="G863" s="136">
        <v>3808</v>
      </c>
      <c r="H863" s="23">
        <v>0.18</v>
      </c>
      <c r="I863" s="129">
        <v>2200</v>
      </c>
      <c r="J863" s="129">
        <f t="shared" si="63"/>
        <v>198</v>
      </c>
      <c r="K863" s="129">
        <f t="shared" si="64"/>
        <v>198</v>
      </c>
      <c r="L863" s="130"/>
      <c r="M863" s="130">
        <f>Table432[[#This Row],[Taxable Amount]]+Table432[[#This Row],[SGST]]+Table432[[#This Row],[CGST]]</f>
        <v>2596</v>
      </c>
      <c r="N863" s="161"/>
      <c r="O863" s="132"/>
      <c r="P863" s="206">
        <v>15000</v>
      </c>
      <c r="Q863" s="205">
        <v>46172</v>
      </c>
      <c r="R863" s="132" t="s">
        <v>1263</v>
      </c>
      <c r="S863" s="138">
        <f>Table432[[#This Row],[Invoice Amount]]-Table432[[#This Row],[TDS]]-Table432[[#This Row],[RTN]]-Table432[[#This Row],[RECIVED AMOUNT]]</f>
        <v>-12404</v>
      </c>
      <c r="T863" s="131"/>
      <c r="U863" s="131"/>
      <c r="V863" s="41">
        <f>Table432[[#This Row],[BALANCE]]-Table432[[#This Row],[RECIVED AMOUNT2]]</f>
        <v>-12404</v>
      </c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</row>
    <row r="864" spans="1:121" s="12" customFormat="1" ht="19.95" customHeight="1">
      <c r="A864" s="128">
        <v>46112</v>
      </c>
      <c r="B864" s="131" t="s">
        <v>1182</v>
      </c>
      <c r="C864" s="131" t="s">
        <v>1185</v>
      </c>
      <c r="D864" s="131" t="s">
        <v>1186</v>
      </c>
      <c r="E864" s="131" t="s">
        <v>36</v>
      </c>
      <c r="F864" s="136" t="s">
        <v>26</v>
      </c>
      <c r="G864" s="136">
        <v>3808</v>
      </c>
      <c r="H864" s="23">
        <v>0.18</v>
      </c>
      <c r="I864" s="129">
        <v>4400</v>
      </c>
      <c r="J864" s="129">
        <f t="shared" si="63"/>
        <v>396</v>
      </c>
      <c r="K864" s="129">
        <f t="shared" si="64"/>
        <v>396</v>
      </c>
      <c r="L864" s="130"/>
      <c r="M864" s="130">
        <f>Table432[[#This Row],[Taxable Amount]]+Table432[[#This Row],[SGST]]+Table432[[#This Row],[CGST]]</f>
        <v>5192</v>
      </c>
      <c r="N864" s="161">
        <f>Table432[[#This Row],[Taxable Amount]]*1%</f>
        <v>44</v>
      </c>
      <c r="O864" s="132"/>
      <c r="P864" s="135"/>
      <c r="Q864" s="135"/>
      <c r="R864" s="132" t="s">
        <v>1263</v>
      </c>
      <c r="S864" s="138">
        <f>Table432[[#This Row],[Invoice Amount]]-Table432[[#This Row],[TDS]]-Table432[[#This Row],[RTN]]-Table432[[#This Row],[RECIVED AMOUNT]]</f>
        <v>5148</v>
      </c>
      <c r="T864" s="131"/>
      <c r="U864" s="131"/>
      <c r="V864" s="41">
        <f>Table432[[#This Row],[BALANCE]]-Table432[[#This Row],[RECIVED AMOUNT2]]</f>
        <v>5148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</row>
    <row r="865" spans="1:121" s="12" customFormat="1" ht="19.95" customHeight="1">
      <c r="A865" s="128">
        <v>46112</v>
      </c>
      <c r="B865" s="131" t="s">
        <v>1183</v>
      </c>
      <c r="C865" s="131" t="s">
        <v>1187</v>
      </c>
      <c r="D865" s="131" t="s">
        <v>1188</v>
      </c>
      <c r="E865" s="131" t="s">
        <v>44</v>
      </c>
      <c r="F865" s="136" t="s">
        <v>26</v>
      </c>
      <c r="G865" s="136">
        <v>3808</v>
      </c>
      <c r="H865" s="23">
        <v>0.18</v>
      </c>
      <c r="I865" s="129">
        <v>1750</v>
      </c>
      <c r="J865" s="129">
        <f t="shared" si="63"/>
        <v>157.5</v>
      </c>
      <c r="K865" s="129">
        <f t="shared" si="64"/>
        <v>157.5</v>
      </c>
      <c r="L865" s="130"/>
      <c r="M865" s="130">
        <f>Table432[[#This Row],[Taxable Amount]]+Table432[[#This Row],[SGST]]+Table432[[#This Row],[CGST]]</f>
        <v>2065</v>
      </c>
      <c r="N865" s="161">
        <f>Table432[[#This Row],[Taxable Amount]]*1%</f>
        <v>17.5</v>
      </c>
      <c r="O865" s="132"/>
      <c r="P865" s="135"/>
      <c r="Q865" s="205">
        <v>46114</v>
      </c>
      <c r="R865" s="132" t="s">
        <v>1263</v>
      </c>
      <c r="S865" s="138">
        <f>Table432[[#This Row],[Invoice Amount]]-Table432[[#This Row],[TDS]]-Table432[[#This Row],[RTN]]-Table432[[#This Row],[RECIVED AMOUNT]]</f>
        <v>2047.5</v>
      </c>
      <c r="T865" s="131"/>
      <c r="U865" s="131"/>
      <c r="V865" s="41">
        <f>Table432[[#This Row],[BALANCE]]-Table432[[#This Row],[RECIVED AMOUNT2]]</f>
        <v>2047.5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</row>
    <row r="866" spans="1:121" s="12" customFormat="1" ht="19.95" customHeight="1">
      <c r="A866" s="128">
        <v>46112</v>
      </c>
      <c r="B866" s="131" t="s">
        <v>1184</v>
      </c>
      <c r="C866" s="131" t="s">
        <v>1187</v>
      </c>
      <c r="D866" s="131" t="s">
        <v>1188</v>
      </c>
      <c r="E866" s="131" t="s">
        <v>44</v>
      </c>
      <c r="F866" s="136" t="s">
        <v>26</v>
      </c>
      <c r="G866" s="136">
        <v>3808</v>
      </c>
      <c r="H866" s="23">
        <v>0.18</v>
      </c>
      <c r="I866" s="129">
        <v>1750</v>
      </c>
      <c r="J866" s="129">
        <f t="shared" si="63"/>
        <v>157.5</v>
      </c>
      <c r="K866" s="129">
        <f t="shared" si="64"/>
        <v>157.5</v>
      </c>
      <c r="L866" s="130"/>
      <c r="M866" s="130">
        <f>Table432[[#This Row],[Taxable Amount]]+Table432[[#This Row],[SGST]]+Table432[[#This Row],[CGST]]</f>
        <v>2065</v>
      </c>
      <c r="N866" s="161">
        <f>Table432[[#This Row],[Taxable Amount]]*1%</f>
        <v>17.5</v>
      </c>
      <c r="O866" s="132"/>
      <c r="P866" s="135">
        <v>4094</v>
      </c>
      <c r="Q866" s="205">
        <v>46114</v>
      </c>
      <c r="R866" s="132" t="s">
        <v>1263</v>
      </c>
      <c r="S866" s="138">
        <f>Table432[[#This Row],[Invoice Amount]]-Table432[[#This Row],[TDS]]-Table432[[#This Row],[RTN]]-Table432[[#This Row],[RECIVED AMOUNT]]</f>
        <v>-2046.5</v>
      </c>
      <c r="T866" s="131"/>
      <c r="U866" s="131"/>
      <c r="V866" s="41">
        <f>Table432[[#This Row],[BALANCE]]-Table432[[#This Row],[RECIVED AMOUNT2]]</f>
        <v>-2046.5</v>
      </c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</row>
    <row r="867" spans="1:121" s="12" customFormat="1" ht="19.95" customHeight="1">
      <c r="A867" s="128">
        <v>46118</v>
      </c>
      <c r="B867" s="131" t="s">
        <v>1197</v>
      </c>
      <c r="C867" s="131" t="s">
        <v>173</v>
      </c>
      <c r="D867" s="131" t="s">
        <v>174</v>
      </c>
      <c r="E867" s="131" t="s">
        <v>62</v>
      </c>
      <c r="F867" s="136" t="s">
        <v>26</v>
      </c>
      <c r="G867" s="136">
        <v>3808</v>
      </c>
      <c r="H867" s="23">
        <v>0.18</v>
      </c>
      <c r="I867" s="129">
        <v>2200</v>
      </c>
      <c r="J867" s="129">
        <f t="shared" si="63"/>
        <v>198</v>
      </c>
      <c r="K867" s="129">
        <f t="shared" si="64"/>
        <v>198</v>
      </c>
      <c r="L867" s="130"/>
      <c r="M867" s="130">
        <f>Table432[[#This Row],[Taxable Amount]]+Table432[[#This Row],[SGST]]+Table432[[#This Row],[CGST]]</f>
        <v>2596</v>
      </c>
      <c r="N867" s="161">
        <f>Table432[[#This Row],[Taxable Amount]]*1%</f>
        <v>22</v>
      </c>
      <c r="O867" s="132"/>
      <c r="P867" s="135"/>
      <c r="Q867" s="135"/>
      <c r="R867" s="132" t="s">
        <v>1264</v>
      </c>
      <c r="S867" s="138">
        <f>Table432[[#This Row],[Invoice Amount]]-Table432[[#This Row],[TDS]]-Table432[[#This Row],[RTN]]-Table432[[#This Row],[RECIVED AMOUNT]]</f>
        <v>2574</v>
      </c>
      <c r="T867" s="131"/>
      <c r="U867" s="131"/>
      <c r="V867" s="41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</row>
    <row r="868" spans="1:121" s="12" customFormat="1" ht="19.95" customHeight="1">
      <c r="A868" s="128">
        <v>46118</v>
      </c>
      <c r="B868" s="131" t="s">
        <v>1198</v>
      </c>
      <c r="C868" s="131" t="s">
        <v>674</v>
      </c>
      <c r="D868" s="131" t="s">
        <v>675</v>
      </c>
      <c r="E868" s="131" t="s">
        <v>676</v>
      </c>
      <c r="F868" s="136" t="s">
        <v>26</v>
      </c>
      <c r="G868" s="136">
        <v>3808</v>
      </c>
      <c r="H868" s="23">
        <v>0.18</v>
      </c>
      <c r="I868" s="129">
        <v>9600</v>
      </c>
      <c r="J868" s="129">
        <f t="shared" si="63"/>
        <v>864</v>
      </c>
      <c r="K868" s="129">
        <f t="shared" si="64"/>
        <v>864</v>
      </c>
      <c r="L868" s="130"/>
      <c r="M868" s="130">
        <f>Table432[[#This Row],[Taxable Amount]]+Table432[[#This Row],[SGST]]+Table432[[#This Row],[CGST]]</f>
        <v>11328</v>
      </c>
      <c r="N868" s="161">
        <f>Table432[[#This Row],[Taxable Amount]]*1%</f>
        <v>96</v>
      </c>
      <c r="O868" s="132"/>
      <c r="P868" s="206">
        <v>11232</v>
      </c>
      <c r="Q868" s="205">
        <v>46210</v>
      </c>
      <c r="R868" s="132" t="s">
        <v>1264</v>
      </c>
      <c r="S868" s="138">
        <f>Table432[[#This Row],[Invoice Amount]]-Table432[[#This Row],[TDS]]-Table432[[#This Row],[RTN]]-Table432[[#This Row],[RECIVED AMOUNT]]</f>
        <v>0</v>
      </c>
      <c r="T868" s="131"/>
      <c r="U868" s="131"/>
      <c r="V868" s="41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</row>
    <row r="869" spans="1:121" s="12" customFormat="1" ht="19.95" customHeight="1">
      <c r="A869" s="128">
        <v>46118</v>
      </c>
      <c r="B869" s="131" t="s">
        <v>1199</v>
      </c>
      <c r="C869" s="131" t="s">
        <v>674</v>
      </c>
      <c r="D869" s="131" t="s">
        <v>675</v>
      </c>
      <c r="E869" s="131" t="s">
        <v>678</v>
      </c>
      <c r="F869" s="136" t="s">
        <v>26</v>
      </c>
      <c r="G869" s="136">
        <v>3808</v>
      </c>
      <c r="H869" s="23">
        <v>0.18</v>
      </c>
      <c r="I869" s="129">
        <v>4900</v>
      </c>
      <c r="J869" s="129">
        <f t="shared" si="63"/>
        <v>441</v>
      </c>
      <c r="K869" s="129">
        <f t="shared" si="64"/>
        <v>441</v>
      </c>
      <c r="L869" s="130"/>
      <c r="M869" s="130">
        <f>Table432[[#This Row],[Taxable Amount]]+Table432[[#This Row],[SGST]]+Table432[[#This Row],[CGST]]</f>
        <v>5782</v>
      </c>
      <c r="N869" s="161">
        <f>Table432[[#This Row],[Taxable Amount]]*1%</f>
        <v>49</v>
      </c>
      <c r="O869" s="132"/>
      <c r="P869" s="135"/>
      <c r="Q869" s="135"/>
      <c r="R869" s="132" t="s">
        <v>1264</v>
      </c>
      <c r="S869" s="138">
        <f>Table432[[#This Row],[Invoice Amount]]-Table432[[#This Row],[TDS]]-Table432[[#This Row],[RTN]]-Table432[[#This Row],[RECIVED AMOUNT]]</f>
        <v>5733</v>
      </c>
      <c r="T869" s="131"/>
      <c r="U869" s="131"/>
      <c r="V869" s="41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</row>
    <row r="870" spans="1:121" s="12" customFormat="1" ht="19.95" customHeight="1">
      <c r="A870" s="128">
        <v>46118</v>
      </c>
      <c r="B870" s="131" t="s">
        <v>1200</v>
      </c>
      <c r="C870" s="131" t="s">
        <v>674</v>
      </c>
      <c r="D870" s="131" t="s">
        <v>675</v>
      </c>
      <c r="E870" s="131" t="s">
        <v>684</v>
      </c>
      <c r="F870" s="136" t="s">
        <v>26</v>
      </c>
      <c r="G870" s="136">
        <v>3808</v>
      </c>
      <c r="H870" s="23">
        <v>0.18</v>
      </c>
      <c r="I870" s="129">
        <v>2150</v>
      </c>
      <c r="J870" s="129">
        <f t="shared" si="63"/>
        <v>193.5</v>
      </c>
      <c r="K870" s="129">
        <f t="shared" si="64"/>
        <v>193.5</v>
      </c>
      <c r="L870" s="130"/>
      <c r="M870" s="130">
        <f>Table432[[#This Row],[Taxable Amount]]+Table432[[#This Row],[SGST]]+Table432[[#This Row],[CGST]]</f>
        <v>2537</v>
      </c>
      <c r="N870" s="161">
        <f>Table432[[#This Row],[Taxable Amount]]*1%</f>
        <v>21.5</v>
      </c>
      <c r="O870" s="132"/>
      <c r="P870" s="135"/>
      <c r="Q870" s="135"/>
      <c r="R870" s="132" t="s">
        <v>1264</v>
      </c>
      <c r="S870" s="138">
        <f>Table432[[#This Row],[Invoice Amount]]-Table432[[#This Row],[TDS]]-Table432[[#This Row],[RTN]]-Table432[[#This Row],[RECIVED AMOUNT]]</f>
        <v>2515.5</v>
      </c>
      <c r="T870" s="131"/>
      <c r="U870" s="131"/>
      <c r="V870" s="41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</row>
    <row r="871" spans="1:121" s="12" customFormat="1" ht="19.95" customHeight="1">
      <c r="A871" s="128">
        <v>46118</v>
      </c>
      <c r="B871" s="131" t="s">
        <v>1201</v>
      </c>
      <c r="C871" s="131" t="s">
        <v>674</v>
      </c>
      <c r="D871" s="131" t="s">
        <v>675</v>
      </c>
      <c r="E871" s="131" t="s">
        <v>811</v>
      </c>
      <c r="F871" s="136" t="s">
        <v>26</v>
      </c>
      <c r="G871" s="136">
        <v>3808</v>
      </c>
      <c r="H871" s="23">
        <v>0.18</v>
      </c>
      <c r="I871" s="129">
        <v>9000</v>
      </c>
      <c r="J871" s="129">
        <f t="shared" si="63"/>
        <v>810</v>
      </c>
      <c r="K871" s="129">
        <f t="shared" si="64"/>
        <v>810</v>
      </c>
      <c r="L871" s="130"/>
      <c r="M871" s="130">
        <f>Table432[[#This Row],[Taxable Amount]]+Table432[[#This Row],[SGST]]+Table432[[#This Row],[CGST]]</f>
        <v>10620</v>
      </c>
      <c r="N871" s="161">
        <f>Table432[[#This Row],[Taxable Amount]]*1%</f>
        <v>90</v>
      </c>
      <c r="O871" s="132"/>
      <c r="P871" s="135"/>
      <c r="Q871" s="135"/>
      <c r="R871" s="132" t="s">
        <v>1264</v>
      </c>
      <c r="S871" s="138">
        <f>Table432[[#This Row],[Invoice Amount]]-Table432[[#This Row],[TDS]]-Table432[[#This Row],[RTN]]-Table432[[#This Row],[RECIVED AMOUNT]]</f>
        <v>10530</v>
      </c>
      <c r="T871" s="131"/>
      <c r="U871" s="131"/>
      <c r="V871" s="4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</row>
    <row r="872" spans="1:121" s="12" customFormat="1" ht="19.95" customHeight="1">
      <c r="A872" s="128">
        <v>46118</v>
      </c>
      <c r="B872" s="131" t="s">
        <v>1202</v>
      </c>
      <c r="C872" s="131" t="s">
        <v>674</v>
      </c>
      <c r="D872" s="131" t="s">
        <v>675</v>
      </c>
      <c r="E872" s="131" t="s">
        <v>956</v>
      </c>
      <c r="F872" s="136" t="s">
        <v>26</v>
      </c>
      <c r="G872" s="136">
        <v>3808</v>
      </c>
      <c r="H872" s="23">
        <v>0.18</v>
      </c>
      <c r="I872" s="129">
        <v>2100</v>
      </c>
      <c r="J872" s="129">
        <f t="shared" si="63"/>
        <v>189</v>
      </c>
      <c r="K872" s="129">
        <f t="shared" si="64"/>
        <v>189</v>
      </c>
      <c r="L872" s="130"/>
      <c r="M872" s="130">
        <f>Table432[[#This Row],[Taxable Amount]]+Table432[[#This Row],[SGST]]+Table432[[#This Row],[CGST]]</f>
        <v>2478</v>
      </c>
      <c r="N872" s="161">
        <f>Table432[[#This Row],[Taxable Amount]]*1%</f>
        <v>21</v>
      </c>
      <c r="O872" s="132"/>
      <c r="P872" s="135"/>
      <c r="Q872" s="135"/>
      <c r="R872" s="132" t="s">
        <v>1264</v>
      </c>
      <c r="S872" s="138">
        <f>Table432[[#This Row],[Invoice Amount]]-Table432[[#This Row],[TDS]]-Table432[[#This Row],[RTN]]-Table432[[#This Row],[RECIVED AMOUNT]]</f>
        <v>2457</v>
      </c>
      <c r="T872" s="131"/>
      <c r="U872" s="131"/>
      <c r="V872" s="41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</row>
    <row r="873" spans="1:121" s="12" customFormat="1" ht="19.95" customHeight="1">
      <c r="A873" s="128">
        <v>46118</v>
      </c>
      <c r="B873" s="131" t="s">
        <v>1203</v>
      </c>
      <c r="C873" s="131" t="s">
        <v>674</v>
      </c>
      <c r="D873" s="131" t="s">
        <v>675</v>
      </c>
      <c r="E873" s="131" t="s">
        <v>815</v>
      </c>
      <c r="F873" s="136" t="s">
        <v>26</v>
      </c>
      <c r="G873" s="136">
        <v>3808</v>
      </c>
      <c r="H873" s="23">
        <v>0.18</v>
      </c>
      <c r="I873" s="129">
        <v>450</v>
      </c>
      <c r="J873" s="129">
        <f t="shared" si="63"/>
        <v>40.5</v>
      </c>
      <c r="K873" s="129">
        <f t="shared" si="64"/>
        <v>40.5</v>
      </c>
      <c r="L873" s="130"/>
      <c r="M873" s="130">
        <f>Table432[[#This Row],[Taxable Amount]]+Table432[[#This Row],[SGST]]+Table432[[#This Row],[CGST]]</f>
        <v>531</v>
      </c>
      <c r="N873" s="161">
        <f>Table432[[#This Row],[Taxable Amount]]*1%</f>
        <v>4.5</v>
      </c>
      <c r="O873" s="132"/>
      <c r="P873" s="135"/>
      <c r="Q873" s="135"/>
      <c r="R873" s="132" t="s">
        <v>1264</v>
      </c>
      <c r="S873" s="138">
        <f>Table432[[#This Row],[Invoice Amount]]-Table432[[#This Row],[TDS]]-Table432[[#This Row],[RTN]]-Table432[[#This Row],[RECIVED AMOUNT]]</f>
        <v>526.5</v>
      </c>
      <c r="T873" s="131"/>
      <c r="U873" s="131"/>
      <c r="V873" s="41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</row>
    <row r="874" spans="1:121" s="12" customFormat="1" ht="19.95" customHeight="1">
      <c r="A874" s="128">
        <v>46118</v>
      </c>
      <c r="B874" s="131" t="s">
        <v>1204</v>
      </c>
      <c r="C874" s="131" t="s">
        <v>674</v>
      </c>
      <c r="D874" s="131" t="s">
        <v>675</v>
      </c>
      <c r="E874" s="131" t="s">
        <v>813</v>
      </c>
      <c r="F874" s="136" t="s">
        <v>26</v>
      </c>
      <c r="G874" s="136">
        <v>3808</v>
      </c>
      <c r="H874" s="23">
        <v>0.18</v>
      </c>
      <c r="I874" s="129">
        <v>4200</v>
      </c>
      <c r="J874" s="129">
        <f t="shared" ref="J874:J881" si="65">I874*9/100</f>
        <v>378</v>
      </c>
      <c r="K874" s="129">
        <f t="shared" ref="K874:K881" si="66">I874*9/100</f>
        <v>378</v>
      </c>
      <c r="L874" s="130"/>
      <c r="M874" s="130">
        <f>Table432[[#This Row],[Taxable Amount]]+Table432[[#This Row],[SGST]]+Table432[[#This Row],[CGST]]</f>
        <v>4956</v>
      </c>
      <c r="N874" s="161">
        <f>Table432[[#This Row],[Taxable Amount]]*1%</f>
        <v>42</v>
      </c>
      <c r="O874" s="132"/>
      <c r="P874" s="135"/>
      <c r="Q874" s="135"/>
      <c r="R874" s="132" t="s">
        <v>1264</v>
      </c>
      <c r="S874" s="138">
        <f>Table432[[#This Row],[Invoice Amount]]-Table432[[#This Row],[TDS]]-Table432[[#This Row],[RTN]]-Table432[[#This Row],[RECIVED AMOUNT]]</f>
        <v>4914</v>
      </c>
      <c r="T874" s="131"/>
      <c r="U874" s="131"/>
      <c r="V874" s="41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</row>
    <row r="875" spans="1:121" s="12" customFormat="1" ht="19.95" customHeight="1">
      <c r="A875" s="128">
        <v>46118</v>
      </c>
      <c r="B875" s="131" t="s">
        <v>1205</v>
      </c>
      <c r="C875" s="131" t="s">
        <v>674</v>
      </c>
      <c r="D875" s="131" t="s">
        <v>675</v>
      </c>
      <c r="E875" s="131" t="s">
        <v>716</v>
      </c>
      <c r="F875" s="136" t="s">
        <v>26</v>
      </c>
      <c r="G875" s="136">
        <v>3808</v>
      </c>
      <c r="H875" s="23">
        <v>0.18</v>
      </c>
      <c r="I875" s="129">
        <v>2800</v>
      </c>
      <c r="J875" s="129">
        <f t="shared" si="65"/>
        <v>252</v>
      </c>
      <c r="K875" s="129">
        <f t="shared" si="66"/>
        <v>252</v>
      </c>
      <c r="L875" s="130"/>
      <c r="M875" s="130">
        <f>Table432[[#This Row],[Taxable Amount]]+Table432[[#This Row],[SGST]]+Table432[[#This Row],[CGST]]</f>
        <v>3304</v>
      </c>
      <c r="N875" s="161">
        <f>Table432[[#This Row],[Taxable Amount]]*1%</f>
        <v>28</v>
      </c>
      <c r="O875" s="132"/>
      <c r="P875" s="135"/>
      <c r="Q875" s="135"/>
      <c r="R875" s="132" t="s">
        <v>1264</v>
      </c>
      <c r="S875" s="138">
        <f>Table432[[#This Row],[Invoice Amount]]-Table432[[#This Row],[TDS]]-Table432[[#This Row],[RTN]]-Table432[[#This Row],[RECIVED AMOUNT]]</f>
        <v>3276</v>
      </c>
      <c r="T875" s="131"/>
      <c r="U875" s="131"/>
      <c r="V875" s="41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</row>
    <row r="876" spans="1:121" s="12" customFormat="1" ht="19.95" customHeight="1">
      <c r="A876" s="128">
        <v>46118</v>
      </c>
      <c r="B876" s="131" t="s">
        <v>1206</v>
      </c>
      <c r="C876" s="163" t="s">
        <v>23</v>
      </c>
      <c r="D876" s="131" t="s">
        <v>24</v>
      </c>
      <c r="E876" s="131" t="s">
        <v>25</v>
      </c>
      <c r="F876" s="136" t="s">
        <v>26</v>
      </c>
      <c r="G876" s="136">
        <v>3808</v>
      </c>
      <c r="H876" s="23">
        <v>0.18</v>
      </c>
      <c r="I876" s="129">
        <v>7350</v>
      </c>
      <c r="J876" s="129">
        <f t="shared" si="65"/>
        <v>661.5</v>
      </c>
      <c r="K876" s="129">
        <f t="shared" si="66"/>
        <v>661.5</v>
      </c>
      <c r="L876" s="130"/>
      <c r="M876" s="130">
        <f>Table432[[#This Row],[Taxable Amount]]+Table432[[#This Row],[SGST]]+Table432[[#This Row],[CGST]]</f>
        <v>8673</v>
      </c>
      <c r="N876" s="161">
        <f>Table432[[#This Row],[Taxable Amount]]*1%</f>
        <v>73.5</v>
      </c>
      <c r="O876" s="132"/>
      <c r="P876" s="135">
        <v>39312</v>
      </c>
      <c r="Q876" s="205">
        <v>46158</v>
      </c>
      <c r="R876" s="132" t="s">
        <v>1264</v>
      </c>
      <c r="S876" s="138">
        <f>Table432[[#This Row],[Invoice Amount]]-Table432[[#This Row],[TDS]]-Table432[[#This Row],[RTN]]-Table432[[#This Row],[RECIVED AMOUNT]]</f>
        <v>-30712.5</v>
      </c>
      <c r="T876" s="131"/>
      <c r="U876" s="131"/>
      <c r="V876" s="41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</row>
    <row r="877" spans="1:121" s="12" customFormat="1" ht="19.95" customHeight="1">
      <c r="A877" s="128">
        <v>46118</v>
      </c>
      <c r="B877" s="131" t="s">
        <v>1207</v>
      </c>
      <c r="C877" s="131" t="s">
        <v>396</v>
      </c>
      <c r="D877" s="131" t="s">
        <v>397</v>
      </c>
      <c r="E877" s="131" t="s">
        <v>260</v>
      </c>
      <c r="F877" s="136" t="s">
        <v>26</v>
      </c>
      <c r="G877" s="136">
        <v>3808</v>
      </c>
      <c r="H877" s="23">
        <v>0.18</v>
      </c>
      <c r="I877" s="129">
        <v>5000</v>
      </c>
      <c r="J877" s="129">
        <f t="shared" si="65"/>
        <v>450</v>
      </c>
      <c r="K877" s="129">
        <f t="shared" si="66"/>
        <v>450</v>
      </c>
      <c r="L877" s="130"/>
      <c r="M877" s="130">
        <f>Table432[[#This Row],[Taxable Amount]]+Table432[[#This Row],[SGST]]+Table432[[#This Row],[CGST]]</f>
        <v>5900</v>
      </c>
      <c r="N877" s="161">
        <f>Table432[[#This Row],[Taxable Amount]]*1%</f>
        <v>50</v>
      </c>
      <c r="O877" s="132"/>
      <c r="P877" s="135"/>
      <c r="Q877" s="135"/>
      <c r="R877" s="132" t="s">
        <v>1264</v>
      </c>
      <c r="S877" s="138">
        <f>Table432[[#This Row],[Invoice Amount]]-Table432[[#This Row],[TDS]]-Table432[[#This Row],[RTN]]-Table432[[#This Row],[RECIVED AMOUNT]]</f>
        <v>5850</v>
      </c>
      <c r="T877" s="131"/>
      <c r="U877" s="131"/>
      <c r="V877" s="41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</row>
    <row r="878" spans="1:121" s="12" customFormat="1" ht="19.95" customHeight="1">
      <c r="A878" s="128">
        <v>46118</v>
      </c>
      <c r="B878" s="131" t="s">
        <v>1220</v>
      </c>
      <c r="C878" s="163" t="s">
        <v>607</v>
      </c>
      <c r="D878" s="163" t="s">
        <v>675</v>
      </c>
      <c r="E878" s="163" t="s">
        <v>59</v>
      </c>
      <c r="F878" s="137" t="s">
        <v>26</v>
      </c>
      <c r="G878" s="136">
        <v>3808</v>
      </c>
      <c r="H878" s="23">
        <v>0.18</v>
      </c>
      <c r="I878" s="129">
        <v>30330</v>
      </c>
      <c r="J878" s="129">
        <f>I878*9/100</f>
        <v>2729.7</v>
      </c>
      <c r="K878" s="129">
        <f>I878*9/100</f>
        <v>2729.7</v>
      </c>
      <c r="L878" s="130"/>
      <c r="M878" s="130">
        <f>Table432[[#This Row],[Taxable Amount]]+Table432[[#This Row],[SGST]]+Table432[[#This Row],[CGST]]</f>
        <v>35789.399999999994</v>
      </c>
      <c r="N878" s="161">
        <f>Table432[[#This Row],[Taxable Amount]]*1%</f>
        <v>303.3</v>
      </c>
      <c r="O878" s="132"/>
      <c r="P878" s="135">
        <v>35183</v>
      </c>
      <c r="Q878" s="205">
        <v>46121</v>
      </c>
      <c r="R878" s="132" t="s">
        <v>1264</v>
      </c>
      <c r="S878" s="313">
        <f>Table432[[#This Row],[Invoice Amount]]-Table432[[#This Row],[TDS]]-Table432[[#This Row],[RECIVED AMOUNT]]</f>
        <v>303.09999999999127</v>
      </c>
      <c r="T878" s="131"/>
      <c r="U878" s="131"/>
      <c r="V878" s="129">
        <f>Table432[[#This Row],[BALANCE]]-Table432[[#This Row],[RECIVED AMOUNT2]]</f>
        <v>303.09999999999127</v>
      </c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</row>
    <row r="879" spans="1:121" s="12" customFormat="1" ht="19.95" customHeight="1">
      <c r="A879" s="128">
        <v>46123</v>
      </c>
      <c r="B879" s="131" t="s">
        <v>1208</v>
      </c>
      <c r="C879" s="131" t="s">
        <v>396</v>
      </c>
      <c r="D879" s="131" t="s">
        <v>397</v>
      </c>
      <c r="E879" s="131" t="s">
        <v>260</v>
      </c>
      <c r="F879" s="136" t="s">
        <v>37</v>
      </c>
      <c r="G879" s="136">
        <v>3808</v>
      </c>
      <c r="H879" s="23">
        <v>0.18</v>
      </c>
      <c r="I879" s="129">
        <v>14000</v>
      </c>
      <c r="J879" s="129">
        <f t="shared" si="65"/>
        <v>1260</v>
      </c>
      <c r="K879" s="129">
        <f t="shared" si="66"/>
        <v>1260</v>
      </c>
      <c r="L879" s="130"/>
      <c r="M879" s="130">
        <f>Table432[[#This Row],[Taxable Amount]]+Table432[[#This Row],[SGST]]+Table432[[#This Row],[CGST]]</f>
        <v>16520</v>
      </c>
      <c r="N879" s="161">
        <f>Table432[[#This Row],[Taxable Amount]]*1%</f>
        <v>140</v>
      </c>
      <c r="O879" s="132"/>
      <c r="P879" s="135"/>
      <c r="Q879" s="135"/>
      <c r="R879" s="132" t="s">
        <v>1264</v>
      </c>
      <c r="S879" s="138">
        <f>Table432[[#This Row],[Invoice Amount]]-Table432[[#This Row],[TDS]]-Table432[[#This Row],[RTN]]-Table432[[#This Row],[RECIVED AMOUNT]]</f>
        <v>16380</v>
      </c>
      <c r="T879" s="131"/>
      <c r="U879" s="131"/>
      <c r="V879" s="41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</row>
    <row r="880" spans="1:121" s="12" customFormat="1" ht="19.95" customHeight="1">
      <c r="A880" s="128">
        <v>46126</v>
      </c>
      <c r="B880" s="131" t="s">
        <v>1209</v>
      </c>
      <c r="C880" s="131" t="s">
        <v>518</v>
      </c>
      <c r="D880" s="131" t="s">
        <v>519</v>
      </c>
      <c r="E880" s="131" t="s">
        <v>520</v>
      </c>
      <c r="F880" s="136" t="s">
        <v>37</v>
      </c>
      <c r="G880" s="136">
        <v>3808</v>
      </c>
      <c r="H880" s="23">
        <v>0.18</v>
      </c>
      <c r="I880" s="129">
        <v>28553</v>
      </c>
      <c r="J880" s="129">
        <f t="shared" si="65"/>
        <v>2569.77</v>
      </c>
      <c r="K880" s="129">
        <f t="shared" si="66"/>
        <v>2569.77</v>
      </c>
      <c r="L880" s="130"/>
      <c r="M880" s="130">
        <f>Table432[[#This Row],[Taxable Amount]]+Table432[[#This Row],[SGST]]+Table432[[#This Row],[CGST]]</f>
        <v>33692.54</v>
      </c>
      <c r="N880" s="161">
        <f>Table432[[#This Row],[Taxable Amount]]*1%</f>
        <v>285.53000000000003</v>
      </c>
      <c r="O880" s="132"/>
      <c r="P880" s="206">
        <v>33407</v>
      </c>
      <c r="Q880" s="205">
        <v>46146</v>
      </c>
      <c r="R880" s="132" t="s">
        <v>1264</v>
      </c>
      <c r="S880" s="138">
        <f>Table432[[#This Row],[Invoice Amount]]-Table432[[#This Row],[TDS]]-Table432[[#This Row],[RTN]]-Table432[[#This Row],[RECIVED AMOUNT]]</f>
        <v>1.0000000002037268E-2</v>
      </c>
      <c r="T880" s="131"/>
      <c r="U880" s="131"/>
      <c r="V880" s="41">
        <f>Table432[[#This Row],[BALANCE]]-Table432[[#This Row],[RECIVED AMOUNT2]]</f>
        <v>1.0000000002037268E-2</v>
      </c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</row>
    <row r="881" spans="1:121" s="12" customFormat="1" ht="19.95" customHeight="1">
      <c r="A881" s="128">
        <v>46127</v>
      </c>
      <c r="B881" s="131" t="s">
        <v>1210</v>
      </c>
      <c r="C881" s="131" t="s">
        <v>116</v>
      </c>
      <c r="D881" s="131" t="s">
        <v>117</v>
      </c>
      <c r="E881" s="131" t="s">
        <v>59</v>
      </c>
      <c r="F881" s="136" t="s">
        <v>37</v>
      </c>
      <c r="G881" s="136">
        <v>3808</v>
      </c>
      <c r="H881" s="23">
        <v>0.18</v>
      </c>
      <c r="I881" s="129">
        <v>15464.42</v>
      </c>
      <c r="J881" s="129">
        <f t="shared" si="65"/>
        <v>1391.7978000000001</v>
      </c>
      <c r="K881" s="129">
        <f t="shared" si="66"/>
        <v>1391.7978000000001</v>
      </c>
      <c r="L881" s="130"/>
      <c r="M881" s="130">
        <f>Table432[[#This Row],[Taxable Amount]]+Table432[[#This Row],[SGST]]+Table432[[#This Row],[CGST]]</f>
        <v>18248.015599999999</v>
      </c>
      <c r="N881" s="161">
        <f>Table432[[#This Row],[Taxable Amount]]*1%</f>
        <v>154.64420000000001</v>
      </c>
      <c r="O881" s="132"/>
      <c r="P881" s="206">
        <v>18093</v>
      </c>
      <c r="Q881" s="205">
        <v>46146</v>
      </c>
      <c r="R881" s="132" t="s">
        <v>1264</v>
      </c>
      <c r="S881" s="138">
        <f>Table432[[#This Row],[Invoice Amount]]-Table432[[#This Row],[TDS]]-Table432[[#This Row],[RTN]]-Table432[[#This Row],[RECIVED AMOUNT]]</f>
        <v>0.37139999999999418</v>
      </c>
      <c r="T881" s="131"/>
      <c r="U881" s="131"/>
      <c r="V881" s="41">
        <f>Table432[[#This Row],[BALANCE]]-Table432[[#This Row],[RECIVED AMOUNT2]]</f>
        <v>0.37139999999999418</v>
      </c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</row>
    <row r="882" spans="1:121" s="12" customFormat="1" ht="19.95" customHeight="1">
      <c r="A882" s="128">
        <v>46127</v>
      </c>
      <c r="B882" s="131" t="s">
        <v>1211</v>
      </c>
      <c r="C882" s="131" t="s">
        <v>1102</v>
      </c>
      <c r="D882" s="131" t="s">
        <v>1103</v>
      </c>
      <c r="E882" s="131" t="s">
        <v>67</v>
      </c>
      <c r="F882" s="136" t="s">
        <v>37</v>
      </c>
      <c r="G882" s="136">
        <v>3808</v>
      </c>
      <c r="H882" s="23">
        <v>0.18</v>
      </c>
      <c r="I882" s="129">
        <v>28575</v>
      </c>
      <c r="J882" s="129">
        <f t="shared" ref="J882:J909" si="67">I882*9/100</f>
        <v>2571.75</v>
      </c>
      <c r="K882" s="129">
        <f t="shared" ref="K882:K909" si="68">I882*9/100</f>
        <v>2571.75</v>
      </c>
      <c r="L882" s="130"/>
      <c r="M882" s="130">
        <f>Table432[[#This Row],[Taxable Amount]]+Table432[[#This Row],[SGST]]+Table432[[#This Row],[CGST]]</f>
        <v>33718.5</v>
      </c>
      <c r="N882" s="161">
        <f>Table432[[#This Row],[Taxable Amount]]*1%</f>
        <v>285.75</v>
      </c>
      <c r="O882" s="132"/>
      <c r="P882" s="135">
        <v>31718</v>
      </c>
      <c r="Q882" s="205">
        <v>46157</v>
      </c>
      <c r="R882" s="132" t="s">
        <v>1264</v>
      </c>
      <c r="S882" s="138">
        <f>Table432[[#This Row],[Invoice Amount]]-Table432[[#This Row],[TDS]]-Table432[[#This Row],[RTN]]-Table432[[#This Row],[RECIVED AMOUNT]]</f>
        <v>1714.75</v>
      </c>
      <c r="T882" s="131"/>
      <c r="U882" s="131"/>
      <c r="V882" s="41">
        <f>Table432[[#This Row],[BALANCE]]-Table432[[#This Row],[RECIVED AMOUNT2]]</f>
        <v>1714.75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</row>
    <row r="883" spans="1:121" s="12" customFormat="1" ht="19.95" customHeight="1">
      <c r="A883" s="128">
        <v>46136</v>
      </c>
      <c r="B883" s="131" t="s">
        <v>1212</v>
      </c>
      <c r="C883" s="131" t="s">
        <v>319</v>
      </c>
      <c r="D883" s="131" t="s">
        <v>320</v>
      </c>
      <c r="E883" s="131" t="s">
        <v>59</v>
      </c>
      <c r="F883" s="136" t="s">
        <v>26</v>
      </c>
      <c r="G883" s="136">
        <v>3808</v>
      </c>
      <c r="H883" s="23">
        <v>0.18</v>
      </c>
      <c r="I883" s="129">
        <v>27450</v>
      </c>
      <c r="J883" s="129">
        <f t="shared" si="67"/>
        <v>2470.5</v>
      </c>
      <c r="K883" s="129">
        <f t="shared" si="68"/>
        <v>2470.5</v>
      </c>
      <c r="L883" s="130"/>
      <c r="M883" s="130">
        <f>Table432[[#This Row],[Taxable Amount]]+Table432[[#This Row],[SGST]]+Table432[[#This Row],[CGST]]</f>
        <v>32391</v>
      </c>
      <c r="N883" s="161">
        <f>Table432[[#This Row],[Taxable Amount]]*1%</f>
        <v>274.5</v>
      </c>
      <c r="O883" s="132"/>
      <c r="P883" s="135"/>
      <c r="Q883" s="135"/>
      <c r="R883" s="132" t="s">
        <v>1264</v>
      </c>
      <c r="S883" s="138">
        <f>Table432[[#This Row],[Invoice Amount]]-Table432[[#This Row],[TDS]]-Table432[[#This Row],[RTN]]-Table432[[#This Row],[RECIVED AMOUNT]]</f>
        <v>32116.5</v>
      </c>
      <c r="T883" s="131"/>
      <c r="U883" s="131"/>
      <c r="V883" s="41">
        <f>Table432[[#This Row],[BALANCE]]-Table432[[#This Row],[RECIVED AMOUNT2]]</f>
        <v>32116.5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</row>
    <row r="884" spans="1:121" s="325" customFormat="1" ht="19.95" customHeight="1">
      <c r="A884" s="314">
        <v>46137</v>
      </c>
      <c r="B884" s="315" t="s">
        <v>1213</v>
      </c>
      <c r="C884" s="315" t="s">
        <v>637</v>
      </c>
      <c r="D884" s="315" t="s">
        <v>638</v>
      </c>
      <c r="E884" s="315" t="s">
        <v>629</v>
      </c>
      <c r="F884" s="316" t="s">
        <v>26</v>
      </c>
      <c r="G884" s="316">
        <v>3808</v>
      </c>
      <c r="H884" s="317">
        <v>0.18</v>
      </c>
      <c r="I884" s="318">
        <v>12400</v>
      </c>
      <c r="J884" s="318">
        <f t="shared" si="67"/>
        <v>1116</v>
      </c>
      <c r="K884" s="318">
        <f t="shared" si="68"/>
        <v>1116</v>
      </c>
      <c r="L884" s="319"/>
      <c r="M884" s="319">
        <f>Table432[[#This Row],[Taxable Amount]]+Table432[[#This Row],[SGST]]+Table432[[#This Row],[CGST]]</f>
        <v>14632</v>
      </c>
      <c r="N884" s="320">
        <f>Table432[[#This Row],[Taxable Amount]]*1%</f>
        <v>124</v>
      </c>
      <c r="O884" s="321"/>
      <c r="P884" s="322"/>
      <c r="Q884" s="322"/>
      <c r="R884" s="321" t="s">
        <v>1264</v>
      </c>
      <c r="S884" s="323">
        <f>Table432[[#This Row],[Invoice Amount]]-Table432[[#This Row],[TDS]]-Table432[[#This Row],[RTN]]-Table432[[#This Row],[RECIVED AMOUNT]]</f>
        <v>14508</v>
      </c>
      <c r="T884" s="315"/>
      <c r="U884" s="315"/>
      <c r="V884" s="324">
        <f>Table432[[#This Row],[BALANCE]]-Table432[[#This Row],[RECIVED AMOUNT2]]</f>
        <v>14508</v>
      </c>
    </row>
    <row r="885" spans="1:121" s="247" customFormat="1" ht="19.95" customHeight="1">
      <c r="A885" s="293">
        <v>46137</v>
      </c>
      <c r="B885" s="235" t="s">
        <v>1214</v>
      </c>
      <c r="C885" s="235" t="s">
        <v>42</v>
      </c>
      <c r="D885" s="235" t="s">
        <v>730</v>
      </c>
      <c r="E885" s="235" t="s">
        <v>953</v>
      </c>
      <c r="F885" s="236" t="s">
        <v>26</v>
      </c>
      <c r="G885" s="236">
        <v>3808</v>
      </c>
      <c r="H885" s="237">
        <v>0.18</v>
      </c>
      <c r="I885" s="238">
        <v>15610</v>
      </c>
      <c r="J885" s="238">
        <f t="shared" si="67"/>
        <v>1404.9</v>
      </c>
      <c r="K885" s="238">
        <f t="shared" si="68"/>
        <v>1404.9</v>
      </c>
      <c r="L885" s="294"/>
      <c r="M885" s="294">
        <f>Table432[[#This Row],[Taxable Amount]]+Table432[[#This Row],[SGST]]+Table432[[#This Row],[CGST]]</f>
        <v>18419.800000000003</v>
      </c>
      <c r="N885" s="240">
        <f>Table432[[#This Row],[Taxable Amount]]*1%</f>
        <v>156.1</v>
      </c>
      <c r="O885" s="244"/>
      <c r="P885" s="242">
        <v>18263</v>
      </c>
      <c r="Q885" s="243">
        <v>46168</v>
      </c>
      <c r="R885" s="244" t="s">
        <v>1264</v>
      </c>
      <c r="S885" s="245">
        <f>Table432[[#This Row],[Invoice Amount]]-Table432[[#This Row],[TDS]]-Table432[[#This Row],[RTN]]-Table432[[#This Row],[RECIVED AMOUNT]]</f>
        <v>0.70000000000436557</v>
      </c>
      <c r="T885" s="235"/>
      <c r="U885" s="235"/>
      <c r="V885" s="246">
        <f>Table432[[#This Row],[BALANCE]]-Table432[[#This Row],[RECIVED AMOUNT2]]</f>
        <v>0.70000000000436557</v>
      </c>
    </row>
    <row r="886" spans="1:121" s="247" customFormat="1" ht="19.95" customHeight="1">
      <c r="A886" s="293">
        <v>46137</v>
      </c>
      <c r="B886" s="235" t="s">
        <v>1215</v>
      </c>
      <c r="C886" s="235" t="s">
        <v>42</v>
      </c>
      <c r="D886" s="235" t="s">
        <v>730</v>
      </c>
      <c r="E886" s="235" t="s">
        <v>101</v>
      </c>
      <c r="F886" s="236" t="s">
        <v>26</v>
      </c>
      <c r="G886" s="236">
        <v>3808</v>
      </c>
      <c r="H886" s="237">
        <v>0.18</v>
      </c>
      <c r="I886" s="238">
        <v>7387</v>
      </c>
      <c r="J886" s="238">
        <f t="shared" si="67"/>
        <v>664.83</v>
      </c>
      <c r="K886" s="238">
        <f t="shared" si="68"/>
        <v>664.83</v>
      </c>
      <c r="L886" s="294"/>
      <c r="M886" s="294">
        <f>Table432[[#This Row],[Taxable Amount]]+Table432[[#This Row],[SGST]]+Table432[[#This Row],[CGST]]</f>
        <v>8716.66</v>
      </c>
      <c r="N886" s="240">
        <f>Table432[[#This Row],[Taxable Amount]]*1%</f>
        <v>73.87</v>
      </c>
      <c r="O886" s="244"/>
      <c r="P886" s="242">
        <v>8642</v>
      </c>
      <c r="Q886" s="243">
        <v>46168</v>
      </c>
      <c r="R886" s="244" t="s">
        <v>1264</v>
      </c>
      <c r="S886" s="245">
        <f>Table432[[#This Row],[Invoice Amount]]-Table432[[#This Row],[TDS]]-Table432[[#This Row],[RTN]]-Table432[[#This Row],[RECIVED AMOUNT]]</f>
        <v>0.78999999999905413</v>
      </c>
      <c r="T886" s="235"/>
      <c r="U886" s="235"/>
      <c r="V886" s="246">
        <f>Table432[[#This Row],[BALANCE]]-Table432[[#This Row],[RECIVED AMOUNT2]]</f>
        <v>0.78999999999905413</v>
      </c>
    </row>
    <row r="887" spans="1:121" ht="19.95" customHeight="1">
      <c r="A887" s="128">
        <v>46137</v>
      </c>
      <c r="B887" s="131" t="s">
        <v>1216</v>
      </c>
      <c r="C887" s="131" t="s">
        <v>42</v>
      </c>
      <c r="D887" s="131" t="s">
        <v>730</v>
      </c>
      <c r="E887" s="131" t="s">
        <v>44</v>
      </c>
      <c r="F887" s="136" t="s">
        <v>26</v>
      </c>
      <c r="G887" s="136">
        <v>3808</v>
      </c>
      <c r="H887" s="23">
        <v>0.18</v>
      </c>
      <c r="I887" s="129">
        <v>8000</v>
      </c>
      <c r="J887" s="129">
        <f t="shared" si="67"/>
        <v>720</v>
      </c>
      <c r="K887" s="129">
        <f t="shared" si="68"/>
        <v>720</v>
      </c>
      <c r="L887" s="130"/>
      <c r="M887" s="130">
        <f>Table432[[#This Row],[Taxable Amount]]+Table432[[#This Row],[SGST]]+Table432[[#This Row],[CGST]]</f>
        <v>9440</v>
      </c>
      <c r="N887" s="161">
        <f>Table432[[#This Row],[Taxable Amount]]*1%</f>
        <v>80</v>
      </c>
      <c r="O887" s="132"/>
      <c r="P887" s="135"/>
      <c r="Q887" s="135"/>
      <c r="R887" s="132" t="s">
        <v>1264</v>
      </c>
      <c r="S887" s="138">
        <f>Table432[[#This Row],[Invoice Amount]]-Table432[[#This Row],[TDS]]-Table432[[#This Row],[RTN]]-Table432[[#This Row],[RECIVED AMOUNT]]</f>
        <v>9360</v>
      </c>
      <c r="T887" s="131"/>
      <c r="U887" s="131"/>
      <c r="V887" s="41">
        <f>Table432[[#This Row],[BALANCE]]-Table432[[#This Row],[RECIVED AMOUNT2]]</f>
        <v>9360</v>
      </c>
    </row>
    <row r="888" spans="1:121" s="325" customFormat="1" ht="19.95" customHeight="1">
      <c r="A888" s="314">
        <v>46137</v>
      </c>
      <c r="B888" s="315" t="s">
        <v>1217</v>
      </c>
      <c r="C888" s="315" t="s">
        <v>42</v>
      </c>
      <c r="D888" s="315" t="s">
        <v>730</v>
      </c>
      <c r="E888" s="315" t="s">
        <v>163</v>
      </c>
      <c r="F888" s="316" t="s">
        <v>26</v>
      </c>
      <c r="G888" s="316">
        <v>3808</v>
      </c>
      <c r="H888" s="317">
        <v>0.18</v>
      </c>
      <c r="I888" s="318">
        <v>28850</v>
      </c>
      <c r="J888" s="318">
        <f t="shared" si="67"/>
        <v>2596.5</v>
      </c>
      <c r="K888" s="318">
        <f t="shared" si="68"/>
        <v>2596.5</v>
      </c>
      <c r="L888" s="319"/>
      <c r="M888" s="319">
        <f>Table432[[#This Row],[Taxable Amount]]+Table432[[#This Row],[SGST]]+Table432[[#This Row],[CGST]]</f>
        <v>34043</v>
      </c>
      <c r="N888" s="320">
        <f>Table432[[#This Row],[Taxable Amount]]*1%</f>
        <v>288.5</v>
      </c>
      <c r="O888" s="321"/>
      <c r="P888" s="322"/>
      <c r="Q888" s="322"/>
      <c r="R888" s="321" t="s">
        <v>1264</v>
      </c>
      <c r="S888" s="323">
        <f>Table432[[#This Row],[Invoice Amount]]-Table432[[#This Row],[TDS]]-Table432[[#This Row],[RTN]]-Table432[[#This Row],[RECIVED AMOUNT]]</f>
        <v>33754.5</v>
      </c>
      <c r="T888" s="315"/>
      <c r="U888" s="315"/>
      <c r="V888" s="324">
        <f>Table432[[#This Row],[BALANCE]]-Table432[[#This Row],[RECIVED AMOUNT2]]</f>
        <v>33754.5</v>
      </c>
    </row>
    <row r="889" spans="1:121" ht="19.95" customHeight="1">
      <c r="A889" s="128">
        <v>46139</v>
      </c>
      <c r="B889" s="131" t="s">
        <v>1221</v>
      </c>
      <c r="C889" s="165" t="s">
        <v>958</v>
      </c>
      <c r="D889" s="165" t="s">
        <v>969</v>
      </c>
      <c r="E889" s="165" t="s">
        <v>515</v>
      </c>
      <c r="F889" s="136" t="s">
        <v>37</v>
      </c>
      <c r="G889" s="136">
        <v>3808</v>
      </c>
      <c r="H889" s="23">
        <v>0.18</v>
      </c>
      <c r="I889" s="129">
        <v>9000</v>
      </c>
      <c r="J889" s="129">
        <f t="shared" si="67"/>
        <v>810</v>
      </c>
      <c r="K889" s="129">
        <f t="shared" si="68"/>
        <v>810</v>
      </c>
      <c r="L889" s="130"/>
      <c r="M889" s="130">
        <f>Table432[[#This Row],[Taxable Amount]]+Table432[[#This Row],[SGST]]+Table432[[#This Row],[CGST]]</f>
        <v>10620</v>
      </c>
      <c r="N889" s="161">
        <f>Table432[[#This Row],[Taxable Amount]]*1%</f>
        <v>90</v>
      </c>
      <c r="O889" s="132"/>
      <c r="P889" s="135"/>
      <c r="Q889" s="135"/>
      <c r="R889" s="132" t="s">
        <v>1264</v>
      </c>
      <c r="S889" s="138">
        <f>Table432[[#This Row],[Invoice Amount]]-Table432[[#This Row],[TDS]]-Table432[[#This Row],[RTN]]-Table432[[#This Row],[RECIVED AMOUNT]]</f>
        <v>10530</v>
      </c>
      <c r="T889" s="131"/>
      <c r="U889" s="131"/>
      <c r="V889" s="41">
        <f>Table432[[#This Row],[BALANCE]]-Table432[[#This Row],[RECIVED AMOUNT2]]</f>
        <v>10530</v>
      </c>
    </row>
    <row r="890" spans="1:121" ht="19.95" customHeight="1">
      <c r="A890" s="128">
        <v>46139</v>
      </c>
      <c r="B890" s="131" t="s">
        <v>1222</v>
      </c>
      <c r="C890" s="3" t="s">
        <v>475</v>
      </c>
      <c r="D890" s="3" t="s">
        <v>476</v>
      </c>
      <c r="E890" s="3" t="s">
        <v>477</v>
      </c>
      <c r="F890" s="4" t="s">
        <v>26</v>
      </c>
      <c r="G890" s="136">
        <v>3808</v>
      </c>
      <c r="H890" s="23">
        <v>0.18</v>
      </c>
      <c r="I890" s="129">
        <v>16000</v>
      </c>
      <c r="J890" s="129">
        <f t="shared" si="67"/>
        <v>1440</v>
      </c>
      <c r="K890" s="129">
        <f t="shared" si="68"/>
        <v>1440</v>
      </c>
      <c r="L890" s="130"/>
      <c r="M890" s="130">
        <f>Table432[[#This Row],[Taxable Amount]]+Table432[[#This Row],[SGST]]+Table432[[#This Row],[CGST]]</f>
        <v>18880</v>
      </c>
      <c r="N890" s="161">
        <f>Table432[[#This Row],[Taxable Amount]]*1%</f>
        <v>160</v>
      </c>
      <c r="O890" s="132"/>
      <c r="P890" s="135"/>
      <c r="Q890" s="135"/>
      <c r="R890" s="132" t="s">
        <v>1264</v>
      </c>
      <c r="S890" s="138">
        <f>Table432[[#This Row],[Invoice Amount]]-Table432[[#This Row],[TDS]]-Table432[[#This Row],[RTN]]-Table432[[#This Row],[RECIVED AMOUNT]]</f>
        <v>18720</v>
      </c>
      <c r="T890" s="131"/>
      <c r="U890" s="131"/>
      <c r="V890" s="41">
        <f>Table432[[#This Row],[BALANCE]]-Table432[[#This Row],[RECIVED AMOUNT2]]</f>
        <v>18720</v>
      </c>
    </row>
    <row r="891" spans="1:121" ht="19.95" customHeight="1">
      <c r="A891" s="128">
        <v>46142</v>
      </c>
      <c r="B891" s="131" t="s">
        <v>1223</v>
      </c>
      <c r="C891" s="131" t="s">
        <v>319</v>
      </c>
      <c r="D891" s="131" t="s">
        <v>320</v>
      </c>
      <c r="E891" s="131" t="s">
        <v>85</v>
      </c>
      <c r="F891" s="136" t="s">
        <v>26</v>
      </c>
      <c r="G891" s="136">
        <v>3808</v>
      </c>
      <c r="H891" s="23">
        <v>0.18</v>
      </c>
      <c r="I891" s="129">
        <v>7300</v>
      </c>
      <c r="J891" s="129">
        <f t="shared" si="67"/>
        <v>657</v>
      </c>
      <c r="K891" s="129">
        <f t="shared" si="68"/>
        <v>657</v>
      </c>
      <c r="L891" s="130"/>
      <c r="M891" s="130">
        <f>Table432[[#This Row],[Taxable Amount]]+Table432[[#This Row],[SGST]]+Table432[[#This Row],[CGST]]</f>
        <v>8614</v>
      </c>
      <c r="N891" s="161">
        <f>Table432[[#This Row],[Taxable Amount]]*1%</f>
        <v>73</v>
      </c>
      <c r="O891" s="132"/>
      <c r="P891" s="135"/>
      <c r="Q891" s="135"/>
      <c r="R891" s="132" t="s">
        <v>1264</v>
      </c>
      <c r="S891" s="138">
        <f>Table432[[#This Row],[Invoice Amount]]-Table432[[#This Row],[TDS]]-Table432[[#This Row],[RTN]]-Table432[[#This Row],[RECIVED AMOUNT]]</f>
        <v>8541</v>
      </c>
      <c r="T891" s="131"/>
      <c r="U891" s="131"/>
      <c r="V891" s="41">
        <f>Table432[[#This Row],[BALANCE]]-Table432[[#This Row],[RECIVED AMOUNT2]]</f>
        <v>8541</v>
      </c>
    </row>
    <row r="892" spans="1:121" ht="19.95" customHeight="1">
      <c r="A892" s="128">
        <v>46142</v>
      </c>
      <c r="B892" s="131" t="s">
        <v>1224</v>
      </c>
      <c r="C892" s="131" t="s">
        <v>116</v>
      </c>
      <c r="D892" s="131" t="s">
        <v>117</v>
      </c>
      <c r="E892" s="131" t="s">
        <v>59</v>
      </c>
      <c r="F892" s="136" t="s">
        <v>26</v>
      </c>
      <c r="G892" s="136">
        <v>3808</v>
      </c>
      <c r="H892" s="23">
        <v>0.18</v>
      </c>
      <c r="I892" s="129">
        <v>17300</v>
      </c>
      <c r="J892" s="129">
        <f t="shared" si="67"/>
        <v>1557</v>
      </c>
      <c r="K892" s="129">
        <f t="shared" si="68"/>
        <v>1557</v>
      </c>
      <c r="L892" s="130"/>
      <c r="M892" s="130">
        <f>Table432[[#This Row],[Taxable Amount]]+Table432[[#This Row],[SGST]]+Table432[[#This Row],[CGST]]</f>
        <v>20414</v>
      </c>
      <c r="N892" s="161">
        <f>Table432[[#This Row],[Taxable Amount]]*1%</f>
        <v>173</v>
      </c>
      <c r="O892" s="132"/>
      <c r="P892" s="135"/>
      <c r="Q892" s="135"/>
      <c r="R892" s="132" t="s">
        <v>1264</v>
      </c>
      <c r="S892" s="138">
        <f>Table432[[#This Row],[Invoice Amount]]-Table432[[#This Row],[TDS]]-Table432[[#This Row],[RTN]]-Table432[[#This Row],[RECIVED AMOUNT]]</f>
        <v>20241</v>
      </c>
      <c r="T892" s="131"/>
      <c r="U892" s="131"/>
      <c r="V892" s="41">
        <f>Table432[[#This Row],[BALANCE]]-Table432[[#This Row],[RECIVED AMOUNT2]]</f>
        <v>20241</v>
      </c>
    </row>
    <row r="893" spans="1:121" ht="19.95" customHeight="1">
      <c r="A893" s="128">
        <v>46142</v>
      </c>
      <c r="B893" s="131" t="s">
        <v>1225</v>
      </c>
      <c r="C893" s="131" t="s">
        <v>390</v>
      </c>
      <c r="D893" s="131" t="s">
        <v>391</v>
      </c>
      <c r="E893" s="131" t="s">
        <v>260</v>
      </c>
      <c r="F893" s="136" t="s">
        <v>26</v>
      </c>
      <c r="G893" s="136">
        <v>3808</v>
      </c>
      <c r="H893" s="23">
        <v>0.18</v>
      </c>
      <c r="I893" s="129">
        <v>1205.1600000000001</v>
      </c>
      <c r="J893" s="129">
        <f t="shared" si="67"/>
        <v>108.46440000000001</v>
      </c>
      <c r="K893" s="129">
        <f t="shared" si="68"/>
        <v>108.46440000000001</v>
      </c>
      <c r="L893" s="130"/>
      <c r="M893" s="130">
        <f>Table432[[#This Row],[Taxable Amount]]+Table432[[#This Row],[SGST]]+Table432[[#This Row],[CGST]]</f>
        <v>1422.0888000000002</v>
      </c>
      <c r="N893" s="161">
        <f>Table432[[#This Row],[Taxable Amount]]*1%</f>
        <v>12.051600000000001</v>
      </c>
      <c r="O893" s="132"/>
      <c r="P893" s="135"/>
      <c r="Q893" s="135"/>
      <c r="R893" s="132" t="s">
        <v>1264</v>
      </c>
      <c r="S893" s="138">
        <f>Table432[[#This Row],[Invoice Amount]]-Table432[[#This Row],[TDS]]-Table432[[#This Row],[RTN]]-Table432[[#This Row],[RECIVED AMOUNT]]</f>
        <v>1410.0372000000002</v>
      </c>
      <c r="T893" s="131"/>
      <c r="U893" s="131"/>
      <c r="V893" s="41">
        <f>Table432[[#This Row],[BALANCE]]-Table432[[#This Row],[RECIVED AMOUNT2]]</f>
        <v>1410.0372000000002</v>
      </c>
    </row>
    <row r="894" spans="1:121" ht="19.95" customHeight="1">
      <c r="A894" s="128">
        <v>46142</v>
      </c>
      <c r="B894" s="131" t="s">
        <v>1226</v>
      </c>
      <c r="C894" s="131" t="s">
        <v>390</v>
      </c>
      <c r="D894" s="131" t="s">
        <v>391</v>
      </c>
      <c r="E894" s="131" t="s">
        <v>260</v>
      </c>
      <c r="F894" s="136" t="s">
        <v>26</v>
      </c>
      <c r="G894" s="136">
        <v>3808</v>
      </c>
      <c r="H894" s="23">
        <v>0.18</v>
      </c>
      <c r="I894" s="129">
        <v>1448.35</v>
      </c>
      <c r="J894" s="129">
        <f t="shared" si="67"/>
        <v>130.35149999999999</v>
      </c>
      <c r="K894" s="129">
        <f t="shared" si="68"/>
        <v>130.35149999999999</v>
      </c>
      <c r="L894" s="130"/>
      <c r="M894" s="130">
        <f>Table432[[#This Row],[Taxable Amount]]+Table432[[#This Row],[SGST]]+Table432[[#This Row],[CGST]]</f>
        <v>1709.0529999999999</v>
      </c>
      <c r="N894" s="161">
        <f>Table432[[#This Row],[Taxable Amount]]*1%</f>
        <v>14.483499999999999</v>
      </c>
      <c r="O894" s="132"/>
      <c r="P894" s="135"/>
      <c r="Q894" s="135"/>
      <c r="R894" s="132" t="s">
        <v>1264</v>
      </c>
      <c r="S894" s="138">
        <f>Table432[[#This Row],[Invoice Amount]]-Table432[[#This Row],[TDS]]-Table432[[#This Row],[RTN]]-Table432[[#This Row],[RECIVED AMOUNT]]</f>
        <v>1694.5694999999998</v>
      </c>
      <c r="T894" s="131"/>
      <c r="U894" s="131"/>
      <c r="V894" s="41">
        <f>Table432[[#This Row],[BALANCE]]-Table432[[#This Row],[RECIVED AMOUNT2]]</f>
        <v>1694.5694999999998</v>
      </c>
    </row>
    <row r="895" spans="1:121" ht="19.95" customHeight="1">
      <c r="A895" s="128">
        <v>46142</v>
      </c>
      <c r="B895" s="131" t="s">
        <v>1227</v>
      </c>
      <c r="C895" s="131" t="s">
        <v>390</v>
      </c>
      <c r="D895" s="131" t="s">
        <v>391</v>
      </c>
      <c r="E895" s="131" t="s">
        <v>260</v>
      </c>
      <c r="F895" s="136" t="s">
        <v>26</v>
      </c>
      <c r="G895" s="136">
        <v>3808</v>
      </c>
      <c r="H895" s="23">
        <v>0.18</v>
      </c>
      <c r="I895" s="129">
        <v>2008.6</v>
      </c>
      <c r="J895" s="129">
        <f t="shared" si="67"/>
        <v>180.77399999999997</v>
      </c>
      <c r="K895" s="129">
        <f t="shared" si="68"/>
        <v>180.77399999999997</v>
      </c>
      <c r="L895" s="130"/>
      <c r="M895" s="130">
        <f>Table432[[#This Row],[Taxable Amount]]+Table432[[#This Row],[SGST]]+Table432[[#This Row],[CGST]]</f>
        <v>2370.1479999999997</v>
      </c>
      <c r="N895" s="161">
        <f>Table432[[#This Row],[Taxable Amount]]*1%</f>
        <v>20.085999999999999</v>
      </c>
      <c r="O895" s="132"/>
      <c r="P895" s="135"/>
      <c r="Q895" s="135"/>
      <c r="R895" s="132" t="s">
        <v>1264</v>
      </c>
      <c r="S895" s="138">
        <f>Table432[[#This Row],[Invoice Amount]]-Table432[[#This Row],[TDS]]-Table432[[#This Row],[RTN]]-Table432[[#This Row],[RECIVED AMOUNT]]</f>
        <v>2350.0619999999999</v>
      </c>
      <c r="T895" s="131"/>
      <c r="U895" s="131"/>
      <c r="V895" s="41">
        <f>Table432[[#This Row],[BALANCE]]-Table432[[#This Row],[RECIVED AMOUNT2]]</f>
        <v>2350.0619999999999</v>
      </c>
    </row>
    <row r="896" spans="1:121" ht="19.95" customHeight="1">
      <c r="A896" s="128">
        <v>46142</v>
      </c>
      <c r="B896" s="131" t="s">
        <v>1228</v>
      </c>
      <c r="C896" s="131" t="s">
        <v>390</v>
      </c>
      <c r="D896" s="131" t="s">
        <v>391</v>
      </c>
      <c r="E896" s="131" t="s">
        <v>260</v>
      </c>
      <c r="F896" s="136" t="s">
        <v>26</v>
      </c>
      <c r="G896" s="136">
        <v>3808</v>
      </c>
      <c r="H896" s="23">
        <v>0.18</v>
      </c>
      <c r="I896" s="129">
        <v>1035.8399999999999</v>
      </c>
      <c r="J896" s="129">
        <f t="shared" si="67"/>
        <v>93.2256</v>
      </c>
      <c r="K896" s="129">
        <f t="shared" si="68"/>
        <v>93.2256</v>
      </c>
      <c r="L896" s="130"/>
      <c r="M896" s="130">
        <f>Table432[[#This Row],[Taxable Amount]]+Table432[[#This Row],[SGST]]+Table432[[#This Row],[CGST]]</f>
        <v>1222.2911999999999</v>
      </c>
      <c r="N896" s="161">
        <f>Table432[[#This Row],[Taxable Amount]]*1%</f>
        <v>10.3584</v>
      </c>
      <c r="O896" s="132"/>
      <c r="P896" s="135"/>
      <c r="Q896" s="135"/>
      <c r="R896" s="132" t="s">
        <v>1264</v>
      </c>
      <c r="S896" s="138">
        <f>Table432[[#This Row],[Invoice Amount]]-Table432[[#This Row],[TDS]]-Table432[[#This Row],[RTN]]-Table432[[#This Row],[RECIVED AMOUNT]]</f>
        <v>1211.9327999999998</v>
      </c>
      <c r="T896" s="131"/>
      <c r="U896" s="131"/>
      <c r="V896" s="41">
        <f>Table432[[#This Row],[BALANCE]]-Table432[[#This Row],[RECIVED AMOUNT2]]</f>
        <v>1211.9327999999998</v>
      </c>
    </row>
    <row r="897" spans="1:22" ht="19.95" customHeight="1">
      <c r="A897" s="128">
        <v>46142</v>
      </c>
      <c r="B897" s="131" t="s">
        <v>1218</v>
      </c>
      <c r="C897" s="131" t="s">
        <v>390</v>
      </c>
      <c r="D897" s="131" t="s">
        <v>391</v>
      </c>
      <c r="E897" s="131" t="s">
        <v>260</v>
      </c>
      <c r="F897" s="136" t="s">
        <v>26</v>
      </c>
      <c r="G897" s="136">
        <v>3808</v>
      </c>
      <c r="H897" s="23">
        <v>0.18</v>
      </c>
      <c r="I897" s="129">
        <v>972.76</v>
      </c>
      <c r="J897" s="129">
        <f t="shared" si="67"/>
        <v>87.548400000000001</v>
      </c>
      <c r="K897" s="129">
        <f t="shared" si="68"/>
        <v>87.548400000000001</v>
      </c>
      <c r="L897" s="130"/>
      <c r="M897" s="130">
        <f>Table432[[#This Row],[Taxable Amount]]+Table432[[#This Row],[SGST]]+Table432[[#This Row],[CGST]]</f>
        <v>1147.8567999999998</v>
      </c>
      <c r="N897" s="161">
        <f>Table432[[#This Row],[Taxable Amount]]*1%</f>
        <v>9.7276000000000007</v>
      </c>
      <c r="O897" s="132"/>
      <c r="P897" s="135"/>
      <c r="Q897" s="135"/>
      <c r="R897" s="132" t="s">
        <v>1264</v>
      </c>
      <c r="S897" s="138">
        <f>Table432[[#This Row],[Invoice Amount]]-Table432[[#This Row],[TDS]]-Table432[[#This Row],[RTN]]-Table432[[#This Row],[RECIVED AMOUNT]]</f>
        <v>1138.1291999999999</v>
      </c>
      <c r="T897" s="131"/>
      <c r="U897" s="131"/>
      <c r="V897" s="41">
        <f>Table432[[#This Row],[BALANCE]]-Table432[[#This Row],[RECIVED AMOUNT2]]</f>
        <v>1138.1291999999999</v>
      </c>
    </row>
    <row r="898" spans="1:22" ht="19.95" customHeight="1">
      <c r="A898" s="128">
        <v>46142</v>
      </c>
      <c r="B898" s="131" t="s">
        <v>1219</v>
      </c>
      <c r="C898" s="131" t="s">
        <v>390</v>
      </c>
      <c r="D898" s="131" t="s">
        <v>391</v>
      </c>
      <c r="E898" s="131" t="s">
        <v>260</v>
      </c>
      <c r="F898" s="136" t="s">
        <v>26</v>
      </c>
      <c r="G898" s="136">
        <v>3808</v>
      </c>
      <c r="H898" s="23">
        <v>0.18</v>
      </c>
      <c r="I898" s="129">
        <v>930.43</v>
      </c>
      <c r="J898" s="129">
        <f t="shared" si="67"/>
        <v>83.738699999999994</v>
      </c>
      <c r="K898" s="129">
        <f t="shared" si="68"/>
        <v>83.738699999999994</v>
      </c>
      <c r="L898" s="130"/>
      <c r="M898" s="130">
        <f>Table432[[#This Row],[Taxable Amount]]+Table432[[#This Row],[SGST]]+Table432[[#This Row],[CGST]]</f>
        <v>1097.9074000000001</v>
      </c>
      <c r="N898" s="161">
        <f>Table432[[#This Row],[Taxable Amount]]*1%</f>
        <v>9.3042999999999996</v>
      </c>
      <c r="O898" s="132"/>
      <c r="P898" s="135"/>
      <c r="Q898" s="135"/>
      <c r="R898" s="132" t="s">
        <v>1264</v>
      </c>
      <c r="S898" s="138">
        <f>Table432[[#This Row],[Invoice Amount]]-Table432[[#This Row],[TDS]]-Table432[[#This Row],[RTN]]-Table432[[#This Row],[RECIVED AMOUNT]]</f>
        <v>1088.6031</v>
      </c>
      <c r="T898" s="131"/>
      <c r="U898" s="131"/>
      <c r="V898" s="41">
        <f>Table432[[#This Row],[BALANCE]]-Table432[[#This Row],[RECIVED AMOUNT2]]</f>
        <v>1088.6031</v>
      </c>
    </row>
    <row r="899" spans="1:22" ht="19.95" customHeight="1">
      <c r="A899" s="128">
        <v>46142</v>
      </c>
      <c r="B899" s="131" t="s">
        <v>1229</v>
      </c>
      <c r="C899" s="131" t="s">
        <v>390</v>
      </c>
      <c r="D899" s="131" t="s">
        <v>391</v>
      </c>
      <c r="E899" s="131" t="s">
        <v>260</v>
      </c>
      <c r="F899" s="136" t="s">
        <v>26</v>
      </c>
      <c r="G899" s="136">
        <v>3808</v>
      </c>
      <c r="H899" s="23">
        <v>0.18</v>
      </c>
      <c r="I899" s="129">
        <v>698.86</v>
      </c>
      <c r="J899" s="129">
        <f t="shared" si="67"/>
        <v>62.897399999999998</v>
      </c>
      <c r="K899" s="129">
        <f t="shared" si="68"/>
        <v>62.897399999999998</v>
      </c>
      <c r="L899" s="130"/>
      <c r="M899" s="130">
        <f>Table432[[#This Row],[Taxable Amount]]+Table432[[#This Row],[SGST]]+Table432[[#This Row],[CGST]]</f>
        <v>824.65479999999991</v>
      </c>
      <c r="N899" s="161">
        <f>Table432[[#This Row],[Taxable Amount]]*1%</f>
        <v>6.9885999999999999</v>
      </c>
      <c r="O899" s="132"/>
      <c r="P899" s="135"/>
      <c r="Q899" s="135"/>
      <c r="R899" s="132" t="s">
        <v>1264</v>
      </c>
      <c r="S899" s="138">
        <f>Table432[[#This Row],[Invoice Amount]]-Table432[[#This Row],[TDS]]-Table432[[#This Row],[RTN]]-Table432[[#This Row],[RECIVED AMOUNT]]</f>
        <v>817.66619999999989</v>
      </c>
      <c r="T899" s="131"/>
      <c r="U899" s="131"/>
      <c r="V899" s="41">
        <f>Table432[[#This Row],[BALANCE]]-Table432[[#This Row],[RECIVED AMOUNT2]]</f>
        <v>817.66619999999989</v>
      </c>
    </row>
    <row r="900" spans="1:22" ht="19.95" customHeight="1">
      <c r="A900" s="128">
        <v>46142</v>
      </c>
      <c r="B900" s="131" t="s">
        <v>1230</v>
      </c>
      <c r="C900" s="131" t="s">
        <v>290</v>
      </c>
      <c r="D900" s="131" t="s">
        <v>291</v>
      </c>
      <c r="E900" s="131" t="s">
        <v>25</v>
      </c>
      <c r="F900" s="136" t="s">
        <v>26</v>
      </c>
      <c r="G900" s="136">
        <v>3808</v>
      </c>
      <c r="H900" s="23">
        <v>0.18</v>
      </c>
      <c r="I900" s="129">
        <v>4500</v>
      </c>
      <c r="J900" s="129">
        <f t="shared" si="67"/>
        <v>405</v>
      </c>
      <c r="K900" s="129">
        <f t="shared" si="68"/>
        <v>405</v>
      </c>
      <c r="L900" s="130"/>
      <c r="M900" s="130">
        <f>Table432[[#This Row],[Taxable Amount]]+Table432[[#This Row],[SGST]]+Table432[[#This Row],[CGST]]</f>
        <v>5310</v>
      </c>
      <c r="N900" s="161">
        <f>Table432[[#This Row],[Taxable Amount]]*1%</f>
        <v>45</v>
      </c>
      <c r="O900" s="132"/>
      <c r="P900" s="135">
        <v>5310</v>
      </c>
      <c r="Q900" s="205">
        <v>46164</v>
      </c>
      <c r="R900" s="132" t="s">
        <v>1264</v>
      </c>
      <c r="S900" s="138">
        <f>Table432[[#This Row],[Invoice Amount]]-Table432[[#This Row],[TDS]]-Table432[[#This Row],[RTN]]-Table432[[#This Row],[RECIVED AMOUNT]]</f>
        <v>-45</v>
      </c>
      <c r="T900" s="131"/>
      <c r="U900" s="131"/>
      <c r="V900" s="41">
        <f>Table432[[#This Row],[BALANCE]]-Table432[[#This Row],[RECIVED AMOUNT2]]</f>
        <v>-45</v>
      </c>
    </row>
    <row r="901" spans="1:22" ht="19.95" customHeight="1">
      <c r="A901" s="128">
        <v>46142</v>
      </c>
      <c r="B901" s="131" t="s">
        <v>1231</v>
      </c>
      <c r="C901" s="131" t="s">
        <v>372</v>
      </c>
      <c r="D901" s="131" t="s">
        <v>794</v>
      </c>
      <c r="E901" s="131" t="s">
        <v>374</v>
      </c>
      <c r="F901" s="136" t="s">
        <v>26</v>
      </c>
      <c r="G901" s="136">
        <v>3808</v>
      </c>
      <c r="H901" s="23">
        <v>0.18</v>
      </c>
      <c r="I901" s="129">
        <v>2500</v>
      </c>
      <c r="J901" s="129">
        <f t="shared" si="67"/>
        <v>225</v>
      </c>
      <c r="K901" s="129">
        <f t="shared" si="68"/>
        <v>225</v>
      </c>
      <c r="L901" s="130"/>
      <c r="M901" s="130">
        <f>Table432[[#This Row],[Taxable Amount]]+Table432[[#This Row],[SGST]]+Table432[[#This Row],[CGST]]</f>
        <v>2950</v>
      </c>
      <c r="N901" s="161">
        <f>Table432[[#This Row],[Taxable Amount]]*1%</f>
        <v>25</v>
      </c>
      <c r="O901" s="132"/>
      <c r="P901" s="135">
        <v>2950</v>
      </c>
      <c r="Q901" s="205">
        <v>46151</v>
      </c>
      <c r="R901" s="132" t="s">
        <v>1264</v>
      </c>
      <c r="S901" s="138">
        <f>Table432[[#This Row],[Invoice Amount]]-Table432[[#This Row],[TDS]]-Table432[[#This Row],[RTN]]-Table432[[#This Row],[RECIVED AMOUNT]]</f>
        <v>-25</v>
      </c>
      <c r="T901" s="131"/>
      <c r="U901" s="131"/>
      <c r="V901" s="41">
        <f>Table432[[#This Row],[BALANCE]]-Table432[[#This Row],[RECIVED AMOUNT2]]</f>
        <v>-25</v>
      </c>
    </row>
    <row r="902" spans="1:22" ht="19.95" customHeight="1">
      <c r="A902" s="128">
        <v>46142</v>
      </c>
      <c r="B902" s="131" t="s">
        <v>1232</v>
      </c>
      <c r="C902" s="131" t="s">
        <v>372</v>
      </c>
      <c r="D902" s="131" t="s">
        <v>794</v>
      </c>
      <c r="E902" s="131" t="s">
        <v>374</v>
      </c>
      <c r="F902" s="136" t="s">
        <v>26</v>
      </c>
      <c r="G902" s="136">
        <v>3808</v>
      </c>
      <c r="H902" s="23">
        <v>0.18</v>
      </c>
      <c r="I902" s="129">
        <v>2500</v>
      </c>
      <c r="J902" s="129">
        <f t="shared" si="67"/>
        <v>225</v>
      </c>
      <c r="K902" s="129">
        <f t="shared" si="68"/>
        <v>225</v>
      </c>
      <c r="L902" s="130"/>
      <c r="M902" s="130">
        <f>Table432[[#This Row],[Taxable Amount]]+Table432[[#This Row],[SGST]]+Table432[[#This Row],[CGST]]</f>
        <v>2950</v>
      </c>
      <c r="N902" s="161">
        <f>Table432[[#This Row],[Taxable Amount]]*1%</f>
        <v>25</v>
      </c>
      <c r="O902" s="132"/>
      <c r="P902" s="135">
        <v>2950</v>
      </c>
      <c r="Q902" s="205">
        <v>46157</v>
      </c>
      <c r="R902" s="132" t="s">
        <v>1264</v>
      </c>
      <c r="S902" s="138">
        <f>Table432[[#This Row],[Invoice Amount]]-Table432[[#This Row],[TDS]]-Table432[[#This Row],[RTN]]-Table432[[#This Row],[RECIVED AMOUNT]]</f>
        <v>-25</v>
      </c>
      <c r="T902" s="131"/>
      <c r="U902" s="131"/>
      <c r="V902" s="41">
        <f>Table432[[#This Row],[BALANCE]]-Table432[[#This Row],[RECIVED AMOUNT2]]</f>
        <v>-25</v>
      </c>
    </row>
    <row r="903" spans="1:22" ht="19.95" customHeight="1">
      <c r="A903" s="128">
        <v>46142</v>
      </c>
      <c r="B903" s="131" t="s">
        <v>1233</v>
      </c>
      <c r="C903" s="131" t="s">
        <v>444</v>
      </c>
      <c r="D903" s="131" t="s">
        <v>445</v>
      </c>
      <c r="E903" s="131" t="s">
        <v>232</v>
      </c>
      <c r="F903" s="136" t="s">
        <v>26</v>
      </c>
      <c r="G903" s="136">
        <v>3808</v>
      </c>
      <c r="H903" s="23">
        <v>0.18</v>
      </c>
      <c r="I903" s="129">
        <v>3300</v>
      </c>
      <c r="J903" s="129">
        <f t="shared" si="67"/>
        <v>297</v>
      </c>
      <c r="K903" s="129">
        <f t="shared" si="68"/>
        <v>297</v>
      </c>
      <c r="L903" s="130"/>
      <c r="M903" s="130">
        <f>Table432[[#This Row],[Taxable Amount]]+Table432[[#This Row],[SGST]]+Table432[[#This Row],[CGST]]</f>
        <v>3894</v>
      </c>
      <c r="N903" s="161">
        <f>Table432[[#This Row],[Taxable Amount]]*1%</f>
        <v>33</v>
      </c>
      <c r="O903" s="132"/>
      <c r="P903" s="135"/>
      <c r="Q903" s="135"/>
      <c r="R903" s="132" t="s">
        <v>1264</v>
      </c>
      <c r="S903" s="138">
        <f>Table432[[#This Row],[Invoice Amount]]-Table432[[#This Row],[TDS]]-Table432[[#This Row],[RTN]]-Table432[[#This Row],[RECIVED AMOUNT]]</f>
        <v>3861</v>
      </c>
      <c r="T903" s="131"/>
      <c r="U903" s="131"/>
      <c r="V903" s="41">
        <f>Table432[[#This Row],[BALANCE]]-Table432[[#This Row],[RECIVED AMOUNT2]]</f>
        <v>3861</v>
      </c>
    </row>
    <row r="904" spans="1:22" s="325" customFormat="1" ht="19.95" customHeight="1">
      <c r="A904" s="314">
        <v>46142</v>
      </c>
      <c r="B904" s="315" t="s">
        <v>1234</v>
      </c>
      <c r="C904" s="315" t="s">
        <v>883</v>
      </c>
      <c r="D904" s="315" t="s">
        <v>884</v>
      </c>
      <c r="E904" s="315" t="s">
        <v>89</v>
      </c>
      <c r="F904" s="316" t="s">
        <v>26</v>
      </c>
      <c r="G904" s="316">
        <v>3808</v>
      </c>
      <c r="H904" s="317">
        <v>0.18</v>
      </c>
      <c r="I904" s="318">
        <v>3333</v>
      </c>
      <c r="J904" s="318">
        <f t="shared" si="67"/>
        <v>299.97000000000003</v>
      </c>
      <c r="K904" s="318">
        <f t="shared" si="68"/>
        <v>299.97000000000003</v>
      </c>
      <c r="L904" s="319"/>
      <c r="M904" s="319">
        <f>Table432[[#This Row],[Taxable Amount]]+Table432[[#This Row],[SGST]]+Table432[[#This Row],[CGST]]</f>
        <v>3932.9400000000005</v>
      </c>
      <c r="N904" s="320">
        <f>Table432[[#This Row],[Taxable Amount]]*1%</f>
        <v>33.33</v>
      </c>
      <c r="O904" s="321"/>
      <c r="P904" s="392" t="s">
        <v>1248</v>
      </c>
      <c r="Q904" s="322"/>
      <c r="R904" s="321"/>
      <c r="S904" s="323" t="e">
        <f>Table432[[#This Row],[Invoice Amount]]-Table432[[#This Row],[TDS]]-Table432[[#This Row],[RTN]]-Table432[[#This Row],[RECIVED AMOUNT]]</f>
        <v>#VALUE!</v>
      </c>
      <c r="T904" s="315"/>
      <c r="U904" s="315"/>
      <c r="V904" s="324" t="e">
        <f>Table432[[#This Row],[BALANCE]]-Table432[[#This Row],[RECIVED AMOUNT2]]</f>
        <v>#VALUE!</v>
      </c>
    </row>
    <row r="905" spans="1:22" s="325" customFormat="1" ht="19.95" customHeight="1">
      <c r="A905" s="314">
        <v>46142</v>
      </c>
      <c r="B905" s="315" t="s">
        <v>1235</v>
      </c>
      <c r="C905" s="315" t="s">
        <v>883</v>
      </c>
      <c r="D905" s="315" t="s">
        <v>884</v>
      </c>
      <c r="E905" s="315" t="s">
        <v>89</v>
      </c>
      <c r="F905" s="316" t="s">
        <v>26</v>
      </c>
      <c r="G905" s="316">
        <v>3808</v>
      </c>
      <c r="H905" s="317">
        <v>0.18</v>
      </c>
      <c r="I905" s="318">
        <v>3333</v>
      </c>
      <c r="J905" s="318">
        <f t="shared" si="67"/>
        <v>299.97000000000003</v>
      </c>
      <c r="K905" s="318">
        <f t="shared" si="68"/>
        <v>299.97000000000003</v>
      </c>
      <c r="L905" s="319"/>
      <c r="M905" s="319">
        <f>Table432[[#This Row],[Taxable Amount]]+Table432[[#This Row],[SGST]]+Table432[[#This Row],[CGST]]</f>
        <v>3932.9400000000005</v>
      </c>
      <c r="N905" s="320">
        <f>Table432[[#This Row],[Taxable Amount]]*1%</f>
        <v>33.33</v>
      </c>
      <c r="O905" s="321"/>
      <c r="P905" s="392" t="s">
        <v>1248</v>
      </c>
      <c r="Q905" s="322"/>
      <c r="R905" s="321"/>
      <c r="S905" s="323" t="e">
        <f>Table432[[#This Row],[Invoice Amount]]-Table432[[#This Row],[TDS]]-Table432[[#This Row],[RTN]]-Table432[[#This Row],[RECIVED AMOUNT]]</f>
        <v>#VALUE!</v>
      </c>
      <c r="T905" s="315"/>
      <c r="U905" s="315"/>
      <c r="V905" s="324" t="e">
        <f>Table432[[#This Row],[BALANCE]]-Table432[[#This Row],[RECIVED AMOUNT2]]</f>
        <v>#VALUE!</v>
      </c>
    </row>
    <row r="906" spans="1:22" s="325" customFormat="1" ht="19.95" customHeight="1">
      <c r="A906" s="314">
        <v>46142</v>
      </c>
      <c r="B906" s="315" t="s">
        <v>1236</v>
      </c>
      <c r="C906" s="315" t="s">
        <v>883</v>
      </c>
      <c r="D906" s="315" t="s">
        <v>884</v>
      </c>
      <c r="E906" s="315" t="s">
        <v>89</v>
      </c>
      <c r="F906" s="316" t="s">
        <v>26</v>
      </c>
      <c r="G906" s="316">
        <v>3808</v>
      </c>
      <c r="H906" s="317">
        <v>0.18</v>
      </c>
      <c r="I906" s="318">
        <v>3333</v>
      </c>
      <c r="J906" s="318">
        <f t="shared" si="67"/>
        <v>299.97000000000003</v>
      </c>
      <c r="K906" s="318">
        <f t="shared" si="68"/>
        <v>299.97000000000003</v>
      </c>
      <c r="L906" s="319"/>
      <c r="M906" s="319">
        <f>Table432[[#This Row],[Taxable Amount]]+Table432[[#This Row],[SGST]]+Table432[[#This Row],[CGST]]</f>
        <v>3932.9400000000005</v>
      </c>
      <c r="N906" s="320">
        <f>Table432[[#This Row],[Taxable Amount]]*1%</f>
        <v>33.33</v>
      </c>
      <c r="O906" s="321"/>
      <c r="P906" s="392" t="s">
        <v>1248</v>
      </c>
      <c r="Q906" s="322"/>
      <c r="R906" s="321"/>
      <c r="S906" s="323" t="e">
        <f>Table432[[#This Row],[Invoice Amount]]-Table432[[#This Row],[TDS]]-Table432[[#This Row],[RTN]]-Table432[[#This Row],[RECIVED AMOUNT]]</f>
        <v>#VALUE!</v>
      </c>
      <c r="T906" s="315"/>
      <c r="U906" s="315"/>
      <c r="V906" s="324" t="e">
        <f>Table432[[#This Row],[BALANCE]]-Table432[[#This Row],[RECIVED AMOUNT2]]</f>
        <v>#VALUE!</v>
      </c>
    </row>
    <row r="907" spans="1:22" ht="19.95" customHeight="1">
      <c r="A907" s="128">
        <v>46142</v>
      </c>
      <c r="B907" s="131" t="s">
        <v>1237</v>
      </c>
      <c r="C907" s="131" t="s">
        <v>1185</v>
      </c>
      <c r="D907" s="131" t="s">
        <v>1186</v>
      </c>
      <c r="E907" s="131" t="s">
        <v>36</v>
      </c>
      <c r="F907" s="136" t="s">
        <v>26</v>
      </c>
      <c r="G907" s="136">
        <v>3808</v>
      </c>
      <c r="H907" s="23">
        <v>0.18</v>
      </c>
      <c r="I907" s="129">
        <v>4400</v>
      </c>
      <c r="J907" s="129">
        <f t="shared" si="67"/>
        <v>396</v>
      </c>
      <c r="K907" s="129">
        <f t="shared" si="68"/>
        <v>396</v>
      </c>
      <c r="L907" s="130"/>
      <c r="M907" s="130">
        <f>Table432[[#This Row],[Taxable Amount]]+Table432[[#This Row],[SGST]]+Table432[[#This Row],[CGST]]</f>
        <v>5192</v>
      </c>
      <c r="N907" s="161">
        <f>Table432[[#This Row],[Taxable Amount]]*1%</f>
        <v>44</v>
      </c>
      <c r="O907" s="132"/>
      <c r="P907" s="135"/>
      <c r="Q907" s="135"/>
      <c r="R907" s="132" t="s">
        <v>1264</v>
      </c>
      <c r="S907" s="138">
        <f>Table432[[#This Row],[Invoice Amount]]-Table432[[#This Row],[TDS]]-Table432[[#This Row],[RTN]]-Table432[[#This Row],[RECIVED AMOUNT]]</f>
        <v>5148</v>
      </c>
      <c r="T907" s="131"/>
      <c r="U907" s="131"/>
      <c r="V907" s="41">
        <f>Table432[[#This Row],[BALANCE]]-Table432[[#This Row],[RECIVED AMOUNT2]]</f>
        <v>5148</v>
      </c>
    </row>
    <row r="908" spans="1:22" ht="19.95" customHeight="1">
      <c r="A908" s="128">
        <v>46142</v>
      </c>
      <c r="B908" s="131" t="s">
        <v>1238</v>
      </c>
      <c r="C908" s="131" t="s">
        <v>885</v>
      </c>
      <c r="D908" s="131" t="s">
        <v>886</v>
      </c>
      <c r="E908" s="131" t="s">
        <v>59</v>
      </c>
      <c r="F908" s="136" t="s">
        <v>26</v>
      </c>
      <c r="G908" s="136">
        <v>3808</v>
      </c>
      <c r="H908" s="23">
        <v>0.18</v>
      </c>
      <c r="I908" s="129">
        <v>4400</v>
      </c>
      <c r="J908" s="129">
        <f t="shared" si="67"/>
        <v>396</v>
      </c>
      <c r="K908" s="129">
        <f t="shared" si="68"/>
        <v>396</v>
      </c>
      <c r="L908" s="130"/>
      <c r="M908" s="130">
        <f>Table432[[#This Row],[Taxable Amount]]+Table432[[#This Row],[SGST]]+Table432[[#This Row],[CGST]]</f>
        <v>5192</v>
      </c>
      <c r="N908" s="161"/>
      <c r="O908" s="132"/>
      <c r="P908" s="135"/>
      <c r="Q908" s="135"/>
      <c r="R908" s="132" t="s">
        <v>1264</v>
      </c>
      <c r="S908" s="138">
        <f>Table432[[#This Row],[Invoice Amount]]-Table432[[#This Row],[TDS]]-Table432[[#This Row],[RTN]]-Table432[[#This Row],[RECIVED AMOUNT]]</f>
        <v>5192</v>
      </c>
      <c r="T908" s="131"/>
      <c r="U908" s="131"/>
      <c r="V908" s="41">
        <f>Table432[[#This Row],[BALANCE]]-Table432[[#This Row],[RECIVED AMOUNT2]]</f>
        <v>5192</v>
      </c>
    </row>
    <row r="909" spans="1:22" ht="19.95" customHeight="1">
      <c r="A909" s="128">
        <v>46142</v>
      </c>
      <c r="B909" s="131" t="s">
        <v>1239</v>
      </c>
      <c r="C909" s="131" t="s">
        <v>1187</v>
      </c>
      <c r="D909" s="131" t="s">
        <v>1188</v>
      </c>
      <c r="E909" s="131" t="s">
        <v>983</v>
      </c>
      <c r="F909" s="136" t="s">
        <v>26</v>
      </c>
      <c r="G909" s="136">
        <v>3808</v>
      </c>
      <c r="H909" s="23">
        <v>0.18</v>
      </c>
      <c r="I909" s="129">
        <v>3500</v>
      </c>
      <c r="J909" s="129">
        <f t="shared" si="67"/>
        <v>315</v>
      </c>
      <c r="K909" s="129">
        <f t="shared" si="68"/>
        <v>315</v>
      </c>
      <c r="L909" s="130"/>
      <c r="M909" s="130">
        <f>Table432[[#This Row],[Taxable Amount]]+Table432[[#This Row],[SGST]]+Table432[[#This Row],[CGST]]</f>
        <v>4130</v>
      </c>
      <c r="N909" s="161">
        <f>Table432[[#This Row],[Taxable Amount]]*1%</f>
        <v>35</v>
      </c>
      <c r="O909" s="132"/>
      <c r="P909" s="135"/>
      <c r="Q909" s="135"/>
      <c r="R909" s="132" t="s">
        <v>1264</v>
      </c>
      <c r="S909" s="138">
        <f>Table432[[#This Row],[Invoice Amount]]-Table432[[#This Row],[TDS]]-Table432[[#This Row],[RTN]]-Table432[[#This Row],[RECIVED AMOUNT]]</f>
        <v>4095</v>
      </c>
      <c r="T909" s="131"/>
      <c r="U909" s="131"/>
      <c r="V909" s="41">
        <f>Table432[[#This Row],[BALANCE]]-Table432[[#This Row],[RECIVED AMOUNT2]]</f>
        <v>4095</v>
      </c>
    </row>
    <row r="910" spans="1:22" ht="19.95" customHeight="1">
      <c r="A910" s="128">
        <v>46142</v>
      </c>
      <c r="B910" s="165" t="s">
        <v>1240</v>
      </c>
      <c r="C910" s="165" t="s">
        <v>1187</v>
      </c>
      <c r="D910" s="165" t="s">
        <v>1188</v>
      </c>
      <c r="E910" s="165" t="s">
        <v>983</v>
      </c>
      <c r="F910" s="166" t="s">
        <v>26</v>
      </c>
      <c r="G910" s="136">
        <v>3808</v>
      </c>
      <c r="H910" s="23">
        <v>0.18</v>
      </c>
      <c r="I910" s="167">
        <v>3500</v>
      </c>
      <c r="J910" s="167">
        <f>I910*9/100</f>
        <v>315</v>
      </c>
      <c r="K910" s="167">
        <f>I910*9/100</f>
        <v>315</v>
      </c>
      <c r="L910" s="168"/>
      <c r="M910" s="168">
        <f>Table432[[#This Row],[Taxable Amount]]+Table432[[#This Row],[SGST]]+Table432[[#This Row],[CGST]]</f>
        <v>4130</v>
      </c>
      <c r="N910" s="169">
        <f>Table432[[#This Row],[Taxable Amount]]*1%</f>
        <v>35</v>
      </c>
      <c r="O910" s="385"/>
      <c r="P910" s="386"/>
      <c r="Q910" s="386"/>
      <c r="R910" s="132" t="s">
        <v>1264</v>
      </c>
      <c r="S910" s="387">
        <f>Table432[[#This Row],[Invoice Amount]]-Table432[[#This Row],[TDS]]-Table432[[#This Row],[RECIVED AMOUNT]]</f>
        <v>4095</v>
      </c>
      <c r="T910" s="165"/>
      <c r="U910" s="165"/>
      <c r="V910" s="167">
        <f>Table432[[#This Row],[BALANCE]]-Table432[[#This Row],[RECIVED AMOUNT2]]</f>
        <v>4095</v>
      </c>
    </row>
    <row r="911" spans="1:22" s="12" customFormat="1" ht="16.95" customHeight="1">
      <c r="A911" s="128">
        <v>46142</v>
      </c>
      <c r="B911" s="165" t="s">
        <v>1241</v>
      </c>
      <c r="C911" s="131" t="s">
        <v>954</v>
      </c>
      <c r="D911" s="131" t="s">
        <v>61</v>
      </c>
      <c r="E911" s="131" t="s">
        <v>62</v>
      </c>
      <c r="F911" s="136" t="s">
        <v>37</v>
      </c>
      <c r="G911" s="136">
        <v>3808</v>
      </c>
      <c r="H911" s="23">
        <v>0.18</v>
      </c>
      <c r="I911" s="129">
        <v>20710</v>
      </c>
      <c r="J911" s="129">
        <f>I911*9/100</f>
        <v>1863.9</v>
      </c>
      <c r="K911" s="129">
        <f>I911*9/100</f>
        <v>1863.9</v>
      </c>
      <c r="L911" s="129"/>
      <c r="M911" s="129">
        <f>Table432[[#This Row],[Taxable Amount]]+Table432[[#This Row],[SGST]]+Table432[[#This Row],[CGST]]</f>
        <v>24437.800000000003</v>
      </c>
      <c r="N911" s="161">
        <f>Table432[[#This Row],[Taxable Amount]]*1%</f>
        <v>207.1</v>
      </c>
      <c r="O911" s="161"/>
      <c r="P911" s="135"/>
      <c r="Q911" s="135"/>
      <c r="R911" s="132" t="s">
        <v>1264</v>
      </c>
      <c r="S911" s="388">
        <f>Table432[[#This Row],[Invoice Amount]]-Table432[[#This Row],[TDS]]-Table432[[#This Row],[RECIVED AMOUNT]]</f>
        <v>24230.700000000004</v>
      </c>
      <c r="T911" s="131"/>
      <c r="U911" s="131"/>
      <c r="V911" s="129">
        <f>Table432[[#This Row],[BALANCE]]-Table432[[#This Row],[RECIVED AMOUNT2]]</f>
        <v>24230.700000000004</v>
      </c>
    </row>
    <row r="912" spans="1:22" s="12" customFormat="1" ht="16.95" customHeight="1">
      <c r="A912" s="128">
        <v>46142</v>
      </c>
      <c r="B912" s="165" t="s">
        <v>1242</v>
      </c>
      <c r="C912" s="131" t="s">
        <v>396</v>
      </c>
      <c r="D912" s="131" t="s">
        <v>397</v>
      </c>
      <c r="E912" s="131" t="s">
        <v>44</v>
      </c>
      <c r="F912" s="136" t="s">
        <v>37</v>
      </c>
      <c r="G912" s="136">
        <v>3808</v>
      </c>
      <c r="H912" s="23">
        <v>0.18</v>
      </c>
      <c r="I912" s="129">
        <v>14000</v>
      </c>
      <c r="J912" s="129">
        <f t="shared" ref="J912:J976" si="69">I912*9/100</f>
        <v>1260</v>
      </c>
      <c r="K912" s="129">
        <f t="shared" ref="K912:K976" si="70">I912*9/100</f>
        <v>1260</v>
      </c>
      <c r="L912" s="130"/>
      <c r="M912" s="130">
        <f>Table432[[#This Row],[Taxable Amount]]+Table432[[#This Row],[SGST]]+Table432[[#This Row],[CGST]]</f>
        <v>16520</v>
      </c>
      <c r="N912" s="161">
        <f>Table432[[#This Row],[Taxable Amount]]*1%</f>
        <v>140</v>
      </c>
      <c r="O912" s="132"/>
      <c r="P912" s="135"/>
      <c r="Q912" s="135"/>
      <c r="R912" s="132" t="s">
        <v>1264</v>
      </c>
      <c r="S912" s="313">
        <f>Table432[[#This Row],[Invoice Amount]]-Table432[[#This Row],[TDS]]-Table432[[#This Row],[RECIVED AMOUNT]]</f>
        <v>16380</v>
      </c>
      <c r="T912" s="131"/>
      <c r="U912" s="131"/>
      <c r="V912" s="129">
        <f>Table432[[#This Row],[BALANCE]]-Table432[[#This Row],[RECIVED AMOUNT2]]</f>
        <v>16380</v>
      </c>
    </row>
    <row r="913" spans="1:22" s="326" customFormat="1" ht="19.2" customHeight="1">
      <c r="A913" s="314">
        <v>46142</v>
      </c>
      <c r="B913" s="390" t="s">
        <v>1243</v>
      </c>
      <c r="C913" s="315" t="s">
        <v>396</v>
      </c>
      <c r="D913" s="315" t="s">
        <v>397</v>
      </c>
      <c r="E913" s="315" t="s">
        <v>260</v>
      </c>
      <c r="F913" s="316" t="s">
        <v>26</v>
      </c>
      <c r="G913" s="316">
        <v>3808</v>
      </c>
      <c r="H913" s="317">
        <v>0.18</v>
      </c>
      <c r="I913" s="318">
        <v>6000</v>
      </c>
      <c r="J913" s="318">
        <f t="shared" si="69"/>
        <v>540</v>
      </c>
      <c r="K913" s="318">
        <f t="shared" si="70"/>
        <v>540</v>
      </c>
      <c r="L913" s="319"/>
      <c r="M913" s="319">
        <f>Table432[[#This Row],[Taxable Amount]]+Table432[[#This Row],[SGST]]+Table432[[#This Row],[CGST]]</f>
        <v>7080</v>
      </c>
      <c r="N913" s="320">
        <f>Table432[[#This Row],[Taxable Amount]]*1%</f>
        <v>60</v>
      </c>
      <c r="O913" s="321"/>
      <c r="P913" s="392" t="s">
        <v>1248</v>
      </c>
      <c r="Q913" s="322"/>
      <c r="R913" s="321"/>
      <c r="S913" s="391" t="e">
        <f>Table432[[#This Row],[Invoice Amount]]-Table432[[#This Row],[TDS]]-Table432[[#This Row],[RECIVED AMOUNT]]</f>
        <v>#VALUE!</v>
      </c>
      <c r="T913" s="315"/>
      <c r="U913" s="315"/>
      <c r="V913" s="318" t="e">
        <f>Table432[[#This Row],[BALANCE]]-Table432[[#This Row],[RECIVED AMOUNT2]]</f>
        <v>#VALUE!</v>
      </c>
    </row>
    <row r="914" spans="1:22" s="12" customFormat="1" ht="19.2" customHeight="1">
      <c r="A914" s="128">
        <v>46142</v>
      </c>
      <c r="B914" s="165" t="s">
        <v>1244</v>
      </c>
      <c r="C914" s="3" t="s">
        <v>963</v>
      </c>
      <c r="D914" s="7" t="s">
        <v>143</v>
      </c>
      <c r="E914" s="389" t="s">
        <v>232</v>
      </c>
      <c r="F914" s="4" t="s">
        <v>26</v>
      </c>
      <c r="G914" s="136">
        <v>3808</v>
      </c>
      <c r="H914" s="23">
        <v>0.18</v>
      </c>
      <c r="I914" s="129">
        <v>3000</v>
      </c>
      <c r="J914" s="129">
        <f t="shared" si="69"/>
        <v>270</v>
      </c>
      <c r="K914" s="129">
        <f t="shared" si="70"/>
        <v>270</v>
      </c>
      <c r="L914" s="130"/>
      <c r="M914" s="130">
        <f>Table432[[#This Row],[Taxable Amount]]+Table432[[#This Row],[SGST]]+Table432[[#This Row],[CGST]]</f>
        <v>3540</v>
      </c>
      <c r="N914" s="161">
        <f>Table432[[#This Row],[Taxable Amount]]*1%</f>
        <v>30</v>
      </c>
      <c r="O914" s="132"/>
      <c r="P914" s="135">
        <v>3540</v>
      </c>
      <c r="Q914" s="205">
        <v>46241</v>
      </c>
      <c r="R914" s="132" t="s">
        <v>1264</v>
      </c>
      <c r="S914" s="313">
        <f>Table432[[#This Row],[Invoice Amount]]-Table432[[#This Row],[TDS]]-Table432[[#This Row],[RECIVED AMOUNT]]</f>
        <v>-30</v>
      </c>
      <c r="T914" s="131"/>
      <c r="U914" s="131"/>
      <c r="V914" s="129">
        <f>Table432[[#This Row],[BALANCE]]-Table432[[#This Row],[RECIVED AMOUNT2]]</f>
        <v>-30</v>
      </c>
    </row>
    <row r="915" spans="1:22" s="12" customFormat="1" ht="19.2" customHeight="1">
      <c r="A915" s="128">
        <v>46142</v>
      </c>
      <c r="B915" s="165" t="s">
        <v>1245</v>
      </c>
      <c r="C915" s="131" t="s">
        <v>981</v>
      </c>
      <c r="D915" s="131" t="s">
        <v>982</v>
      </c>
      <c r="E915" s="131" t="s">
        <v>1053</v>
      </c>
      <c r="F915" s="136" t="s">
        <v>26</v>
      </c>
      <c r="G915" s="136">
        <v>3808</v>
      </c>
      <c r="H915" s="23">
        <v>0.18</v>
      </c>
      <c r="I915" s="129">
        <v>12750</v>
      </c>
      <c r="J915" s="129">
        <f t="shared" si="69"/>
        <v>1147.5</v>
      </c>
      <c r="K915" s="129">
        <f t="shared" si="70"/>
        <v>1147.5</v>
      </c>
      <c r="L915" s="130"/>
      <c r="M915" s="130">
        <f>Table432[[#This Row],[Taxable Amount]]+Table432[[#This Row],[SGST]]+Table432[[#This Row],[CGST]]</f>
        <v>15045</v>
      </c>
      <c r="N915" s="161">
        <v>0</v>
      </c>
      <c r="O915" s="132"/>
      <c r="P915" s="135">
        <v>15045</v>
      </c>
      <c r="Q915" s="205">
        <v>46157</v>
      </c>
      <c r="R915" s="132" t="s">
        <v>1264</v>
      </c>
      <c r="S915" s="313">
        <f>Table432[[#This Row],[Invoice Amount]]-Table432[[#This Row],[TDS]]-Table432[[#This Row],[RECIVED AMOUNT]]</f>
        <v>0</v>
      </c>
      <c r="T915" s="131"/>
      <c r="U915" s="131"/>
      <c r="V915" s="129">
        <f>Table432[[#This Row],[BALANCE]]-Table432[[#This Row],[RECIVED AMOUNT2]]</f>
        <v>0</v>
      </c>
    </row>
    <row r="916" spans="1:22" s="326" customFormat="1" ht="19.2" customHeight="1">
      <c r="A916" s="314">
        <v>46142</v>
      </c>
      <c r="B916" s="390" t="s">
        <v>1246</v>
      </c>
      <c r="C916" s="315" t="s">
        <v>955</v>
      </c>
      <c r="D916" s="315" t="s">
        <v>205</v>
      </c>
      <c r="E916" s="315" t="s">
        <v>67</v>
      </c>
      <c r="F916" s="316" t="s">
        <v>26</v>
      </c>
      <c r="G916" s="316">
        <v>3808</v>
      </c>
      <c r="H916" s="317">
        <v>0.18</v>
      </c>
      <c r="I916" s="318">
        <v>18550</v>
      </c>
      <c r="J916" s="318">
        <f t="shared" si="69"/>
        <v>1669.5</v>
      </c>
      <c r="K916" s="318">
        <f t="shared" si="70"/>
        <v>1669.5</v>
      </c>
      <c r="L916" s="319"/>
      <c r="M916" s="319">
        <f>Table432[[#This Row],[Taxable Amount]]+Table432[[#This Row],[SGST]]+Table432[[#This Row],[CGST]]</f>
        <v>21889</v>
      </c>
      <c r="N916" s="320">
        <f>Table432[[#This Row],[Taxable Amount]]*1%</f>
        <v>185.5</v>
      </c>
      <c r="O916" s="321"/>
      <c r="P916" s="322">
        <v>1440</v>
      </c>
      <c r="Q916" s="322"/>
      <c r="R916" s="321" t="s">
        <v>1264</v>
      </c>
      <c r="S916" s="391">
        <f>Table432[[#This Row],[Invoice Amount]]-Table432[[#This Row],[TDS]]-Table432[[#This Row],[RECIVED AMOUNT]]</f>
        <v>20263.5</v>
      </c>
      <c r="T916" s="315"/>
      <c r="U916" s="315"/>
      <c r="V916" s="318">
        <f>Table432[[#This Row],[BALANCE]]-Table432[[#This Row],[RECIVED AMOUNT2]]</f>
        <v>20263.5</v>
      </c>
    </row>
    <row r="917" spans="1:22" s="12" customFormat="1" ht="19.2" customHeight="1">
      <c r="A917" s="128">
        <v>46147</v>
      </c>
      <c r="B917" s="165" t="s">
        <v>1269</v>
      </c>
      <c r="C917" s="131" t="s">
        <v>955</v>
      </c>
      <c r="D917" s="131" t="s">
        <v>205</v>
      </c>
      <c r="E917" s="131" t="s">
        <v>67</v>
      </c>
      <c r="F917" s="136" t="s">
        <v>26</v>
      </c>
      <c r="G917" s="136">
        <v>3808</v>
      </c>
      <c r="H917" s="23">
        <v>0.18</v>
      </c>
      <c r="I917" s="129">
        <v>18550</v>
      </c>
      <c r="J917" s="129">
        <f t="shared" ref="J917" si="71">I917*9/100</f>
        <v>1669.5</v>
      </c>
      <c r="K917" s="129">
        <f t="shared" ref="K917" si="72">I917*9/100</f>
        <v>1669.5</v>
      </c>
      <c r="L917" s="130"/>
      <c r="M917" s="130">
        <f>Table432[[#This Row],[Taxable Amount]]+Table432[[#This Row],[SGST]]+Table432[[#This Row],[CGST]]</f>
        <v>21889</v>
      </c>
      <c r="N917" s="161">
        <f>Table432[[#This Row],[Taxable Amount]]*1%</f>
        <v>185.5</v>
      </c>
      <c r="O917" s="132"/>
      <c r="P917" s="135">
        <v>21704</v>
      </c>
      <c r="Q917" s="205">
        <v>46204</v>
      </c>
      <c r="R917" s="132" t="s">
        <v>1342</v>
      </c>
      <c r="S917" s="313">
        <f>Table432[[#This Row],[Invoice Amount]]-Table432[[#This Row],[TDS]]-Table432[[#This Row],[RECIVED AMOUNT]]</f>
        <v>-0.5</v>
      </c>
      <c r="T917" s="131"/>
      <c r="U917" s="131"/>
      <c r="V917" s="129">
        <f>Table432[[#This Row],[BALANCE]]-Table432[[#This Row],[RECIVED AMOUNT2]]</f>
        <v>-0.5</v>
      </c>
    </row>
    <row r="918" spans="1:22" s="12" customFormat="1" ht="19.2" customHeight="1">
      <c r="A918" s="226">
        <v>46147</v>
      </c>
      <c r="B918" s="165" t="s">
        <v>1247</v>
      </c>
      <c r="C918" s="131" t="s">
        <v>674</v>
      </c>
      <c r="D918" s="131" t="s">
        <v>675</v>
      </c>
      <c r="E918" s="131" t="s">
        <v>676</v>
      </c>
      <c r="F918" s="136" t="s">
        <v>26</v>
      </c>
      <c r="G918" s="136">
        <v>3808</v>
      </c>
      <c r="H918" s="23">
        <v>0.18</v>
      </c>
      <c r="I918" s="129">
        <v>10200</v>
      </c>
      <c r="J918" s="129">
        <f t="shared" si="69"/>
        <v>918</v>
      </c>
      <c r="K918" s="129">
        <f t="shared" si="70"/>
        <v>918</v>
      </c>
      <c r="L918" s="130"/>
      <c r="M918" s="130">
        <f>Table432[[#This Row],[Taxable Amount]]+Table432[[#This Row],[SGST]]+Table432[[#This Row],[CGST]]</f>
        <v>12036</v>
      </c>
      <c r="N918" s="161">
        <f>Table432[[#This Row],[Taxable Amount]]*1%</f>
        <v>102</v>
      </c>
      <c r="O918" s="132"/>
      <c r="P918" s="135"/>
      <c r="Q918" s="135"/>
      <c r="R918" s="132" t="s">
        <v>1342</v>
      </c>
      <c r="S918" s="313">
        <f>Table432[[#This Row],[Invoice Amount]]-Table432[[#This Row],[TDS]]-Table432[[#This Row],[RECIVED AMOUNT]]</f>
        <v>11934</v>
      </c>
      <c r="T918" s="131"/>
      <c r="U918" s="131"/>
      <c r="V918" s="129">
        <f>Table432[[#This Row],[BALANCE]]-Table432[[#This Row],[RECIVED AMOUNT2]]</f>
        <v>11934</v>
      </c>
    </row>
    <row r="919" spans="1:22" s="12" customFormat="1" ht="19.2" customHeight="1">
      <c r="A919" s="226">
        <v>46147</v>
      </c>
      <c r="B919" s="165" t="s">
        <v>1249</v>
      </c>
      <c r="C919" s="131" t="s">
        <v>674</v>
      </c>
      <c r="D919" s="131" t="s">
        <v>675</v>
      </c>
      <c r="E919" s="131" t="s">
        <v>678</v>
      </c>
      <c r="F919" s="136" t="s">
        <v>26</v>
      </c>
      <c r="G919" s="136">
        <v>3808</v>
      </c>
      <c r="H919" s="23">
        <v>0.18</v>
      </c>
      <c r="I919" s="129">
        <v>4900</v>
      </c>
      <c r="J919" s="129">
        <f t="shared" si="69"/>
        <v>441</v>
      </c>
      <c r="K919" s="129">
        <f t="shared" si="70"/>
        <v>441</v>
      </c>
      <c r="L919" s="130"/>
      <c r="M919" s="130">
        <f>Table432[[#This Row],[Taxable Amount]]+Table432[[#This Row],[SGST]]+Table432[[#This Row],[CGST]]</f>
        <v>5782</v>
      </c>
      <c r="N919" s="161">
        <f>Table432[[#This Row],[Taxable Amount]]*1%</f>
        <v>49</v>
      </c>
      <c r="O919" s="132"/>
      <c r="P919" s="135"/>
      <c r="Q919" s="135"/>
      <c r="R919" s="132" t="s">
        <v>1342</v>
      </c>
      <c r="S919" s="313">
        <f>Table432[[#This Row],[Invoice Amount]]-Table432[[#This Row],[TDS]]-Table432[[#This Row],[RECIVED AMOUNT]]</f>
        <v>5733</v>
      </c>
      <c r="T919" s="131"/>
      <c r="U919" s="131"/>
      <c r="V919" s="129">
        <f>Table432[[#This Row],[BALANCE]]-Table432[[#This Row],[RECIVED AMOUNT2]]</f>
        <v>5733</v>
      </c>
    </row>
    <row r="920" spans="1:22" s="12" customFormat="1" ht="19.2" customHeight="1">
      <c r="A920" s="226">
        <v>46147</v>
      </c>
      <c r="B920" s="165" t="s">
        <v>1250</v>
      </c>
      <c r="C920" s="131" t="s">
        <v>674</v>
      </c>
      <c r="D920" s="131" t="s">
        <v>675</v>
      </c>
      <c r="E920" s="131" t="s">
        <v>684</v>
      </c>
      <c r="F920" s="136" t="s">
        <v>26</v>
      </c>
      <c r="G920" s="136">
        <v>3808</v>
      </c>
      <c r="H920" s="23">
        <v>0.18</v>
      </c>
      <c r="I920" s="129">
        <v>2400</v>
      </c>
      <c r="J920" s="129">
        <f t="shared" si="69"/>
        <v>216</v>
      </c>
      <c r="K920" s="129">
        <f t="shared" si="70"/>
        <v>216</v>
      </c>
      <c r="L920" s="130"/>
      <c r="M920" s="130">
        <f>Table432[[#This Row],[Taxable Amount]]+Table432[[#This Row],[SGST]]+Table432[[#This Row],[CGST]]</f>
        <v>2832</v>
      </c>
      <c r="N920" s="161">
        <f>Table432[[#This Row],[Taxable Amount]]*1%</f>
        <v>24</v>
      </c>
      <c r="O920" s="132"/>
      <c r="P920" s="135"/>
      <c r="Q920" s="135"/>
      <c r="R920" s="132" t="s">
        <v>1342</v>
      </c>
      <c r="S920" s="313">
        <f>Table432[[#This Row],[Invoice Amount]]-Table432[[#This Row],[TDS]]-Table432[[#This Row],[RECIVED AMOUNT]]</f>
        <v>2808</v>
      </c>
      <c r="T920" s="131"/>
      <c r="U920" s="131"/>
      <c r="V920" s="129">
        <f>Table432[[#This Row],[BALANCE]]-Table432[[#This Row],[RECIVED AMOUNT2]]</f>
        <v>2808</v>
      </c>
    </row>
    <row r="921" spans="1:22" s="12" customFormat="1" ht="19.2" customHeight="1">
      <c r="A921" s="226">
        <v>46147</v>
      </c>
      <c r="B921" s="165" t="s">
        <v>1251</v>
      </c>
      <c r="C921" s="131" t="s">
        <v>674</v>
      </c>
      <c r="D921" s="131" t="s">
        <v>675</v>
      </c>
      <c r="E921" s="131" t="s">
        <v>956</v>
      </c>
      <c r="F921" s="136" t="s">
        <v>26</v>
      </c>
      <c r="G921" s="136">
        <v>3808</v>
      </c>
      <c r="H921" s="23">
        <v>0.18</v>
      </c>
      <c r="I921" s="129">
        <v>1800</v>
      </c>
      <c r="J921" s="129">
        <f t="shared" si="69"/>
        <v>162</v>
      </c>
      <c r="K921" s="129">
        <f t="shared" si="70"/>
        <v>162</v>
      </c>
      <c r="L921" s="130"/>
      <c r="M921" s="130">
        <f>Table432[[#This Row],[Taxable Amount]]+Table432[[#This Row],[SGST]]+Table432[[#This Row],[CGST]]</f>
        <v>2124</v>
      </c>
      <c r="N921" s="161">
        <f>Table432[[#This Row],[Taxable Amount]]*1%</f>
        <v>18</v>
      </c>
      <c r="O921" s="132"/>
      <c r="P921" s="135"/>
      <c r="Q921" s="135"/>
      <c r="R921" s="132" t="s">
        <v>1342</v>
      </c>
      <c r="S921" s="313">
        <f>Table432[[#This Row],[Invoice Amount]]-Table432[[#This Row],[TDS]]-Table432[[#This Row],[RECIVED AMOUNT]]</f>
        <v>2106</v>
      </c>
      <c r="T921" s="131"/>
      <c r="U921" s="131"/>
      <c r="V921" s="129">
        <f>Table432[[#This Row],[BALANCE]]-Table432[[#This Row],[RECIVED AMOUNT2]]</f>
        <v>2106</v>
      </c>
    </row>
    <row r="922" spans="1:22" s="12" customFormat="1" ht="19.2" customHeight="1">
      <c r="A922" s="226">
        <v>46147</v>
      </c>
      <c r="B922" s="165" t="s">
        <v>1252</v>
      </c>
      <c r="C922" s="131" t="s">
        <v>674</v>
      </c>
      <c r="D922" s="131" t="s">
        <v>675</v>
      </c>
      <c r="E922" s="131" t="s">
        <v>716</v>
      </c>
      <c r="F922" s="136" t="s">
        <v>26</v>
      </c>
      <c r="G922" s="136">
        <v>3808</v>
      </c>
      <c r="H922" s="23">
        <v>0.18</v>
      </c>
      <c r="I922" s="129">
        <v>2150</v>
      </c>
      <c r="J922" s="129">
        <f t="shared" si="69"/>
        <v>193.5</v>
      </c>
      <c r="K922" s="129">
        <f t="shared" si="70"/>
        <v>193.5</v>
      </c>
      <c r="L922" s="130"/>
      <c r="M922" s="130">
        <f>Table432[[#This Row],[Taxable Amount]]+Table432[[#This Row],[SGST]]+Table432[[#This Row],[CGST]]</f>
        <v>2537</v>
      </c>
      <c r="N922" s="161">
        <f>Table432[[#This Row],[Taxable Amount]]*1%</f>
        <v>21.5</v>
      </c>
      <c r="O922" s="132"/>
      <c r="P922" s="135"/>
      <c r="Q922" s="135"/>
      <c r="R922" s="132" t="s">
        <v>1342</v>
      </c>
      <c r="S922" s="313">
        <f>Table432[[#This Row],[Invoice Amount]]-Table432[[#This Row],[TDS]]-Table432[[#This Row],[RECIVED AMOUNT]]</f>
        <v>2515.5</v>
      </c>
      <c r="T922" s="131"/>
      <c r="U922" s="131"/>
      <c r="V922" s="129">
        <f>Table432[[#This Row],[BALANCE]]-Table432[[#This Row],[RECIVED AMOUNT2]]</f>
        <v>2515.5</v>
      </c>
    </row>
    <row r="923" spans="1:22" s="12" customFormat="1" ht="19.2" customHeight="1">
      <c r="A923" s="226">
        <v>46147</v>
      </c>
      <c r="B923" s="165" t="s">
        <v>1253</v>
      </c>
      <c r="C923" s="131" t="s">
        <v>674</v>
      </c>
      <c r="D923" s="131" t="s">
        <v>675</v>
      </c>
      <c r="E923" s="131" t="s">
        <v>811</v>
      </c>
      <c r="F923" s="136" t="s">
        <v>26</v>
      </c>
      <c r="G923" s="136">
        <v>3808</v>
      </c>
      <c r="H923" s="23">
        <v>0.18</v>
      </c>
      <c r="I923" s="129">
        <v>7000</v>
      </c>
      <c r="J923" s="129">
        <f t="shared" si="69"/>
        <v>630</v>
      </c>
      <c r="K923" s="129">
        <f t="shared" si="70"/>
        <v>630</v>
      </c>
      <c r="L923" s="130"/>
      <c r="M923" s="130">
        <f>Table432[[#This Row],[Taxable Amount]]+Table432[[#This Row],[SGST]]+Table432[[#This Row],[CGST]]</f>
        <v>8260</v>
      </c>
      <c r="N923" s="161">
        <f>Table432[[#This Row],[Taxable Amount]]*1%</f>
        <v>70</v>
      </c>
      <c r="O923" s="132"/>
      <c r="P923" s="135"/>
      <c r="Q923" s="135"/>
      <c r="R923" s="132" t="s">
        <v>1342</v>
      </c>
      <c r="S923" s="313">
        <f>Table432[[#This Row],[Invoice Amount]]-Table432[[#This Row],[TDS]]-Table432[[#This Row],[RECIVED AMOUNT]]</f>
        <v>8190</v>
      </c>
      <c r="T923" s="131"/>
      <c r="U923" s="131"/>
      <c r="V923" s="129">
        <f>Table432[[#This Row],[BALANCE]]-Table432[[#This Row],[RECIVED AMOUNT2]]</f>
        <v>8190</v>
      </c>
    </row>
    <row r="924" spans="1:22" s="12" customFormat="1" ht="19.2" customHeight="1">
      <c r="A924" s="226">
        <v>46147</v>
      </c>
      <c r="B924" s="165" t="s">
        <v>1254</v>
      </c>
      <c r="C924" s="131" t="s">
        <v>674</v>
      </c>
      <c r="D924" s="131" t="s">
        <v>675</v>
      </c>
      <c r="E924" s="131" t="s">
        <v>1265</v>
      </c>
      <c r="F924" s="136" t="s">
        <v>26</v>
      </c>
      <c r="G924" s="136">
        <v>3808</v>
      </c>
      <c r="H924" s="23">
        <v>0.18</v>
      </c>
      <c r="I924" s="129">
        <v>5500</v>
      </c>
      <c r="J924" s="129">
        <f t="shared" si="69"/>
        <v>495</v>
      </c>
      <c r="K924" s="129">
        <f t="shared" si="70"/>
        <v>495</v>
      </c>
      <c r="L924" s="130"/>
      <c r="M924" s="130">
        <f>Table432[[#This Row],[Taxable Amount]]+Table432[[#This Row],[SGST]]+Table432[[#This Row],[CGST]]</f>
        <v>6490</v>
      </c>
      <c r="N924" s="161">
        <f>Table432[[#This Row],[Taxable Amount]]*1%</f>
        <v>55</v>
      </c>
      <c r="O924" s="132"/>
      <c r="P924" s="135"/>
      <c r="Q924" s="135"/>
      <c r="R924" s="132" t="s">
        <v>1342</v>
      </c>
      <c r="S924" s="313">
        <f>Table432[[#This Row],[Invoice Amount]]-Table432[[#This Row],[TDS]]-Table432[[#This Row],[RECIVED AMOUNT]]</f>
        <v>6435</v>
      </c>
      <c r="T924" s="131"/>
      <c r="U924" s="131"/>
      <c r="V924" s="129">
        <f>Table432[[#This Row],[BALANCE]]-Table432[[#This Row],[RECIVED AMOUNT2]]</f>
        <v>6435</v>
      </c>
    </row>
    <row r="925" spans="1:22" s="12" customFormat="1" ht="19.2" customHeight="1">
      <c r="A925" s="226">
        <v>46147</v>
      </c>
      <c r="B925" s="165" t="s">
        <v>1255</v>
      </c>
      <c r="C925" s="131" t="s">
        <v>674</v>
      </c>
      <c r="D925" s="131" t="s">
        <v>675</v>
      </c>
      <c r="E925" s="131" t="s">
        <v>956</v>
      </c>
      <c r="F925" s="136" t="s">
        <v>26</v>
      </c>
      <c r="G925" s="136">
        <v>3808</v>
      </c>
      <c r="H925" s="23">
        <v>0.18</v>
      </c>
      <c r="I925" s="129">
        <v>550</v>
      </c>
      <c r="J925" s="129">
        <f t="shared" si="69"/>
        <v>49.5</v>
      </c>
      <c r="K925" s="129">
        <f t="shared" si="70"/>
        <v>49.5</v>
      </c>
      <c r="L925" s="130"/>
      <c r="M925" s="130">
        <f>Table432[[#This Row],[Taxable Amount]]+Table432[[#This Row],[SGST]]+Table432[[#This Row],[CGST]]</f>
        <v>649</v>
      </c>
      <c r="N925" s="161">
        <f>Table432[[#This Row],[Taxable Amount]]*1%</f>
        <v>5.5</v>
      </c>
      <c r="O925" s="132"/>
      <c r="P925" s="135"/>
      <c r="Q925" s="135"/>
      <c r="R925" s="132" t="s">
        <v>1342</v>
      </c>
      <c r="S925" s="313">
        <f>Table432[[#This Row],[Invoice Amount]]-Table432[[#This Row],[TDS]]-Table432[[#This Row],[RECIVED AMOUNT]]</f>
        <v>643.5</v>
      </c>
      <c r="T925" s="131"/>
      <c r="U925" s="131"/>
      <c r="V925" s="129">
        <f>Table432[[#This Row],[BALANCE]]-Table432[[#This Row],[RECIVED AMOUNT2]]</f>
        <v>643.5</v>
      </c>
    </row>
    <row r="926" spans="1:22" s="11" customFormat="1" ht="19.2" customHeight="1">
      <c r="A926" s="226">
        <v>46149</v>
      </c>
      <c r="B926" s="393" t="s">
        <v>1330</v>
      </c>
      <c r="C926" s="163" t="s">
        <v>396</v>
      </c>
      <c r="D926" s="163" t="s">
        <v>397</v>
      </c>
      <c r="E926" s="163" t="s">
        <v>260</v>
      </c>
      <c r="F926" s="137" t="s">
        <v>26</v>
      </c>
      <c r="G926" s="137">
        <v>3808</v>
      </c>
      <c r="H926" s="221">
        <v>0.18</v>
      </c>
      <c r="I926" s="214">
        <v>6000</v>
      </c>
      <c r="J926" s="214">
        <f t="shared" ref="J926" si="73">I926*9/100</f>
        <v>540</v>
      </c>
      <c r="K926" s="214">
        <f t="shared" ref="K926" si="74">I926*9/100</f>
        <v>540</v>
      </c>
      <c r="L926" s="222"/>
      <c r="M926" s="222">
        <f>Table432[[#This Row],[Taxable Amount]]+Table432[[#This Row],[SGST]]+Table432[[#This Row],[CGST]]</f>
        <v>7080</v>
      </c>
      <c r="N926" s="216">
        <f>Table432[[#This Row],[Taxable Amount]]*1%</f>
        <v>60</v>
      </c>
      <c r="O926" s="225"/>
      <c r="P926" s="394"/>
      <c r="Q926" s="224"/>
      <c r="R926" s="132" t="s">
        <v>1342</v>
      </c>
      <c r="S926" s="313">
        <f>Table432[[#This Row],[Invoice Amount]]-Table432[[#This Row],[TDS]]-Table432[[#This Row],[RECIVED AMOUNT]]</f>
        <v>7020</v>
      </c>
      <c r="T926" s="163"/>
      <c r="U926" s="163"/>
      <c r="V926" s="214">
        <f>Table432[[#This Row],[BALANCE]]-Table432[[#This Row],[RECIVED AMOUNT2]]</f>
        <v>7020</v>
      </c>
    </row>
    <row r="927" spans="1:22" s="12" customFormat="1" ht="19.2" customHeight="1">
      <c r="A927" s="128">
        <v>46155</v>
      </c>
      <c r="B927" s="165" t="s">
        <v>1256</v>
      </c>
      <c r="C927" s="131" t="s">
        <v>1102</v>
      </c>
      <c r="D927" s="131" t="s">
        <v>1103</v>
      </c>
      <c r="E927" s="131" t="s">
        <v>67</v>
      </c>
      <c r="F927" s="136" t="s">
        <v>37</v>
      </c>
      <c r="G927" s="136">
        <v>3808</v>
      </c>
      <c r="H927" s="23">
        <v>0.18</v>
      </c>
      <c r="I927" s="129">
        <v>53976.6</v>
      </c>
      <c r="J927" s="129">
        <f t="shared" si="69"/>
        <v>4857.8939999999993</v>
      </c>
      <c r="K927" s="129">
        <f t="shared" si="70"/>
        <v>4857.8939999999993</v>
      </c>
      <c r="L927" s="130"/>
      <c r="M927" s="130">
        <f>Table432[[#This Row],[Taxable Amount]]+Table432[[#This Row],[SGST]]+Table432[[#This Row],[CGST]]</f>
        <v>63692.387999999999</v>
      </c>
      <c r="N927" s="161">
        <f>Table432[[#This Row],[Taxable Amount]]*1%</f>
        <v>539.76599999999996</v>
      </c>
      <c r="O927" s="132"/>
      <c r="P927" s="417">
        <v>62612.38</v>
      </c>
      <c r="Q927" s="205">
        <v>46164</v>
      </c>
      <c r="R927" s="132" t="s">
        <v>1342</v>
      </c>
      <c r="S927" s="313">
        <f>Table432[[#This Row],[Invoice Amount]]-Table432[[#This Row],[TDS]]-Table432[[#This Row],[RECIVED AMOUNT]]</f>
        <v>540.24199999999837</v>
      </c>
      <c r="T927" s="131"/>
      <c r="U927" s="131"/>
      <c r="V927" s="129">
        <f>Table432[[#This Row],[BALANCE]]-Table432[[#This Row],[RECIVED AMOUNT2]]</f>
        <v>540.24199999999837</v>
      </c>
    </row>
    <row r="928" spans="1:22" s="12" customFormat="1" ht="19.2" customHeight="1">
      <c r="A928" s="128">
        <v>46155</v>
      </c>
      <c r="B928" s="165" t="s">
        <v>1266</v>
      </c>
      <c r="C928" s="131" t="s">
        <v>518</v>
      </c>
      <c r="D928" s="131" t="s">
        <v>519</v>
      </c>
      <c r="E928" s="131" t="s">
        <v>520</v>
      </c>
      <c r="F928" s="136" t="s">
        <v>37</v>
      </c>
      <c r="G928" s="136">
        <v>3808</v>
      </c>
      <c r="H928" s="23">
        <v>0.18</v>
      </c>
      <c r="I928" s="129">
        <v>26432</v>
      </c>
      <c r="J928" s="129">
        <f t="shared" si="69"/>
        <v>2378.88</v>
      </c>
      <c r="K928" s="129">
        <f t="shared" si="70"/>
        <v>2378.88</v>
      </c>
      <c r="L928" s="130"/>
      <c r="M928" s="130">
        <f>Table432[[#This Row],[Taxable Amount]]+Table432[[#This Row],[SGST]]+Table432[[#This Row],[CGST]]</f>
        <v>31189.760000000002</v>
      </c>
      <c r="N928" s="161">
        <f>Table432[[#This Row],[Taxable Amount]]*1%</f>
        <v>264.32</v>
      </c>
      <c r="O928" s="132"/>
      <c r="P928" s="135"/>
      <c r="Q928" s="135"/>
      <c r="R928" s="132" t="s">
        <v>1342</v>
      </c>
      <c r="S928" s="313">
        <f>Table432[[#This Row],[Invoice Amount]]-Table432[[#This Row],[TDS]]-Table432[[#This Row],[RECIVED AMOUNT]]</f>
        <v>30925.440000000002</v>
      </c>
      <c r="T928" s="131"/>
      <c r="U928" s="131"/>
      <c r="V928" s="129">
        <f>Table432[[#This Row],[BALANCE]]-Table432[[#This Row],[RECIVED AMOUNT2]]</f>
        <v>30925.440000000002</v>
      </c>
    </row>
    <row r="929" spans="1:22" s="12" customFormat="1" ht="19.2" customHeight="1">
      <c r="A929" s="128">
        <v>46167</v>
      </c>
      <c r="B929" s="165" t="s">
        <v>1270</v>
      </c>
      <c r="C929" s="131" t="s">
        <v>1102</v>
      </c>
      <c r="D929" s="131" t="s">
        <v>1103</v>
      </c>
      <c r="E929" s="131" t="s">
        <v>1331</v>
      </c>
      <c r="F929" s="136" t="s">
        <v>37</v>
      </c>
      <c r="G929" s="136">
        <v>3808</v>
      </c>
      <c r="H929" s="23">
        <v>0.18</v>
      </c>
      <c r="I929" s="129">
        <v>78227.460000000006</v>
      </c>
      <c r="J929" s="129">
        <f t="shared" si="69"/>
        <v>7040.4714000000004</v>
      </c>
      <c r="K929" s="129">
        <f t="shared" si="70"/>
        <v>7040.4714000000004</v>
      </c>
      <c r="L929" s="130"/>
      <c r="M929" s="130">
        <f>Table432[[#This Row],[Taxable Amount]]+Table432[[#This Row],[SGST]]+Table432[[#This Row],[CGST]]</f>
        <v>92308.402799999996</v>
      </c>
      <c r="N929" s="161">
        <f>Table432[[#This Row],[Taxable Amount]]*1%</f>
        <v>782.27460000000008</v>
      </c>
      <c r="O929" s="132"/>
      <c r="P929" s="135"/>
      <c r="Q929" s="135"/>
      <c r="R929" s="132" t="s">
        <v>1342</v>
      </c>
      <c r="S929" s="313">
        <f>Table432[[#This Row],[Invoice Amount]]-Table432[[#This Row],[TDS]]-Table432[[#This Row],[RECIVED AMOUNT]]</f>
        <v>91526.128199999992</v>
      </c>
      <c r="T929" s="131"/>
      <c r="U929" s="131"/>
      <c r="V929" s="129">
        <f>Table432[[#This Row],[BALANCE]]-Table432[[#This Row],[RECIVED AMOUNT2]]</f>
        <v>91526.128199999992</v>
      </c>
    </row>
    <row r="930" spans="1:22" s="477" customFormat="1" ht="19.2" customHeight="1">
      <c r="A930" s="466">
        <v>46167</v>
      </c>
      <c r="B930" s="467" t="s">
        <v>1271</v>
      </c>
      <c r="C930" s="468" t="s">
        <v>319</v>
      </c>
      <c r="D930" s="468" t="s">
        <v>320</v>
      </c>
      <c r="E930" s="468" t="s">
        <v>59</v>
      </c>
      <c r="F930" s="469" t="s">
        <v>26</v>
      </c>
      <c r="G930" s="469">
        <v>3808</v>
      </c>
      <c r="H930" s="470">
        <v>0.18</v>
      </c>
      <c r="I930" s="471">
        <v>16875</v>
      </c>
      <c r="J930" s="471">
        <f t="shared" si="69"/>
        <v>1518.75</v>
      </c>
      <c r="K930" s="471">
        <f t="shared" si="70"/>
        <v>1518.75</v>
      </c>
      <c r="L930" s="472"/>
      <c r="M930" s="472">
        <f>Table432[[#This Row],[Taxable Amount]]+Table432[[#This Row],[SGST]]+Table432[[#This Row],[CGST]]</f>
        <v>19912.5</v>
      </c>
      <c r="N930" s="473">
        <f>Table432[[#This Row],[Taxable Amount]]*1%</f>
        <v>168.75</v>
      </c>
      <c r="O930" s="474"/>
      <c r="P930" s="475">
        <v>19743</v>
      </c>
      <c r="Q930" s="478">
        <v>46184</v>
      </c>
      <c r="R930" s="474" t="s">
        <v>1342</v>
      </c>
      <c r="S930" s="476">
        <f>Table432[[#This Row],[Invoice Amount]]-Table432[[#This Row],[TDS]]-Table432[[#This Row],[RECIVED AMOUNT]]</f>
        <v>0.75</v>
      </c>
      <c r="T930" s="468"/>
      <c r="U930" s="468"/>
      <c r="V930" s="471">
        <f>Table432[[#This Row],[BALANCE]]-Table432[[#This Row],[RECIVED AMOUNT2]]</f>
        <v>0.75</v>
      </c>
    </row>
    <row r="931" spans="1:22" s="12" customFormat="1" ht="19.2" customHeight="1">
      <c r="A931" s="128">
        <v>46167</v>
      </c>
      <c r="B931" s="165" t="s">
        <v>1272</v>
      </c>
      <c r="C931" s="131" t="s">
        <v>637</v>
      </c>
      <c r="D931" s="131" t="s">
        <v>638</v>
      </c>
      <c r="E931" s="131" t="s">
        <v>629</v>
      </c>
      <c r="F931" s="136" t="s">
        <v>26</v>
      </c>
      <c r="G931" s="136">
        <v>3808</v>
      </c>
      <c r="H931" s="23">
        <v>0.18</v>
      </c>
      <c r="I931" s="129">
        <v>12400</v>
      </c>
      <c r="J931" s="129">
        <f t="shared" si="69"/>
        <v>1116</v>
      </c>
      <c r="K931" s="129">
        <f t="shared" si="70"/>
        <v>1116</v>
      </c>
      <c r="L931" s="130"/>
      <c r="M931" s="130">
        <f>Table432[[#This Row],[Taxable Amount]]+Table432[[#This Row],[SGST]]+Table432[[#This Row],[CGST]]</f>
        <v>14632</v>
      </c>
      <c r="N931" s="161">
        <f>Table432[[#This Row],[Taxable Amount]]*1%</f>
        <v>124</v>
      </c>
      <c r="O931" s="132"/>
      <c r="P931" s="135"/>
      <c r="Q931" s="135"/>
      <c r="R931" s="132" t="s">
        <v>1342</v>
      </c>
      <c r="S931" s="313">
        <f>Table432[[#This Row],[Invoice Amount]]-Table432[[#This Row],[TDS]]-Table432[[#This Row],[RECIVED AMOUNT]]</f>
        <v>14508</v>
      </c>
      <c r="T931" s="131"/>
      <c r="U931" s="131"/>
      <c r="V931" s="129">
        <f>Table432[[#This Row],[BALANCE]]-Table432[[#This Row],[RECIVED AMOUNT2]]</f>
        <v>14508</v>
      </c>
    </row>
    <row r="932" spans="1:22" s="12" customFormat="1" ht="19.2" customHeight="1">
      <c r="A932" s="128">
        <v>46167</v>
      </c>
      <c r="B932" s="165" t="s">
        <v>1273</v>
      </c>
      <c r="C932" s="131" t="s">
        <v>42</v>
      </c>
      <c r="D932" s="131" t="s">
        <v>730</v>
      </c>
      <c r="E932" s="131" t="s">
        <v>953</v>
      </c>
      <c r="F932" s="136" t="s">
        <v>26</v>
      </c>
      <c r="G932" s="136">
        <v>3808</v>
      </c>
      <c r="H932" s="23">
        <v>0.18</v>
      </c>
      <c r="I932" s="129">
        <v>13010</v>
      </c>
      <c r="J932" s="129">
        <f t="shared" si="69"/>
        <v>1170.9000000000001</v>
      </c>
      <c r="K932" s="129">
        <f t="shared" si="70"/>
        <v>1170.9000000000001</v>
      </c>
      <c r="L932" s="130"/>
      <c r="M932" s="130">
        <f>Table432[[#This Row],[Taxable Amount]]+Table432[[#This Row],[SGST]]+Table432[[#This Row],[CGST]]</f>
        <v>15351.8</v>
      </c>
      <c r="N932" s="161">
        <f>Table432[[#This Row],[Taxable Amount]]*1%</f>
        <v>130.1</v>
      </c>
      <c r="O932" s="132"/>
      <c r="P932" s="135"/>
      <c r="Q932" s="135"/>
      <c r="R932" s="132" t="s">
        <v>1342</v>
      </c>
      <c r="S932" s="313">
        <f>Table432[[#This Row],[Invoice Amount]]-Table432[[#This Row],[TDS]]-Table432[[#This Row],[RECIVED AMOUNT]]</f>
        <v>15221.699999999999</v>
      </c>
      <c r="T932" s="131"/>
      <c r="U932" s="131"/>
      <c r="V932" s="129">
        <f>Table432[[#This Row],[BALANCE]]-Table432[[#This Row],[RECIVED AMOUNT2]]</f>
        <v>15221.699999999999</v>
      </c>
    </row>
    <row r="933" spans="1:22" s="12" customFormat="1" ht="19.2" customHeight="1">
      <c r="A933" s="128">
        <v>46167</v>
      </c>
      <c r="B933" s="165" t="s">
        <v>1274</v>
      </c>
      <c r="C933" s="131" t="s">
        <v>42</v>
      </c>
      <c r="D933" s="131" t="s">
        <v>730</v>
      </c>
      <c r="E933" s="131" t="s">
        <v>101</v>
      </c>
      <c r="F933" s="136" t="s">
        <v>26</v>
      </c>
      <c r="G933" s="136">
        <v>3808</v>
      </c>
      <c r="H933" s="23">
        <v>0.18</v>
      </c>
      <c r="I933" s="129">
        <v>6750</v>
      </c>
      <c r="J933" s="129">
        <f t="shared" si="69"/>
        <v>607.5</v>
      </c>
      <c r="K933" s="129">
        <f t="shared" si="70"/>
        <v>607.5</v>
      </c>
      <c r="L933" s="130"/>
      <c r="M933" s="130">
        <f>Table432[[#This Row],[Taxable Amount]]+Table432[[#This Row],[SGST]]+Table432[[#This Row],[CGST]]</f>
        <v>7965</v>
      </c>
      <c r="N933" s="161">
        <f>Table432[[#This Row],[Taxable Amount]]*1%</f>
        <v>67.5</v>
      </c>
      <c r="O933" s="132"/>
      <c r="P933" s="135"/>
      <c r="Q933" s="135"/>
      <c r="R933" s="132" t="s">
        <v>1342</v>
      </c>
      <c r="S933" s="313">
        <f>Table432[[#This Row],[Invoice Amount]]-Table432[[#This Row],[TDS]]-Table432[[#This Row],[RECIVED AMOUNT]]</f>
        <v>7897.5</v>
      </c>
      <c r="T933" s="131"/>
      <c r="U933" s="131"/>
      <c r="V933" s="129">
        <f>Table432[[#This Row],[BALANCE]]-Table432[[#This Row],[RECIVED AMOUNT2]]</f>
        <v>7897.5</v>
      </c>
    </row>
    <row r="934" spans="1:22" s="12" customFormat="1" ht="19.2" customHeight="1">
      <c r="A934" s="128">
        <v>46167</v>
      </c>
      <c r="B934" s="165" t="s">
        <v>1275</v>
      </c>
      <c r="C934" s="131" t="s">
        <v>42</v>
      </c>
      <c r="D934" s="131" t="s">
        <v>730</v>
      </c>
      <c r="E934" s="131" t="s">
        <v>44</v>
      </c>
      <c r="F934" s="136" t="s">
        <v>26</v>
      </c>
      <c r="G934" s="136">
        <v>3808</v>
      </c>
      <c r="H934" s="23">
        <v>0.18</v>
      </c>
      <c r="I934" s="129">
        <v>3300</v>
      </c>
      <c r="J934" s="129">
        <f t="shared" si="69"/>
        <v>297</v>
      </c>
      <c r="K934" s="129">
        <f t="shared" si="70"/>
        <v>297</v>
      </c>
      <c r="L934" s="130"/>
      <c r="M934" s="130">
        <f>Table432[[#This Row],[Taxable Amount]]+Table432[[#This Row],[SGST]]+Table432[[#This Row],[CGST]]</f>
        <v>3894</v>
      </c>
      <c r="N934" s="161">
        <f>Table432[[#This Row],[Taxable Amount]]*1%</f>
        <v>33</v>
      </c>
      <c r="O934" s="132"/>
      <c r="P934" s="135"/>
      <c r="Q934" s="135"/>
      <c r="R934" s="132" t="s">
        <v>1342</v>
      </c>
      <c r="S934" s="313">
        <f>Table432[[#This Row],[Invoice Amount]]-Table432[[#This Row],[TDS]]-Table432[[#This Row],[RECIVED AMOUNT]]</f>
        <v>3861</v>
      </c>
      <c r="T934" s="131"/>
      <c r="U934" s="131"/>
      <c r="V934" s="129">
        <f>Table432[[#This Row],[BALANCE]]-Table432[[#This Row],[RECIVED AMOUNT2]]</f>
        <v>3861</v>
      </c>
    </row>
    <row r="935" spans="1:22" s="248" customFormat="1" ht="19.2" customHeight="1">
      <c r="A935" s="293">
        <v>46167</v>
      </c>
      <c r="B935" s="287" t="s">
        <v>1276</v>
      </c>
      <c r="C935" s="235" t="s">
        <v>42</v>
      </c>
      <c r="D935" s="235" t="s">
        <v>730</v>
      </c>
      <c r="E935" s="235" t="s">
        <v>163</v>
      </c>
      <c r="F935" s="236" t="s">
        <v>26</v>
      </c>
      <c r="G935" s="236">
        <v>3808</v>
      </c>
      <c r="H935" s="237">
        <v>0.18</v>
      </c>
      <c r="I935" s="238">
        <v>63950</v>
      </c>
      <c r="J935" s="238">
        <f t="shared" si="69"/>
        <v>5755.5</v>
      </c>
      <c r="K935" s="238">
        <f t="shared" si="70"/>
        <v>5755.5</v>
      </c>
      <c r="L935" s="294"/>
      <c r="M935" s="294">
        <f>Table432[[#This Row],[Taxable Amount]]+Table432[[#This Row],[SGST]]+Table432[[#This Row],[CGST]]</f>
        <v>75461</v>
      </c>
      <c r="N935" s="240">
        <f>Table432[[#This Row],[Taxable Amount]]*1%</f>
        <v>639.5</v>
      </c>
      <c r="O935" s="244"/>
      <c r="P935" s="242">
        <v>73222</v>
      </c>
      <c r="Q935" s="242" t="s">
        <v>1343</v>
      </c>
      <c r="R935" s="244" t="s">
        <v>1342</v>
      </c>
      <c r="S935" s="529">
        <f>Table432[[#This Row],[Invoice Amount]]-Table432[[#This Row],[TDS]]-Table432[[#This Row],[RECIVED AMOUNT]]</f>
        <v>1599.5</v>
      </c>
      <c r="T935" s="235"/>
      <c r="U935" s="235"/>
      <c r="V935" s="238">
        <f>Table432[[#This Row],[BALANCE]]-Table432[[#This Row],[RECIVED AMOUNT2]]</f>
        <v>1599.5</v>
      </c>
    </row>
    <row r="936" spans="1:22" s="326" customFormat="1" ht="19.2" customHeight="1">
      <c r="A936" s="314">
        <v>46167</v>
      </c>
      <c r="B936" s="390" t="s">
        <v>1277</v>
      </c>
      <c r="C936" s="315" t="s">
        <v>883</v>
      </c>
      <c r="D936" s="315" t="s">
        <v>884</v>
      </c>
      <c r="E936" s="315" t="s">
        <v>89</v>
      </c>
      <c r="F936" s="316" t="s">
        <v>26</v>
      </c>
      <c r="G936" s="316">
        <v>3808</v>
      </c>
      <c r="H936" s="317">
        <v>0.18</v>
      </c>
      <c r="I936" s="318">
        <v>4999</v>
      </c>
      <c r="J936" s="318">
        <f t="shared" si="69"/>
        <v>449.91</v>
      </c>
      <c r="K936" s="318">
        <f t="shared" si="70"/>
        <v>449.91</v>
      </c>
      <c r="L936" s="319"/>
      <c r="M936" s="319">
        <f>Table432[[#This Row],[Taxable Amount]]+Table432[[#This Row],[SGST]]+Table432[[#This Row],[CGST]]</f>
        <v>5898.82</v>
      </c>
      <c r="N936" s="320">
        <f>Table432[[#This Row],[Taxable Amount]]*1%</f>
        <v>49.99</v>
      </c>
      <c r="O936" s="321"/>
      <c r="P936" s="392" t="s">
        <v>1248</v>
      </c>
      <c r="Q936" s="322"/>
      <c r="R936" s="321"/>
      <c r="S936" s="391" t="e">
        <f>Table432[[#This Row],[Invoice Amount]]-Table432[[#This Row],[TDS]]-Table432[[#This Row],[RECIVED AMOUNT]]</f>
        <v>#VALUE!</v>
      </c>
      <c r="T936" s="315"/>
      <c r="U936" s="315"/>
      <c r="V936" s="318" t="e">
        <f>Table432[[#This Row],[BALANCE]]-Table432[[#This Row],[RECIVED AMOUNT2]]</f>
        <v>#VALUE!</v>
      </c>
    </row>
    <row r="937" spans="1:22" s="12" customFormat="1" ht="19.2" customHeight="1">
      <c r="A937" s="128">
        <v>46169</v>
      </c>
      <c r="B937" s="165" t="s">
        <v>1278</v>
      </c>
      <c r="C937" s="131" t="s">
        <v>470</v>
      </c>
      <c r="D937" s="131" t="s">
        <v>471</v>
      </c>
      <c r="E937" s="131" t="s">
        <v>472</v>
      </c>
      <c r="F937" s="136" t="s">
        <v>37</v>
      </c>
      <c r="G937" s="136">
        <v>3808</v>
      </c>
      <c r="H937" s="23">
        <v>0.18</v>
      </c>
      <c r="I937" s="129">
        <v>34615.839999999997</v>
      </c>
      <c r="J937" s="129">
        <f t="shared" si="69"/>
        <v>3115.4255999999996</v>
      </c>
      <c r="K937" s="129">
        <f t="shared" si="70"/>
        <v>3115.4255999999996</v>
      </c>
      <c r="L937" s="130"/>
      <c r="M937" s="130">
        <f>Table432[[#This Row],[Taxable Amount]]+Table432[[#This Row],[SGST]]+Table432[[#This Row],[CGST]]</f>
        <v>40846.691200000001</v>
      </c>
      <c r="N937" s="161">
        <f>Table432[[#This Row],[Taxable Amount]]*1%</f>
        <v>346.15839999999997</v>
      </c>
      <c r="O937" s="132"/>
      <c r="P937" s="135"/>
      <c r="Q937" s="135"/>
      <c r="R937" s="132" t="s">
        <v>1342</v>
      </c>
      <c r="S937" s="313">
        <f>Table432[[#This Row],[Invoice Amount]]-Table432[[#This Row],[TDS]]-Table432[[#This Row],[RECIVED AMOUNT]]</f>
        <v>40500.532800000001</v>
      </c>
      <c r="T937" s="131"/>
      <c r="U937" s="131"/>
      <c r="V937" s="129">
        <f>Table432[[#This Row],[BALANCE]]-Table432[[#This Row],[RECIVED AMOUNT2]]</f>
        <v>40500.532800000001</v>
      </c>
    </row>
    <row r="938" spans="1:22" s="12" customFormat="1" ht="19.2" customHeight="1">
      <c r="A938" s="128">
        <v>46173</v>
      </c>
      <c r="B938" s="165" t="s">
        <v>1279</v>
      </c>
      <c r="C938" s="131" t="s">
        <v>319</v>
      </c>
      <c r="D938" s="131" t="s">
        <v>320</v>
      </c>
      <c r="E938" s="131" t="s">
        <v>85</v>
      </c>
      <c r="F938" s="136" t="s">
        <v>26</v>
      </c>
      <c r="G938" s="136">
        <v>3808</v>
      </c>
      <c r="H938" s="23">
        <v>0.18</v>
      </c>
      <c r="I938" s="129">
        <v>5200</v>
      </c>
      <c r="J938" s="129">
        <f t="shared" si="69"/>
        <v>468</v>
      </c>
      <c r="K938" s="129">
        <f t="shared" si="70"/>
        <v>468</v>
      </c>
      <c r="L938" s="130"/>
      <c r="M938" s="130">
        <f>Table432[[#This Row],[Taxable Amount]]+Table432[[#This Row],[SGST]]+Table432[[#This Row],[CGST]]</f>
        <v>6136</v>
      </c>
      <c r="N938" s="161">
        <f>Table432[[#This Row],[Taxable Amount]]*1%</f>
        <v>52</v>
      </c>
      <c r="O938" s="132"/>
      <c r="P938" s="135"/>
      <c r="Q938" s="135"/>
      <c r="R938" s="132" t="s">
        <v>1342</v>
      </c>
      <c r="S938" s="313">
        <f>Table432[[#This Row],[Invoice Amount]]-Table432[[#This Row],[TDS]]-Table432[[#This Row],[RECIVED AMOUNT]]</f>
        <v>6084</v>
      </c>
      <c r="T938" s="131"/>
      <c r="U938" s="131"/>
      <c r="V938" s="129">
        <f>Table432[[#This Row],[BALANCE]]-Table432[[#This Row],[RECIVED AMOUNT2]]</f>
        <v>6084</v>
      </c>
    </row>
    <row r="939" spans="1:22" s="12" customFormat="1" ht="19.2" customHeight="1">
      <c r="A939" s="128">
        <v>46173</v>
      </c>
      <c r="B939" s="165" t="s">
        <v>1280</v>
      </c>
      <c r="C939" s="131" t="s">
        <v>116</v>
      </c>
      <c r="D939" s="131" t="s">
        <v>117</v>
      </c>
      <c r="E939" s="131" t="s">
        <v>59</v>
      </c>
      <c r="F939" s="136" t="s">
        <v>26</v>
      </c>
      <c r="G939" s="136">
        <v>3808</v>
      </c>
      <c r="H939" s="23">
        <v>0.18</v>
      </c>
      <c r="I939" s="129">
        <v>17300</v>
      </c>
      <c r="J939" s="129">
        <f t="shared" si="69"/>
        <v>1557</v>
      </c>
      <c r="K939" s="129">
        <f t="shared" si="70"/>
        <v>1557</v>
      </c>
      <c r="L939" s="130"/>
      <c r="M939" s="130">
        <f>Table432[[#This Row],[Taxable Amount]]+Table432[[#This Row],[SGST]]+Table432[[#This Row],[CGST]]</f>
        <v>20414</v>
      </c>
      <c r="N939" s="161">
        <f>Table432[[#This Row],[Taxable Amount]]*1%</f>
        <v>173</v>
      </c>
      <c r="O939" s="132"/>
      <c r="P939" s="135"/>
      <c r="Q939" s="135"/>
      <c r="R939" s="132" t="s">
        <v>1342</v>
      </c>
      <c r="S939" s="313">
        <f>Table432[[#This Row],[Invoice Amount]]-Table432[[#This Row],[TDS]]-Table432[[#This Row],[RECIVED AMOUNT]]</f>
        <v>20241</v>
      </c>
      <c r="T939" s="131"/>
      <c r="U939" s="131"/>
      <c r="V939" s="129">
        <f>Table432[[#This Row],[BALANCE]]-Table432[[#This Row],[RECIVED AMOUNT2]]</f>
        <v>20241</v>
      </c>
    </row>
    <row r="940" spans="1:22" s="12" customFormat="1" ht="19.2" customHeight="1">
      <c r="A940" s="128">
        <v>46173</v>
      </c>
      <c r="B940" s="165" t="s">
        <v>1281</v>
      </c>
      <c r="C940" s="131" t="s">
        <v>390</v>
      </c>
      <c r="D940" s="131" t="s">
        <v>391</v>
      </c>
      <c r="E940" s="131" t="s">
        <v>260</v>
      </c>
      <c r="F940" s="136" t="s">
        <v>26</v>
      </c>
      <c r="G940" s="136">
        <v>3808</v>
      </c>
      <c r="H940" s="23">
        <v>0.18</v>
      </c>
      <c r="I940" s="129">
        <v>1205.1600000000001</v>
      </c>
      <c r="J940" s="129">
        <f t="shared" si="69"/>
        <v>108.46440000000001</v>
      </c>
      <c r="K940" s="129">
        <f t="shared" si="70"/>
        <v>108.46440000000001</v>
      </c>
      <c r="L940" s="130"/>
      <c r="M940" s="130">
        <f>Table432[[#This Row],[Taxable Amount]]+Table432[[#This Row],[SGST]]+Table432[[#This Row],[CGST]]</f>
        <v>1422.0888000000002</v>
      </c>
      <c r="N940" s="161">
        <f>Table432[[#This Row],[Taxable Amount]]*1%</f>
        <v>12.051600000000001</v>
      </c>
      <c r="O940" s="132"/>
      <c r="P940" s="135"/>
      <c r="Q940" s="135"/>
      <c r="R940" s="132" t="s">
        <v>1342</v>
      </c>
      <c r="S940" s="313">
        <f>Table432[[#This Row],[Invoice Amount]]-Table432[[#This Row],[TDS]]-Table432[[#This Row],[RECIVED AMOUNT]]</f>
        <v>1410.0372000000002</v>
      </c>
      <c r="T940" s="131"/>
      <c r="U940" s="131"/>
      <c r="V940" s="129">
        <f>Table432[[#This Row],[BALANCE]]-Table432[[#This Row],[RECIVED AMOUNT2]]</f>
        <v>1410.0372000000002</v>
      </c>
    </row>
    <row r="941" spans="1:22" s="12" customFormat="1" ht="19.2" customHeight="1">
      <c r="A941" s="128">
        <v>46173</v>
      </c>
      <c r="B941" s="165" t="s">
        <v>1282</v>
      </c>
      <c r="C941" s="131" t="s">
        <v>390</v>
      </c>
      <c r="D941" s="131" t="s">
        <v>391</v>
      </c>
      <c r="E941" s="131" t="s">
        <v>260</v>
      </c>
      <c r="F941" s="136" t="s">
        <v>26</v>
      </c>
      <c r="G941" s="136">
        <v>3808</v>
      </c>
      <c r="H941" s="23">
        <v>0.18</v>
      </c>
      <c r="I941" s="129">
        <v>1448.35</v>
      </c>
      <c r="J941" s="129">
        <f t="shared" si="69"/>
        <v>130.35149999999999</v>
      </c>
      <c r="K941" s="129">
        <f t="shared" si="70"/>
        <v>130.35149999999999</v>
      </c>
      <c r="L941" s="130"/>
      <c r="M941" s="130">
        <f>Table432[[#This Row],[Taxable Amount]]+Table432[[#This Row],[SGST]]+Table432[[#This Row],[CGST]]</f>
        <v>1709.0529999999999</v>
      </c>
      <c r="N941" s="161">
        <f>Table432[[#This Row],[Taxable Amount]]*1%</f>
        <v>14.483499999999999</v>
      </c>
      <c r="O941" s="132"/>
      <c r="P941" s="135"/>
      <c r="Q941" s="135"/>
      <c r="R941" s="132" t="s">
        <v>1342</v>
      </c>
      <c r="S941" s="313">
        <f>Table432[[#This Row],[Invoice Amount]]-Table432[[#This Row],[TDS]]-Table432[[#This Row],[RECIVED AMOUNT]]</f>
        <v>1694.5694999999998</v>
      </c>
      <c r="T941" s="131"/>
      <c r="U941" s="131"/>
      <c r="V941" s="129">
        <f>Table432[[#This Row],[BALANCE]]-Table432[[#This Row],[RECIVED AMOUNT2]]</f>
        <v>1694.5694999999998</v>
      </c>
    </row>
    <row r="942" spans="1:22" s="12" customFormat="1" ht="19.2" customHeight="1">
      <c r="A942" s="128">
        <v>46173</v>
      </c>
      <c r="B942" s="165" t="s">
        <v>1283</v>
      </c>
      <c r="C942" s="131" t="s">
        <v>390</v>
      </c>
      <c r="D942" s="131" t="s">
        <v>391</v>
      </c>
      <c r="E942" s="131" t="s">
        <v>260</v>
      </c>
      <c r="F942" s="136" t="s">
        <v>26</v>
      </c>
      <c r="G942" s="136">
        <v>3808</v>
      </c>
      <c r="H942" s="23">
        <v>0.18</v>
      </c>
      <c r="I942" s="129">
        <v>2008.6</v>
      </c>
      <c r="J942" s="129">
        <f t="shared" si="69"/>
        <v>180.77399999999997</v>
      </c>
      <c r="K942" s="129">
        <f t="shared" si="70"/>
        <v>180.77399999999997</v>
      </c>
      <c r="L942" s="130"/>
      <c r="M942" s="130">
        <f>Table432[[#This Row],[Taxable Amount]]+Table432[[#This Row],[SGST]]+Table432[[#This Row],[CGST]]</f>
        <v>2370.1479999999997</v>
      </c>
      <c r="N942" s="161">
        <f>Table432[[#This Row],[Taxable Amount]]*1%</f>
        <v>20.085999999999999</v>
      </c>
      <c r="O942" s="132"/>
      <c r="P942" s="135"/>
      <c r="Q942" s="135"/>
      <c r="R942" s="132" t="s">
        <v>1342</v>
      </c>
      <c r="S942" s="313">
        <f>Table432[[#This Row],[Invoice Amount]]-Table432[[#This Row],[TDS]]-Table432[[#This Row],[RECIVED AMOUNT]]</f>
        <v>2350.0619999999999</v>
      </c>
      <c r="T942" s="131"/>
      <c r="U942" s="131"/>
      <c r="V942" s="129">
        <f>Table432[[#This Row],[BALANCE]]-Table432[[#This Row],[RECIVED AMOUNT2]]</f>
        <v>2350.0619999999999</v>
      </c>
    </row>
    <row r="943" spans="1:22" s="12" customFormat="1" ht="19.2" customHeight="1">
      <c r="A943" s="128">
        <v>46173</v>
      </c>
      <c r="B943" s="165" t="s">
        <v>1284</v>
      </c>
      <c r="C943" s="131" t="s">
        <v>390</v>
      </c>
      <c r="D943" s="131" t="s">
        <v>391</v>
      </c>
      <c r="E943" s="131" t="s">
        <v>260</v>
      </c>
      <c r="F943" s="136" t="s">
        <v>26</v>
      </c>
      <c r="G943" s="136">
        <v>3808</v>
      </c>
      <c r="H943" s="23">
        <v>0.18</v>
      </c>
      <c r="I943" s="129">
        <v>1035.8399999999999</v>
      </c>
      <c r="J943" s="129">
        <f t="shared" si="69"/>
        <v>93.2256</v>
      </c>
      <c r="K943" s="129">
        <f t="shared" si="70"/>
        <v>93.2256</v>
      </c>
      <c r="L943" s="130"/>
      <c r="M943" s="130">
        <f>Table432[[#This Row],[Taxable Amount]]+Table432[[#This Row],[SGST]]+Table432[[#This Row],[CGST]]</f>
        <v>1222.2911999999999</v>
      </c>
      <c r="N943" s="161">
        <f>Table432[[#This Row],[Taxable Amount]]*1%</f>
        <v>10.3584</v>
      </c>
      <c r="O943" s="132"/>
      <c r="P943" s="135"/>
      <c r="Q943" s="135"/>
      <c r="R943" s="132" t="s">
        <v>1342</v>
      </c>
      <c r="S943" s="313">
        <f>Table432[[#This Row],[Invoice Amount]]-Table432[[#This Row],[TDS]]-Table432[[#This Row],[RECIVED AMOUNT]]</f>
        <v>1211.9327999999998</v>
      </c>
      <c r="T943" s="131"/>
      <c r="U943" s="131"/>
      <c r="V943" s="129">
        <f>Table432[[#This Row],[BALANCE]]-Table432[[#This Row],[RECIVED AMOUNT2]]</f>
        <v>1211.9327999999998</v>
      </c>
    </row>
    <row r="944" spans="1:22" s="12" customFormat="1" ht="19.2" customHeight="1">
      <c r="A944" s="128">
        <v>46173</v>
      </c>
      <c r="B944" s="165" t="s">
        <v>1285</v>
      </c>
      <c r="C944" s="131" t="s">
        <v>390</v>
      </c>
      <c r="D944" s="131" t="s">
        <v>391</v>
      </c>
      <c r="E944" s="131" t="s">
        <v>260</v>
      </c>
      <c r="F944" s="136" t="s">
        <v>26</v>
      </c>
      <c r="G944" s="136">
        <v>3808</v>
      </c>
      <c r="H944" s="23">
        <v>0.18</v>
      </c>
      <c r="I944" s="129">
        <v>972.76</v>
      </c>
      <c r="J944" s="129">
        <f t="shared" si="69"/>
        <v>87.548400000000001</v>
      </c>
      <c r="K944" s="129">
        <f t="shared" si="70"/>
        <v>87.548400000000001</v>
      </c>
      <c r="L944" s="130"/>
      <c r="M944" s="130">
        <f>Table432[[#This Row],[Taxable Amount]]+Table432[[#This Row],[SGST]]+Table432[[#This Row],[CGST]]</f>
        <v>1147.8567999999998</v>
      </c>
      <c r="N944" s="161">
        <f>Table432[[#This Row],[Taxable Amount]]*1%</f>
        <v>9.7276000000000007</v>
      </c>
      <c r="O944" s="132"/>
      <c r="P944" s="135"/>
      <c r="Q944" s="135"/>
      <c r="R944" s="132" t="s">
        <v>1342</v>
      </c>
      <c r="S944" s="313">
        <f>Table432[[#This Row],[Invoice Amount]]-Table432[[#This Row],[TDS]]-Table432[[#This Row],[RECIVED AMOUNT]]</f>
        <v>1138.1291999999999</v>
      </c>
      <c r="T944" s="131"/>
      <c r="U944" s="131"/>
      <c r="V944" s="129">
        <f>Table432[[#This Row],[BALANCE]]-Table432[[#This Row],[RECIVED AMOUNT2]]</f>
        <v>1138.1291999999999</v>
      </c>
    </row>
    <row r="945" spans="1:22" s="12" customFormat="1" ht="19.2" customHeight="1">
      <c r="A945" s="128">
        <v>46173</v>
      </c>
      <c r="B945" s="165" t="s">
        <v>1286</v>
      </c>
      <c r="C945" s="131" t="s">
        <v>390</v>
      </c>
      <c r="D945" s="131" t="s">
        <v>391</v>
      </c>
      <c r="E945" s="131" t="s">
        <v>260</v>
      </c>
      <c r="F945" s="136" t="s">
        <v>26</v>
      </c>
      <c r="G945" s="136">
        <v>3808</v>
      </c>
      <c r="H945" s="23">
        <v>0.18</v>
      </c>
      <c r="I945" s="129">
        <v>930.43</v>
      </c>
      <c r="J945" s="129">
        <f t="shared" si="69"/>
        <v>83.738699999999994</v>
      </c>
      <c r="K945" s="129">
        <f t="shared" si="70"/>
        <v>83.738699999999994</v>
      </c>
      <c r="L945" s="130"/>
      <c r="M945" s="130">
        <f>Table432[[#This Row],[Taxable Amount]]+Table432[[#This Row],[SGST]]+Table432[[#This Row],[CGST]]</f>
        <v>1097.9074000000001</v>
      </c>
      <c r="N945" s="161">
        <f>Table432[[#This Row],[Taxable Amount]]*1%</f>
        <v>9.3042999999999996</v>
      </c>
      <c r="O945" s="132"/>
      <c r="P945" s="135"/>
      <c r="Q945" s="135"/>
      <c r="R945" s="132" t="s">
        <v>1342</v>
      </c>
      <c r="S945" s="313">
        <f>Table432[[#This Row],[Invoice Amount]]-Table432[[#This Row],[TDS]]-Table432[[#This Row],[RECIVED AMOUNT]]</f>
        <v>1088.6031</v>
      </c>
      <c r="T945" s="131"/>
      <c r="U945" s="131"/>
      <c r="V945" s="129">
        <f>Table432[[#This Row],[BALANCE]]-Table432[[#This Row],[RECIVED AMOUNT2]]</f>
        <v>1088.6031</v>
      </c>
    </row>
    <row r="946" spans="1:22" s="12" customFormat="1" ht="19.2" customHeight="1">
      <c r="A946" s="128">
        <v>46173</v>
      </c>
      <c r="B946" s="165" t="s">
        <v>1287</v>
      </c>
      <c r="C946" s="131" t="s">
        <v>390</v>
      </c>
      <c r="D946" s="131" t="s">
        <v>391</v>
      </c>
      <c r="E946" s="131" t="s">
        <v>260</v>
      </c>
      <c r="F946" s="136" t="s">
        <v>26</v>
      </c>
      <c r="G946" s="136">
        <v>3808</v>
      </c>
      <c r="H946" s="23">
        <v>0.18</v>
      </c>
      <c r="I946" s="129">
        <v>698.86</v>
      </c>
      <c r="J946" s="129">
        <f t="shared" si="69"/>
        <v>62.897399999999998</v>
      </c>
      <c r="K946" s="129">
        <f t="shared" si="70"/>
        <v>62.897399999999998</v>
      </c>
      <c r="L946" s="130"/>
      <c r="M946" s="130">
        <f>Table432[[#This Row],[Taxable Amount]]+Table432[[#This Row],[SGST]]+Table432[[#This Row],[CGST]]</f>
        <v>824.65479999999991</v>
      </c>
      <c r="N946" s="161">
        <f>Table432[[#This Row],[Taxable Amount]]*1%</f>
        <v>6.9885999999999999</v>
      </c>
      <c r="O946" s="132"/>
      <c r="P946" s="135"/>
      <c r="Q946" s="135"/>
      <c r="R946" s="132" t="s">
        <v>1342</v>
      </c>
      <c r="S946" s="313">
        <f>Table432[[#This Row],[Invoice Amount]]-Table432[[#This Row],[TDS]]-Table432[[#This Row],[RECIVED AMOUNT]]</f>
        <v>817.66619999999989</v>
      </c>
      <c r="T946" s="131"/>
      <c r="U946" s="131"/>
      <c r="V946" s="129">
        <f>Table432[[#This Row],[BALANCE]]-Table432[[#This Row],[RECIVED AMOUNT2]]</f>
        <v>817.66619999999989</v>
      </c>
    </row>
    <row r="947" spans="1:22" s="12" customFormat="1" ht="19.2" customHeight="1">
      <c r="A947" s="128">
        <v>46173</v>
      </c>
      <c r="B947" s="165" t="s">
        <v>1288</v>
      </c>
      <c r="C947" s="131" t="s">
        <v>290</v>
      </c>
      <c r="D947" s="131" t="s">
        <v>291</v>
      </c>
      <c r="E947" s="131" t="s">
        <v>25</v>
      </c>
      <c r="F947" s="136" t="s">
        <v>26</v>
      </c>
      <c r="G947" s="136">
        <v>3808</v>
      </c>
      <c r="H947" s="23">
        <v>0.18</v>
      </c>
      <c r="I947" s="129">
        <v>4500</v>
      </c>
      <c r="J947" s="129">
        <f t="shared" si="69"/>
        <v>405</v>
      </c>
      <c r="K947" s="129">
        <f t="shared" si="70"/>
        <v>405</v>
      </c>
      <c r="L947" s="130"/>
      <c r="M947" s="130">
        <f>Table432[[#This Row],[Taxable Amount]]+Table432[[#This Row],[SGST]]+Table432[[#This Row],[CGST]]</f>
        <v>5310</v>
      </c>
      <c r="N947" s="161">
        <f>Table432[[#This Row],[Taxable Amount]]*1%</f>
        <v>45</v>
      </c>
      <c r="O947" s="132"/>
      <c r="P947" s="135">
        <v>5310</v>
      </c>
      <c r="Q947" s="205">
        <v>46192</v>
      </c>
      <c r="R947" s="132" t="s">
        <v>1342</v>
      </c>
      <c r="S947" s="313">
        <f>Table432[[#This Row],[Invoice Amount]]-Table432[[#This Row],[TDS]]-Table432[[#This Row],[RECIVED AMOUNT]]</f>
        <v>-45</v>
      </c>
      <c r="T947" s="131"/>
      <c r="U947" s="131"/>
      <c r="V947" s="129">
        <f>Table432[[#This Row],[BALANCE]]-Table432[[#This Row],[RECIVED AMOUNT2]]</f>
        <v>-45</v>
      </c>
    </row>
    <row r="948" spans="1:22" s="12" customFormat="1" ht="19.2" customHeight="1">
      <c r="A948" s="128">
        <v>46173</v>
      </c>
      <c r="B948" s="165" t="s">
        <v>1289</v>
      </c>
      <c r="C948" s="131" t="s">
        <v>372</v>
      </c>
      <c r="D948" s="131" t="s">
        <v>794</v>
      </c>
      <c r="E948" s="131" t="s">
        <v>374</v>
      </c>
      <c r="F948" s="136" t="s">
        <v>26</v>
      </c>
      <c r="G948" s="136">
        <v>3808</v>
      </c>
      <c r="H948" s="23">
        <v>0.18</v>
      </c>
      <c r="I948" s="129">
        <v>2500</v>
      </c>
      <c r="J948" s="129">
        <f t="shared" si="69"/>
        <v>225</v>
      </c>
      <c r="K948" s="129">
        <f t="shared" si="70"/>
        <v>225</v>
      </c>
      <c r="L948" s="130"/>
      <c r="M948" s="130">
        <f>Table432[[#This Row],[Taxable Amount]]+Table432[[#This Row],[SGST]]+Table432[[#This Row],[CGST]]</f>
        <v>2950</v>
      </c>
      <c r="N948" s="161">
        <f>Table432[[#This Row],[Taxable Amount]]*1%</f>
        <v>25</v>
      </c>
      <c r="O948" s="132"/>
      <c r="P948" s="135"/>
      <c r="Q948" s="135"/>
      <c r="R948" s="132" t="s">
        <v>1342</v>
      </c>
      <c r="S948" s="313">
        <f>Table432[[#This Row],[Invoice Amount]]-Table432[[#This Row],[TDS]]-Table432[[#This Row],[RECIVED AMOUNT]]</f>
        <v>2925</v>
      </c>
      <c r="T948" s="131"/>
      <c r="U948" s="131"/>
      <c r="V948" s="129">
        <f>Table432[[#This Row],[BALANCE]]-Table432[[#This Row],[RECIVED AMOUNT2]]</f>
        <v>2925</v>
      </c>
    </row>
    <row r="949" spans="1:22" s="12" customFormat="1" ht="19.2" customHeight="1">
      <c r="A949" s="128">
        <v>46173</v>
      </c>
      <c r="B949" s="165" t="s">
        <v>1290</v>
      </c>
      <c r="C949" s="131" t="s">
        <v>372</v>
      </c>
      <c r="D949" s="131" t="s">
        <v>794</v>
      </c>
      <c r="E949" s="131" t="s">
        <v>374</v>
      </c>
      <c r="F949" s="136" t="s">
        <v>26</v>
      </c>
      <c r="G949" s="136">
        <v>3808</v>
      </c>
      <c r="H949" s="23">
        <v>0.18</v>
      </c>
      <c r="I949" s="129">
        <v>2500</v>
      </c>
      <c r="J949" s="129">
        <f t="shared" si="69"/>
        <v>225</v>
      </c>
      <c r="K949" s="129">
        <f t="shared" si="70"/>
        <v>225</v>
      </c>
      <c r="L949" s="130"/>
      <c r="M949" s="130">
        <f>Table432[[#This Row],[Taxable Amount]]+Table432[[#This Row],[SGST]]+Table432[[#This Row],[CGST]]</f>
        <v>2950</v>
      </c>
      <c r="N949" s="161">
        <f>Table432[[#This Row],[Taxable Amount]]*1%</f>
        <v>25</v>
      </c>
      <c r="O949" s="132"/>
      <c r="P949" s="135"/>
      <c r="Q949" s="135"/>
      <c r="R949" s="132" t="s">
        <v>1342</v>
      </c>
      <c r="S949" s="313">
        <f>Table432[[#This Row],[Invoice Amount]]-Table432[[#This Row],[TDS]]-Table432[[#This Row],[RECIVED AMOUNT]]</f>
        <v>2925</v>
      </c>
      <c r="T949" s="131"/>
      <c r="U949" s="131"/>
      <c r="V949" s="129">
        <f>Table432[[#This Row],[BALANCE]]-Table432[[#This Row],[RECIVED AMOUNT2]]</f>
        <v>2925</v>
      </c>
    </row>
    <row r="950" spans="1:22" s="12" customFormat="1" ht="19.2" customHeight="1">
      <c r="A950" s="128">
        <v>46173</v>
      </c>
      <c r="B950" s="165" t="s">
        <v>1291</v>
      </c>
      <c r="C950" s="131" t="s">
        <v>444</v>
      </c>
      <c r="D950" s="131" t="s">
        <v>445</v>
      </c>
      <c r="E950" s="131" t="s">
        <v>232</v>
      </c>
      <c r="F950" s="136" t="s">
        <v>26</v>
      </c>
      <c r="G950" s="136">
        <v>3808</v>
      </c>
      <c r="H950" s="23">
        <v>0.18</v>
      </c>
      <c r="I950" s="129">
        <v>3300</v>
      </c>
      <c r="J950" s="129">
        <f t="shared" si="69"/>
        <v>297</v>
      </c>
      <c r="K950" s="129">
        <f t="shared" si="70"/>
        <v>297</v>
      </c>
      <c r="L950" s="130"/>
      <c r="M950" s="130">
        <f>Table432[[#This Row],[Taxable Amount]]+Table432[[#This Row],[SGST]]+Table432[[#This Row],[CGST]]</f>
        <v>3894</v>
      </c>
      <c r="N950" s="161">
        <f>Table432[[#This Row],[Taxable Amount]]*1%</f>
        <v>33</v>
      </c>
      <c r="O950" s="132"/>
      <c r="P950" s="135">
        <v>3894</v>
      </c>
      <c r="Q950" s="205">
        <v>46216</v>
      </c>
      <c r="R950" s="132" t="s">
        <v>1342</v>
      </c>
      <c r="S950" s="313">
        <f>Table432[[#This Row],[Invoice Amount]]-Table432[[#This Row],[TDS]]-Table432[[#This Row],[RECIVED AMOUNT]]</f>
        <v>-33</v>
      </c>
      <c r="T950" s="131"/>
      <c r="U950" s="131"/>
      <c r="V950" s="129">
        <f>Table432[[#This Row],[BALANCE]]-Table432[[#This Row],[RECIVED AMOUNT2]]</f>
        <v>-33</v>
      </c>
    </row>
    <row r="951" spans="1:22" s="12" customFormat="1" ht="19.2" customHeight="1">
      <c r="A951" s="128">
        <v>46173</v>
      </c>
      <c r="B951" s="165" t="s">
        <v>1292</v>
      </c>
      <c r="C951" s="131" t="s">
        <v>1185</v>
      </c>
      <c r="D951" s="131" t="s">
        <v>1186</v>
      </c>
      <c r="E951" s="131" t="s">
        <v>36</v>
      </c>
      <c r="F951" s="136" t="s">
        <v>26</v>
      </c>
      <c r="G951" s="136">
        <v>3808</v>
      </c>
      <c r="H951" s="23">
        <v>0.18</v>
      </c>
      <c r="I951" s="129">
        <v>4400</v>
      </c>
      <c r="J951" s="129">
        <f t="shared" si="69"/>
        <v>396</v>
      </c>
      <c r="K951" s="129">
        <f t="shared" si="70"/>
        <v>396</v>
      </c>
      <c r="L951" s="130"/>
      <c r="M951" s="130">
        <f>Table432[[#This Row],[Taxable Amount]]+Table432[[#This Row],[SGST]]+Table432[[#This Row],[CGST]]</f>
        <v>5192</v>
      </c>
      <c r="N951" s="161">
        <f>Table432[[#This Row],[Taxable Amount]]*1%</f>
        <v>44</v>
      </c>
      <c r="O951" s="132"/>
      <c r="P951" s="135"/>
      <c r="Q951" s="135"/>
      <c r="R951" s="132" t="s">
        <v>1342</v>
      </c>
      <c r="S951" s="313">
        <f>Table432[[#This Row],[Invoice Amount]]-Table432[[#This Row],[TDS]]-Table432[[#This Row],[RECIVED AMOUNT]]</f>
        <v>5148</v>
      </c>
      <c r="T951" s="131"/>
      <c r="U951" s="131"/>
      <c r="V951" s="129">
        <f>Table432[[#This Row],[BALANCE]]-Table432[[#This Row],[RECIVED AMOUNT2]]</f>
        <v>5148</v>
      </c>
    </row>
    <row r="952" spans="1:22" s="12" customFormat="1" ht="19.2" customHeight="1">
      <c r="A952" s="128">
        <v>46173</v>
      </c>
      <c r="B952" s="165" t="s">
        <v>1293</v>
      </c>
      <c r="C952" s="131" t="s">
        <v>885</v>
      </c>
      <c r="D952" s="131" t="s">
        <v>886</v>
      </c>
      <c r="E952" s="131" t="s">
        <v>59</v>
      </c>
      <c r="F952" s="136" t="s">
        <v>26</v>
      </c>
      <c r="G952" s="136">
        <v>3808</v>
      </c>
      <c r="H952" s="23">
        <v>0.18</v>
      </c>
      <c r="I952" s="129">
        <v>2200</v>
      </c>
      <c r="J952" s="129">
        <f t="shared" si="69"/>
        <v>198</v>
      </c>
      <c r="K952" s="129">
        <f t="shared" si="70"/>
        <v>198</v>
      </c>
      <c r="L952" s="130"/>
      <c r="M952" s="130">
        <f>Table432[[#This Row],[Taxable Amount]]+Table432[[#This Row],[SGST]]+Table432[[#This Row],[CGST]]</f>
        <v>2596</v>
      </c>
      <c r="N952" s="161"/>
      <c r="O952" s="132"/>
      <c r="P952" s="135"/>
      <c r="Q952" s="135"/>
      <c r="R952" s="132" t="s">
        <v>1342</v>
      </c>
      <c r="S952" s="313">
        <f>Table432[[#This Row],[Invoice Amount]]-Table432[[#This Row],[TDS]]-Table432[[#This Row],[RECIVED AMOUNT]]</f>
        <v>2596</v>
      </c>
      <c r="T952" s="131"/>
      <c r="U952" s="131"/>
      <c r="V952" s="129">
        <f>Table432[[#This Row],[BALANCE]]-Table432[[#This Row],[RECIVED AMOUNT2]]</f>
        <v>2596</v>
      </c>
    </row>
    <row r="953" spans="1:22" s="12" customFormat="1" ht="19.2" customHeight="1">
      <c r="A953" s="128">
        <v>46173</v>
      </c>
      <c r="B953" s="165" t="s">
        <v>1294</v>
      </c>
      <c r="C953" s="131" t="s">
        <v>981</v>
      </c>
      <c r="D953" s="131" t="s">
        <v>982</v>
      </c>
      <c r="E953" s="131" t="s">
        <v>1053</v>
      </c>
      <c r="F953" s="136" t="s">
        <v>26</v>
      </c>
      <c r="G953" s="136">
        <v>3808</v>
      </c>
      <c r="H953" s="23">
        <v>0.18</v>
      </c>
      <c r="I953" s="129">
        <v>31500</v>
      </c>
      <c r="J953" s="129">
        <f t="shared" si="69"/>
        <v>2835</v>
      </c>
      <c r="K953" s="129">
        <f t="shared" si="70"/>
        <v>2835</v>
      </c>
      <c r="L953" s="130"/>
      <c r="M953" s="130">
        <f>Table432[[#This Row],[Taxable Amount]]+Table432[[#This Row],[SGST]]+Table432[[#This Row],[CGST]]</f>
        <v>37170</v>
      </c>
      <c r="N953" s="161">
        <f>Table432[[#This Row],[Taxable Amount]]*1%</f>
        <v>315</v>
      </c>
      <c r="O953" s="132">
        <v>0</v>
      </c>
      <c r="P953" s="206">
        <v>36855</v>
      </c>
      <c r="Q953" s="205">
        <v>46182</v>
      </c>
      <c r="R953" s="132" t="s">
        <v>1342</v>
      </c>
      <c r="S953" s="313">
        <f>Table432[[#This Row],[Invoice Amount]]-Table432[[#This Row],[TDS]]-Table432[[#This Row],[RECIVED AMOUNT]]</f>
        <v>0</v>
      </c>
      <c r="T953" s="131"/>
      <c r="U953" s="131"/>
      <c r="V953" s="129">
        <f>Table432[[#This Row],[BALANCE]]-Table432[[#This Row],[RECIVED AMOUNT2]]</f>
        <v>0</v>
      </c>
    </row>
    <row r="954" spans="1:22" s="12" customFormat="1" ht="19.2" customHeight="1">
      <c r="A954" s="128">
        <v>46178</v>
      </c>
      <c r="B954" s="165" t="s">
        <v>1295</v>
      </c>
      <c r="C954" s="131" t="s">
        <v>955</v>
      </c>
      <c r="D954" s="131" t="s">
        <v>205</v>
      </c>
      <c r="E954" s="131" t="s">
        <v>67</v>
      </c>
      <c r="F954" s="136" t="s">
        <v>26</v>
      </c>
      <c r="G954" s="136">
        <v>3808</v>
      </c>
      <c r="H954" s="23">
        <v>0.18</v>
      </c>
      <c r="I954" s="129">
        <v>18250</v>
      </c>
      <c r="J954" s="129">
        <f t="shared" si="69"/>
        <v>1642.5</v>
      </c>
      <c r="K954" s="129">
        <f t="shared" si="70"/>
        <v>1642.5</v>
      </c>
      <c r="L954" s="130"/>
      <c r="M954" s="130">
        <f>Table432[[#This Row],[Taxable Amount]]+Table432[[#This Row],[SGST]]+Table432[[#This Row],[CGST]]</f>
        <v>21535</v>
      </c>
      <c r="N954" s="161">
        <f>Table432[[#This Row],[Taxable Amount]]*1%</f>
        <v>182.5</v>
      </c>
      <c r="O954" s="132"/>
      <c r="P954" s="135">
        <v>16965</v>
      </c>
      <c r="Q954" s="135"/>
      <c r="R954" s="132"/>
      <c r="S954" s="313">
        <f>Table432[[#This Row],[Invoice Amount]]-Table432[[#This Row],[TDS]]-Table432[[#This Row],[RECIVED AMOUNT]]</f>
        <v>4387.5</v>
      </c>
      <c r="T954" s="131"/>
      <c r="U954" s="131"/>
      <c r="V954" s="129">
        <f>Table432[[#This Row],[BALANCE]]-Table432[[#This Row],[RECIVED AMOUNT2]]</f>
        <v>4387.5</v>
      </c>
    </row>
    <row r="955" spans="1:22" s="12" customFormat="1" ht="19.2" customHeight="1">
      <c r="A955" s="128">
        <v>46178</v>
      </c>
      <c r="B955" s="165" t="s">
        <v>1296</v>
      </c>
      <c r="C955" s="131" t="s">
        <v>674</v>
      </c>
      <c r="D955" s="131" t="s">
        <v>675</v>
      </c>
      <c r="E955" s="131" t="s">
        <v>676</v>
      </c>
      <c r="F955" s="136" t="s">
        <v>26</v>
      </c>
      <c r="G955" s="136">
        <v>3808</v>
      </c>
      <c r="H955" s="23">
        <v>0.18</v>
      </c>
      <c r="I955" s="129">
        <v>8800</v>
      </c>
      <c r="J955" s="129">
        <f t="shared" si="69"/>
        <v>792</v>
      </c>
      <c r="K955" s="129">
        <f t="shared" si="70"/>
        <v>792</v>
      </c>
      <c r="L955" s="130"/>
      <c r="M955" s="130">
        <f>Table432[[#This Row],[Taxable Amount]]+Table432[[#This Row],[SGST]]+Table432[[#This Row],[CGST]]</f>
        <v>10384</v>
      </c>
      <c r="N955" s="161">
        <f>Table432[[#This Row],[Taxable Amount]]*1%</f>
        <v>88</v>
      </c>
      <c r="O955" s="132"/>
      <c r="P955" s="135"/>
      <c r="Q955" s="135"/>
      <c r="R955" s="132"/>
      <c r="S955" s="313">
        <f>Table432[[#This Row],[Invoice Amount]]-Table432[[#This Row],[TDS]]-Table432[[#This Row],[RECIVED AMOUNT]]</f>
        <v>10296</v>
      </c>
      <c r="T955" s="131"/>
      <c r="U955" s="131"/>
      <c r="V955" s="129">
        <f>Table432[[#This Row],[BALANCE]]-Table432[[#This Row],[RECIVED AMOUNT2]]</f>
        <v>10296</v>
      </c>
    </row>
    <row r="956" spans="1:22" s="12" customFormat="1" ht="19.2" customHeight="1">
      <c r="A956" s="128">
        <v>46178</v>
      </c>
      <c r="B956" s="165" t="s">
        <v>1297</v>
      </c>
      <c r="C956" s="131" t="s">
        <v>674</v>
      </c>
      <c r="D956" s="131" t="s">
        <v>675</v>
      </c>
      <c r="E956" s="131" t="s">
        <v>678</v>
      </c>
      <c r="F956" s="136" t="s">
        <v>26</v>
      </c>
      <c r="G956" s="136">
        <v>3808</v>
      </c>
      <c r="H956" s="23">
        <v>0.18</v>
      </c>
      <c r="I956" s="129">
        <v>4900</v>
      </c>
      <c r="J956" s="129">
        <f t="shared" si="69"/>
        <v>441</v>
      </c>
      <c r="K956" s="129">
        <f t="shared" si="70"/>
        <v>441</v>
      </c>
      <c r="L956" s="130"/>
      <c r="M956" s="130">
        <f>Table432[[#This Row],[Taxable Amount]]+Table432[[#This Row],[SGST]]+Table432[[#This Row],[CGST]]</f>
        <v>5782</v>
      </c>
      <c r="N956" s="161">
        <f>Table432[[#This Row],[Taxable Amount]]*1%</f>
        <v>49</v>
      </c>
      <c r="O956" s="132"/>
      <c r="P956" s="135"/>
      <c r="Q956" s="135"/>
      <c r="R956" s="132"/>
      <c r="S956" s="313">
        <f>Table432[[#This Row],[Invoice Amount]]-Table432[[#This Row],[TDS]]-Table432[[#This Row],[RECIVED AMOUNT]]</f>
        <v>5733</v>
      </c>
      <c r="T956" s="131"/>
      <c r="U956" s="131"/>
      <c r="V956" s="129">
        <f>Table432[[#This Row],[BALANCE]]-Table432[[#This Row],[RECIVED AMOUNT2]]</f>
        <v>5733</v>
      </c>
    </row>
    <row r="957" spans="1:22" s="12" customFormat="1" ht="19.2" customHeight="1">
      <c r="A957" s="128">
        <v>46178</v>
      </c>
      <c r="B957" s="165" t="s">
        <v>1298</v>
      </c>
      <c r="C957" s="131" t="s">
        <v>674</v>
      </c>
      <c r="D957" s="131" t="s">
        <v>675</v>
      </c>
      <c r="E957" s="131" t="s">
        <v>684</v>
      </c>
      <c r="F957" s="136" t="s">
        <v>26</v>
      </c>
      <c r="G957" s="136">
        <v>3808</v>
      </c>
      <c r="H957" s="23">
        <v>0.18</v>
      </c>
      <c r="I957" s="129">
        <v>2250</v>
      </c>
      <c r="J957" s="129">
        <f t="shared" si="69"/>
        <v>202.5</v>
      </c>
      <c r="K957" s="129">
        <f t="shared" si="70"/>
        <v>202.5</v>
      </c>
      <c r="L957" s="130"/>
      <c r="M957" s="130">
        <f>Table432[[#This Row],[Taxable Amount]]+Table432[[#This Row],[SGST]]+Table432[[#This Row],[CGST]]</f>
        <v>2655</v>
      </c>
      <c r="N957" s="161">
        <f>Table432[[#This Row],[Taxable Amount]]*1%</f>
        <v>22.5</v>
      </c>
      <c r="O957" s="132"/>
      <c r="P957" s="135"/>
      <c r="Q957" s="135"/>
      <c r="R957" s="132"/>
      <c r="S957" s="313">
        <f>Table432[[#This Row],[Invoice Amount]]-Table432[[#This Row],[TDS]]-Table432[[#This Row],[RECIVED AMOUNT]]</f>
        <v>2632.5</v>
      </c>
      <c r="T957" s="131"/>
      <c r="U957" s="131"/>
      <c r="V957" s="129">
        <f>Table432[[#This Row],[BALANCE]]-Table432[[#This Row],[RECIVED AMOUNT2]]</f>
        <v>2632.5</v>
      </c>
    </row>
    <row r="958" spans="1:22" s="12" customFormat="1" ht="19.2" customHeight="1">
      <c r="A958" s="128">
        <v>46178</v>
      </c>
      <c r="B958" s="165" t="s">
        <v>1299</v>
      </c>
      <c r="C958" s="131" t="s">
        <v>674</v>
      </c>
      <c r="D958" s="131" t="s">
        <v>675</v>
      </c>
      <c r="E958" s="131" t="s">
        <v>956</v>
      </c>
      <c r="F958" s="136" t="s">
        <v>26</v>
      </c>
      <c r="G958" s="136">
        <v>3808</v>
      </c>
      <c r="H958" s="23">
        <v>0.18</v>
      </c>
      <c r="I958" s="129">
        <v>2000</v>
      </c>
      <c r="J958" s="129">
        <f t="shared" si="69"/>
        <v>180</v>
      </c>
      <c r="K958" s="129">
        <f t="shared" si="70"/>
        <v>180</v>
      </c>
      <c r="L958" s="130"/>
      <c r="M958" s="130">
        <f>Table432[[#This Row],[Taxable Amount]]+Table432[[#This Row],[SGST]]+Table432[[#This Row],[CGST]]</f>
        <v>2360</v>
      </c>
      <c r="N958" s="161">
        <f>Table432[[#This Row],[Taxable Amount]]*1%</f>
        <v>20</v>
      </c>
      <c r="O958" s="132"/>
      <c r="P958" s="135"/>
      <c r="Q958" s="135"/>
      <c r="R958" s="132"/>
      <c r="S958" s="313">
        <f>Table432[[#This Row],[Invoice Amount]]-Table432[[#This Row],[TDS]]-Table432[[#This Row],[RECIVED AMOUNT]]</f>
        <v>2340</v>
      </c>
      <c r="T958" s="131"/>
      <c r="U958" s="131"/>
      <c r="V958" s="129">
        <f>Table432[[#This Row],[BALANCE]]-Table432[[#This Row],[RECIVED AMOUNT2]]</f>
        <v>2340</v>
      </c>
    </row>
    <row r="959" spans="1:22" s="12" customFormat="1" ht="19.2" customHeight="1">
      <c r="A959" s="128">
        <v>46178</v>
      </c>
      <c r="B959" s="165" t="s">
        <v>1300</v>
      </c>
      <c r="C959" s="131" t="s">
        <v>674</v>
      </c>
      <c r="D959" s="131" t="s">
        <v>675</v>
      </c>
      <c r="E959" s="131" t="s">
        <v>716</v>
      </c>
      <c r="F959" s="136" t="s">
        <v>26</v>
      </c>
      <c r="G959" s="136">
        <v>3808</v>
      </c>
      <c r="H959" s="23">
        <v>0.18</v>
      </c>
      <c r="I959" s="129">
        <v>1750</v>
      </c>
      <c r="J959" s="129">
        <f t="shared" si="69"/>
        <v>157.5</v>
      </c>
      <c r="K959" s="129">
        <f t="shared" si="70"/>
        <v>157.5</v>
      </c>
      <c r="L959" s="130"/>
      <c r="M959" s="130">
        <f>Table432[[#This Row],[Taxable Amount]]+Table432[[#This Row],[SGST]]+Table432[[#This Row],[CGST]]</f>
        <v>2065</v>
      </c>
      <c r="N959" s="161">
        <f>Table432[[#This Row],[Taxable Amount]]*1%</f>
        <v>17.5</v>
      </c>
      <c r="O959" s="132"/>
      <c r="P959" s="135"/>
      <c r="Q959" s="135"/>
      <c r="R959" s="132"/>
      <c r="S959" s="313">
        <f>Table432[[#This Row],[Invoice Amount]]-Table432[[#This Row],[TDS]]-Table432[[#This Row],[RECIVED AMOUNT]]</f>
        <v>2047.5</v>
      </c>
      <c r="T959" s="131"/>
      <c r="U959" s="131"/>
      <c r="V959" s="129">
        <f>Table432[[#This Row],[BALANCE]]-Table432[[#This Row],[RECIVED AMOUNT2]]</f>
        <v>2047.5</v>
      </c>
    </row>
    <row r="960" spans="1:22" s="12" customFormat="1" ht="19.2" customHeight="1">
      <c r="A960" s="128">
        <v>46178</v>
      </c>
      <c r="B960" s="165" t="s">
        <v>1301</v>
      </c>
      <c r="C960" s="131" t="s">
        <v>674</v>
      </c>
      <c r="D960" s="131" t="s">
        <v>675</v>
      </c>
      <c r="E960" s="131" t="s">
        <v>811</v>
      </c>
      <c r="F960" s="136" t="s">
        <v>26</v>
      </c>
      <c r="G960" s="136">
        <v>3808</v>
      </c>
      <c r="H960" s="23">
        <v>0.18</v>
      </c>
      <c r="I960" s="129">
        <v>10000</v>
      </c>
      <c r="J960" s="129">
        <f t="shared" si="69"/>
        <v>900</v>
      </c>
      <c r="K960" s="129">
        <f t="shared" si="70"/>
        <v>900</v>
      </c>
      <c r="L960" s="130"/>
      <c r="M960" s="130">
        <f>Table432[[#This Row],[Taxable Amount]]+Table432[[#This Row],[SGST]]+Table432[[#This Row],[CGST]]</f>
        <v>11800</v>
      </c>
      <c r="N960" s="161">
        <f>Table432[[#This Row],[Taxable Amount]]*1%</f>
        <v>100</v>
      </c>
      <c r="O960" s="132"/>
      <c r="P960" s="135"/>
      <c r="Q960" s="135"/>
      <c r="R960" s="132"/>
      <c r="S960" s="313">
        <f>Table432[[#This Row],[Invoice Amount]]-Table432[[#This Row],[TDS]]-Table432[[#This Row],[RECIVED AMOUNT]]</f>
        <v>11700</v>
      </c>
      <c r="T960" s="131"/>
      <c r="U960" s="131"/>
      <c r="V960" s="129">
        <f>Table432[[#This Row],[BALANCE]]-Table432[[#This Row],[RECIVED AMOUNT2]]</f>
        <v>11700</v>
      </c>
    </row>
    <row r="961" spans="1:22" s="12" customFormat="1" ht="19.2" customHeight="1">
      <c r="A961" s="128">
        <v>46178</v>
      </c>
      <c r="B961" s="165" t="s">
        <v>1302</v>
      </c>
      <c r="C961" s="131" t="s">
        <v>674</v>
      </c>
      <c r="D961" s="131" t="s">
        <v>675</v>
      </c>
      <c r="E961" s="131" t="s">
        <v>1265</v>
      </c>
      <c r="F961" s="136" t="s">
        <v>26</v>
      </c>
      <c r="G961" s="136">
        <v>3808</v>
      </c>
      <c r="H961" s="23">
        <v>0.18</v>
      </c>
      <c r="I961" s="129">
        <v>7750</v>
      </c>
      <c r="J961" s="129">
        <f t="shared" si="69"/>
        <v>697.5</v>
      </c>
      <c r="K961" s="129">
        <f t="shared" si="70"/>
        <v>697.5</v>
      </c>
      <c r="L961" s="130"/>
      <c r="M961" s="130">
        <f>Table432[[#This Row],[Taxable Amount]]+Table432[[#This Row],[SGST]]+Table432[[#This Row],[CGST]]</f>
        <v>9145</v>
      </c>
      <c r="N961" s="161">
        <f>Table432[[#This Row],[Taxable Amount]]*1%</f>
        <v>77.5</v>
      </c>
      <c r="O961" s="132"/>
      <c r="P961" s="135"/>
      <c r="Q961" s="135"/>
      <c r="R961" s="132"/>
      <c r="S961" s="313">
        <f>Table432[[#This Row],[Invoice Amount]]-Table432[[#This Row],[TDS]]-Table432[[#This Row],[RECIVED AMOUNT]]</f>
        <v>9067.5</v>
      </c>
      <c r="T961" s="131"/>
      <c r="U961" s="131"/>
      <c r="V961" s="129">
        <f>Table432[[#This Row],[BALANCE]]-Table432[[#This Row],[RECIVED AMOUNT2]]</f>
        <v>9067.5</v>
      </c>
    </row>
    <row r="962" spans="1:22" s="12" customFormat="1" ht="19.2" customHeight="1">
      <c r="A962" s="128">
        <v>46178</v>
      </c>
      <c r="B962" s="165" t="s">
        <v>1303</v>
      </c>
      <c r="C962" s="131" t="s">
        <v>674</v>
      </c>
      <c r="D962" s="131" t="s">
        <v>675</v>
      </c>
      <c r="E962" s="131" t="s">
        <v>1340</v>
      </c>
      <c r="F962" s="136" t="s">
        <v>26</v>
      </c>
      <c r="G962" s="136">
        <v>3808</v>
      </c>
      <c r="H962" s="23">
        <v>0.18</v>
      </c>
      <c r="I962" s="129">
        <v>550</v>
      </c>
      <c r="J962" s="129">
        <f t="shared" si="69"/>
        <v>49.5</v>
      </c>
      <c r="K962" s="129">
        <f t="shared" si="70"/>
        <v>49.5</v>
      </c>
      <c r="L962" s="130"/>
      <c r="M962" s="130">
        <f>Table432[[#This Row],[Taxable Amount]]+Table432[[#This Row],[SGST]]+Table432[[#This Row],[CGST]]</f>
        <v>649</v>
      </c>
      <c r="N962" s="161">
        <f>Table432[[#This Row],[Taxable Amount]]*1%</f>
        <v>5.5</v>
      </c>
      <c r="O962" s="132"/>
      <c r="P962" s="135"/>
      <c r="Q962" s="135"/>
      <c r="R962" s="132"/>
      <c r="S962" s="313">
        <f>Table432[[#This Row],[Invoice Amount]]-Table432[[#This Row],[TDS]]-Table432[[#This Row],[RECIVED AMOUNT]]</f>
        <v>643.5</v>
      </c>
      <c r="T962" s="131"/>
      <c r="U962" s="131"/>
      <c r="V962" s="129">
        <f>Table432[[#This Row],[BALANCE]]-Table432[[#This Row],[RECIVED AMOUNT2]]</f>
        <v>643.5</v>
      </c>
    </row>
    <row r="963" spans="1:22" s="12" customFormat="1" ht="19.2" customHeight="1">
      <c r="A963" s="128">
        <v>46178</v>
      </c>
      <c r="B963" s="165" t="s">
        <v>1304</v>
      </c>
      <c r="C963" s="163" t="s">
        <v>396</v>
      </c>
      <c r="D963" s="163" t="s">
        <v>397</v>
      </c>
      <c r="E963" s="163" t="s">
        <v>260</v>
      </c>
      <c r="F963" s="136" t="s">
        <v>26</v>
      </c>
      <c r="G963" s="136">
        <v>3808</v>
      </c>
      <c r="H963" s="23">
        <v>0.18</v>
      </c>
      <c r="I963" s="129">
        <v>6000</v>
      </c>
      <c r="J963" s="129">
        <f t="shared" si="69"/>
        <v>540</v>
      </c>
      <c r="K963" s="129">
        <f t="shared" si="70"/>
        <v>540</v>
      </c>
      <c r="L963" s="130"/>
      <c r="M963" s="130">
        <f>Table432[[#This Row],[Taxable Amount]]+Table432[[#This Row],[SGST]]+Table432[[#This Row],[CGST]]</f>
        <v>7080</v>
      </c>
      <c r="N963" s="161">
        <f>Table432[[#This Row],[Taxable Amount]]*1%</f>
        <v>60</v>
      </c>
      <c r="O963" s="132"/>
      <c r="P963" s="135"/>
      <c r="Q963" s="135"/>
      <c r="R963" s="132"/>
      <c r="S963" s="313">
        <f>Table432[[#This Row],[Invoice Amount]]-Table432[[#This Row],[TDS]]-Table432[[#This Row],[RECIVED AMOUNT]]</f>
        <v>7020</v>
      </c>
      <c r="T963" s="131"/>
      <c r="U963" s="131"/>
      <c r="V963" s="129">
        <f>Table432[[#This Row],[BALANCE]]-Table432[[#This Row],[RECIVED AMOUNT2]]</f>
        <v>7020</v>
      </c>
    </row>
    <row r="964" spans="1:22" s="12" customFormat="1" ht="19.2" customHeight="1">
      <c r="A964" s="128">
        <v>46178</v>
      </c>
      <c r="B964" s="165" t="s">
        <v>1305</v>
      </c>
      <c r="C964" s="131" t="s">
        <v>301</v>
      </c>
      <c r="D964" s="131" t="s">
        <v>302</v>
      </c>
      <c r="E964" s="131" t="s">
        <v>159</v>
      </c>
      <c r="F964" s="136" t="s">
        <v>37</v>
      </c>
      <c r="G964" s="136">
        <v>3808</v>
      </c>
      <c r="H964" s="23">
        <v>0.18</v>
      </c>
      <c r="I964" s="129">
        <v>21820</v>
      </c>
      <c r="J964" s="129">
        <f t="shared" si="69"/>
        <v>1963.8</v>
      </c>
      <c r="K964" s="129">
        <f t="shared" si="70"/>
        <v>1963.8</v>
      </c>
      <c r="L964" s="130"/>
      <c r="M964" s="130">
        <f>Table432[[#This Row],[Taxable Amount]]+Table432[[#This Row],[SGST]]+Table432[[#This Row],[CGST]]</f>
        <v>25747.599999999999</v>
      </c>
      <c r="N964" s="161">
        <f>Table432[[#This Row],[Taxable Amount]]*1%</f>
        <v>218.20000000000002</v>
      </c>
      <c r="O964" s="132"/>
      <c r="P964" s="135"/>
      <c r="Q964" s="135"/>
      <c r="R964" s="132"/>
      <c r="S964" s="313">
        <f>Table432[[#This Row],[Invoice Amount]]-Table432[[#This Row],[TDS]]-Table432[[#This Row],[RECIVED AMOUNT]]</f>
        <v>25529.399999999998</v>
      </c>
      <c r="T964" s="131"/>
      <c r="U964" s="131"/>
      <c r="V964" s="129">
        <f>Table432[[#This Row],[BALANCE]]-Table432[[#This Row],[RECIVED AMOUNT2]]</f>
        <v>25529.399999999998</v>
      </c>
    </row>
    <row r="965" spans="1:22" s="12" customFormat="1" ht="19.2" customHeight="1">
      <c r="A965" s="128">
        <v>46178</v>
      </c>
      <c r="B965" s="165" t="s">
        <v>1306</v>
      </c>
      <c r="C965" s="131" t="s">
        <v>234</v>
      </c>
      <c r="D965" s="131" t="s">
        <v>235</v>
      </c>
      <c r="E965" s="131" t="s">
        <v>236</v>
      </c>
      <c r="F965" s="136" t="s">
        <v>26</v>
      </c>
      <c r="G965" s="136">
        <v>3808</v>
      </c>
      <c r="H965" s="23">
        <v>0.18</v>
      </c>
      <c r="I965" s="129">
        <v>2200</v>
      </c>
      <c r="J965" s="129">
        <f t="shared" si="69"/>
        <v>198</v>
      </c>
      <c r="K965" s="129">
        <f t="shared" si="70"/>
        <v>198</v>
      </c>
      <c r="L965" s="130"/>
      <c r="M965" s="130">
        <f>Table432[[#This Row],[Taxable Amount]]+Table432[[#This Row],[SGST]]+Table432[[#This Row],[CGST]]</f>
        <v>2596</v>
      </c>
      <c r="N965" s="161">
        <f>Table432[[#This Row],[Taxable Amount]]*1%</f>
        <v>22</v>
      </c>
      <c r="O965" s="132"/>
      <c r="P965" s="135"/>
      <c r="Q965" s="135"/>
      <c r="R965" s="132"/>
      <c r="S965" s="313">
        <f>Table432[[#This Row],[Invoice Amount]]-Table432[[#This Row],[TDS]]-Table432[[#This Row],[RECIVED AMOUNT]]</f>
        <v>2574</v>
      </c>
      <c r="T965" s="131"/>
      <c r="U965" s="131"/>
      <c r="V965" s="129">
        <f>Table432[[#This Row],[BALANCE]]-Table432[[#This Row],[RECIVED AMOUNT2]]</f>
        <v>2574</v>
      </c>
    </row>
    <row r="966" spans="1:22" s="12" customFormat="1" ht="19.2" customHeight="1">
      <c r="A966" s="128">
        <v>46188</v>
      </c>
      <c r="B966" s="165" t="s">
        <v>1307</v>
      </c>
      <c r="C966" s="131" t="s">
        <v>234</v>
      </c>
      <c r="D966" s="131" t="s">
        <v>235</v>
      </c>
      <c r="E966" s="131" t="s">
        <v>236</v>
      </c>
      <c r="F966" s="136" t="s">
        <v>26</v>
      </c>
      <c r="G966" s="136">
        <v>3808</v>
      </c>
      <c r="H966" s="23">
        <v>0.18</v>
      </c>
      <c r="I966" s="129">
        <v>4200</v>
      </c>
      <c r="J966" s="129">
        <f t="shared" si="69"/>
        <v>378</v>
      </c>
      <c r="K966" s="129">
        <f t="shared" si="70"/>
        <v>378</v>
      </c>
      <c r="L966" s="130"/>
      <c r="M966" s="130">
        <f>Table432[[#This Row],[Taxable Amount]]+Table432[[#This Row],[SGST]]+Table432[[#This Row],[CGST]]</f>
        <v>4956</v>
      </c>
      <c r="N966" s="161">
        <f>Table432[[#This Row],[Taxable Amount]]*1%</f>
        <v>42</v>
      </c>
      <c r="O966" s="132"/>
      <c r="P966" s="135"/>
      <c r="Q966" s="135"/>
      <c r="R966" s="132"/>
      <c r="S966" s="313">
        <f>Table432[[#This Row],[Invoice Amount]]-Table432[[#This Row],[TDS]]-Table432[[#This Row],[RECIVED AMOUNT]]</f>
        <v>4914</v>
      </c>
      <c r="T966" s="131"/>
      <c r="U966" s="131"/>
      <c r="V966" s="129">
        <f>Table432[[#This Row],[BALANCE]]-Table432[[#This Row],[RECIVED AMOUNT2]]</f>
        <v>4914</v>
      </c>
    </row>
    <row r="967" spans="1:22" s="12" customFormat="1" ht="19.2" customHeight="1">
      <c r="A967" s="128">
        <v>46196</v>
      </c>
      <c r="B967" s="165" t="s">
        <v>1308</v>
      </c>
      <c r="C967" s="84" t="s">
        <v>470</v>
      </c>
      <c r="D967" s="163" t="s">
        <v>471</v>
      </c>
      <c r="E967" s="131" t="s">
        <v>472</v>
      </c>
      <c r="F967" s="136" t="s">
        <v>37</v>
      </c>
      <c r="G967" s="136">
        <v>3808</v>
      </c>
      <c r="H967" s="23">
        <v>0.18</v>
      </c>
      <c r="I967" s="129">
        <v>34615.839999999997</v>
      </c>
      <c r="J967" s="129">
        <f t="shared" si="69"/>
        <v>3115.4255999999996</v>
      </c>
      <c r="K967" s="129">
        <f t="shared" si="70"/>
        <v>3115.4255999999996</v>
      </c>
      <c r="L967" s="130"/>
      <c r="M967" s="130">
        <f>Table432[[#This Row],[Taxable Amount]]+Table432[[#This Row],[SGST]]+Table432[[#This Row],[CGST]]</f>
        <v>40846.691200000001</v>
      </c>
      <c r="N967" s="161">
        <f>Table432[[#This Row],[Taxable Amount]]*1%</f>
        <v>346.15839999999997</v>
      </c>
      <c r="O967" s="132"/>
      <c r="P967" s="135"/>
      <c r="Q967" s="135"/>
      <c r="R967" s="132"/>
      <c r="S967" s="313">
        <f>Table432[[#This Row],[Invoice Amount]]-Table432[[#This Row],[TDS]]-Table432[[#This Row],[RECIVED AMOUNT]]</f>
        <v>40500.532800000001</v>
      </c>
      <c r="T967" s="131"/>
      <c r="U967" s="131"/>
      <c r="V967" s="129">
        <f>Table432[[#This Row],[BALANCE]]-Table432[[#This Row],[RECIVED AMOUNT2]]</f>
        <v>40500.532800000001</v>
      </c>
    </row>
    <row r="968" spans="1:22" s="12" customFormat="1" ht="19.2" customHeight="1">
      <c r="A968" s="128">
        <v>46198</v>
      </c>
      <c r="B968" s="165" t="s">
        <v>1309</v>
      </c>
      <c r="C968" s="131" t="s">
        <v>954</v>
      </c>
      <c r="D968" s="131" t="s">
        <v>61</v>
      </c>
      <c r="E968" s="131" t="s">
        <v>634</v>
      </c>
      <c r="F968" s="136" t="s">
        <v>26</v>
      </c>
      <c r="G968" s="136">
        <v>3808</v>
      </c>
      <c r="H968" s="23">
        <v>0.18</v>
      </c>
      <c r="I968" s="129">
        <v>22000</v>
      </c>
      <c r="J968" s="129">
        <f t="shared" si="69"/>
        <v>1980</v>
      </c>
      <c r="K968" s="129">
        <f t="shared" si="70"/>
        <v>1980</v>
      </c>
      <c r="L968" s="130"/>
      <c r="M968" s="130">
        <f>Table432[[#This Row],[Taxable Amount]]+Table432[[#This Row],[SGST]]+Table432[[#This Row],[CGST]]</f>
        <v>25960</v>
      </c>
      <c r="N968" s="161">
        <f>Table432[[#This Row],[Taxable Amount]]*1%</f>
        <v>220</v>
      </c>
      <c r="O968" s="132"/>
      <c r="P968" s="135"/>
      <c r="Q968" s="135"/>
      <c r="R968" s="132"/>
      <c r="S968" s="313">
        <f>Table432[[#This Row],[Invoice Amount]]-Table432[[#This Row],[TDS]]-Table432[[#This Row],[RECIVED AMOUNT]]</f>
        <v>25740</v>
      </c>
      <c r="T968" s="131"/>
      <c r="U968" s="131"/>
      <c r="V968" s="129">
        <f>Table432[[#This Row],[BALANCE]]-Table432[[#This Row],[RECIVED AMOUNT2]]</f>
        <v>25740</v>
      </c>
    </row>
    <row r="969" spans="1:22" s="12" customFormat="1" ht="19.2" customHeight="1">
      <c r="A969" s="128">
        <v>46198</v>
      </c>
      <c r="B969" s="165" t="s">
        <v>1310</v>
      </c>
      <c r="C969" s="131" t="s">
        <v>637</v>
      </c>
      <c r="D969" s="131" t="s">
        <v>638</v>
      </c>
      <c r="E969" s="131" t="s">
        <v>629</v>
      </c>
      <c r="F969" s="136" t="s">
        <v>26</v>
      </c>
      <c r="G969" s="136">
        <v>3808</v>
      </c>
      <c r="H969" s="23">
        <v>0.18</v>
      </c>
      <c r="I969" s="129">
        <v>12400</v>
      </c>
      <c r="J969" s="129">
        <f t="shared" si="69"/>
        <v>1116</v>
      </c>
      <c r="K969" s="129">
        <f t="shared" si="70"/>
        <v>1116</v>
      </c>
      <c r="L969" s="130"/>
      <c r="M969" s="130">
        <f>Table432[[#This Row],[Taxable Amount]]+Table432[[#This Row],[SGST]]+Table432[[#This Row],[CGST]]</f>
        <v>14632</v>
      </c>
      <c r="N969" s="161">
        <f>Table432[[#This Row],[Taxable Amount]]*1%</f>
        <v>124</v>
      </c>
      <c r="O969" s="132"/>
      <c r="P969" s="135"/>
      <c r="Q969" s="135"/>
      <c r="R969" s="132"/>
      <c r="S969" s="313">
        <f>Table432[[#This Row],[Invoice Amount]]-Table432[[#This Row],[TDS]]-Table432[[#This Row],[RECIVED AMOUNT]]</f>
        <v>14508</v>
      </c>
      <c r="T969" s="131"/>
      <c r="U969" s="131"/>
      <c r="V969" s="129">
        <f>Table432[[#This Row],[BALANCE]]-Table432[[#This Row],[RECIVED AMOUNT2]]</f>
        <v>14508</v>
      </c>
    </row>
    <row r="970" spans="1:22" s="248" customFormat="1" ht="19.2" customHeight="1">
      <c r="A970" s="293">
        <v>46198</v>
      </c>
      <c r="B970" s="287" t="s">
        <v>1311</v>
      </c>
      <c r="C970" s="235" t="s">
        <v>42</v>
      </c>
      <c r="D970" s="235" t="s">
        <v>730</v>
      </c>
      <c r="E970" s="235" t="s">
        <v>953</v>
      </c>
      <c r="F970" s="236" t="s">
        <v>26</v>
      </c>
      <c r="G970" s="236">
        <v>3808</v>
      </c>
      <c r="H970" s="237">
        <v>0.18</v>
      </c>
      <c r="I970" s="238">
        <v>13628</v>
      </c>
      <c r="J970" s="238">
        <f t="shared" si="69"/>
        <v>1226.52</v>
      </c>
      <c r="K970" s="238">
        <f t="shared" si="70"/>
        <v>1226.52</v>
      </c>
      <c r="L970" s="294"/>
      <c r="M970" s="294">
        <f>Table432[[#This Row],[Taxable Amount]]+Table432[[#This Row],[SGST]]+Table432[[#This Row],[CGST]]</f>
        <v>16081.04</v>
      </c>
      <c r="N970" s="240">
        <f>Table432[[#This Row],[Taxable Amount]]*1%</f>
        <v>136.28</v>
      </c>
      <c r="O970" s="244"/>
      <c r="P970" s="242">
        <v>15945</v>
      </c>
      <c r="Q970" s="243">
        <v>46230</v>
      </c>
      <c r="R970" s="244"/>
      <c r="S970" s="529">
        <f>Table432[[#This Row],[Invoice Amount]]-Table432[[#This Row],[TDS]]-Table432[[#This Row],[RECIVED AMOUNT]]</f>
        <v>-0.23999999999978172</v>
      </c>
      <c r="T970" s="235"/>
      <c r="U970" s="235"/>
      <c r="V970" s="238">
        <f>Table432[[#This Row],[BALANCE]]-Table432[[#This Row],[RECIVED AMOUNT2]]</f>
        <v>-0.23999999999978172</v>
      </c>
    </row>
    <row r="971" spans="1:22" s="248" customFormat="1" ht="19.2" customHeight="1">
      <c r="A971" s="293">
        <v>46198</v>
      </c>
      <c r="B971" s="287" t="s">
        <v>1312</v>
      </c>
      <c r="C971" s="235" t="s">
        <v>42</v>
      </c>
      <c r="D971" s="235" t="s">
        <v>730</v>
      </c>
      <c r="E971" s="235" t="s">
        <v>101</v>
      </c>
      <c r="F971" s="236" t="s">
        <v>26</v>
      </c>
      <c r="G971" s="236">
        <v>3808</v>
      </c>
      <c r="H971" s="237">
        <v>0.18</v>
      </c>
      <c r="I971" s="238">
        <v>6750</v>
      </c>
      <c r="J971" s="238">
        <f t="shared" si="69"/>
        <v>607.5</v>
      </c>
      <c r="K971" s="238">
        <f t="shared" si="70"/>
        <v>607.5</v>
      </c>
      <c r="L971" s="294"/>
      <c r="M971" s="294">
        <f>Table432[[#This Row],[Taxable Amount]]+Table432[[#This Row],[SGST]]+Table432[[#This Row],[CGST]]</f>
        <v>7965</v>
      </c>
      <c r="N971" s="240">
        <f>Table432[[#This Row],[Taxable Amount]]*1%</f>
        <v>67.5</v>
      </c>
      <c r="O971" s="244"/>
      <c r="P971" s="242">
        <v>7897</v>
      </c>
      <c r="Q971" s="243">
        <v>46230</v>
      </c>
      <c r="R971" s="244"/>
      <c r="S971" s="529">
        <f>Table432[[#This Row],[Invoice Amount]]-Table432[[#This Row],[TDS]]-Table432[[#This Row],[RECIVED AMOUNT]]</f>
        <v>0.5</v>
      </c>
      <c r="T971" s="235"/>
      <c r="U971" s="235"/>
      <c r="V971" s="238">
        <f>Table432[[#This Row],[BALANCE]]-Table432[[#This Row],[RECIVED AMOUNT2]]</f>
        <v>0.5</v>
      </c>
    </row>
    <row r="972" spans="1:22" s="248" customFormat="1" ht="19.2" customHeight="1">
      <c r="A972" s="293">
        <v>46198</v>
      </c>
      <c r="B972" s="287" t="s">
        <v>1313</v>
      </c>
      <c r="C972" s="235" t="s">
        <v>42</v>
      </c>
      <c r="D972" s="235" t="s">
        <v>730</v>
      </c>
      <c r="E972" s="235" t="s">
        <v>163</v>
      </c>
      <c r="F972" s="236" t="s">
        <v>26</v>
      </c>
      <c r="G972" s="236">
        <v>3808</v>
      </c>
      <c r="H972" s="237">
        <v>0.18</v>
      </c>
      <c r="I972" s="238">
        <v>50950</v>
      </c>
      <c r="J972" s="238">
        <f t="shared" si="69"/>
        <v>4585.5</v>
      </c>
      <c r="K972" s="238">
        <f t="shared" si="70"/>
        <v>4585.5</v>
      </c>
      <c r="L972" s="294"/>
      <c r="M972" s="294">
        <f>Table432[[#This Row],[Taxable Amount]]+Table432[[#This Row],[SGST]]+Table432[[#This Row],[CGST]]</f>
        <v>60121</v>
      </c>
      <c r="N972" s="240">
        <f>Table432[[#This Row],[Taxable Amount]]*1%</f>
        <v>509.5</v>
      </c>
      <c r="O972" s="244"/>
      <c r="P972" s="242">
        <v>58337</v>
      </c>
      <c r="Q972" s="243">
        <v>46232</v>
      </c>
      <c r="R972" s="244"/>
      <c r="S972" s="529">
        <f>Table432[[#This Row],[Invoice Amount]]-Table432[[#This Row],[TDS]]-Table432[[#This Row],[RECIVED AMOUNT]]</f>
        <v>1274.5</v>
      </c>
      <c r="T972" s="235"/>
      <c r="U972" s="235"/>
      <c r="V972" s="238">
        <f>Table432[[#This Row],[BALANCE]]-Table432[[#This Row],[RECIVED AMOUNT2]]</f>
        <v>1274.5</v>
      </c>
    </row>
    <row r="973" spans="1:22" s="12" customFormat="1" ht="19.2" customHeight="1">
      <c r="A973" s="128">
        <v>46203</v>
      </c>
      <c r="B973" s="165" t="s">
        <v>1314</v>
      </c>
      <c r="C973" s="131" t="s">
        <v>720</v>
      </c>
      <c r="D973" s="131" t="s">
        <v>721</v>
      </c>
      <c r="E973" s="131" t="s">
        <v>629</v>
      </c>
      <c r="F973" s="136" t="s">
        <v>26</v>
      </c>
      <c r="G973" s="136">
        <v>3808</v>
      </c>
      <c r="H973" s="23">
        <v>0.18</v>
      </c>
      <c r="I973" s="129">
        <v>3000</v>
      </c>
      <c r="J973" s="129">
        <f t="shared" si="69"/>
        <v>270</v>
      </c>
      <c r="K973" s="129">
        <f t="shared" si="70"/>
        <v>270</v>
      </c>
      <c r="L973" s="130"/>
      <c r="M973" s="130">
        <f>Table432[[#This Row],[Taxable Amount]]+Table432[[#This Row],[SGST]]+Table432[[#This Row],[CGST]]</f>
        <v>3540</v>
      </c>
      <c r="N973" s="161"/>
      <c r="O973" s="132"/>
      <c r="P973" s="135">
        <v>3540</v>
      </c>
      <c r="Q973" s="205">
        <v>46264</v>
      </c>
      <c r="R973" s="132"/>
      <c r="S973" s="313">
        <f>Table432[[#This Row],[Invoice Amount]]-Table432[[#This Row],[TDS]]-Table432[[#This Row],[RECIVED AMOUNT]]</f>
        <v>0</v>
      </c>
      <c r="T973" s="131"/>
      <c r="U973" s="131"/>
      <c r="V973" s="129">
        <f>Table432[[#This Row],[BALANCE]]-Table432[[#This Row],[RECIVED AMOUNT2]]</f>
        <v>0</v>
      </c>
    </row>
    <row r="974" spans="1:22" s="12" customFormat="1" ht="19.2" customHeight="1">
      <c r="A974" s="128">
        <v>46203</v>
      </c>
      <c r="B974" s="165" t="s">
        <v>1315</v>
      </c>
      <c r="C974" s="131" t="s">
        <v>116</v>
      </c>
      <c r="D974" s="131" t="s">
        <v>117</v>
      </c>
      <c r="E974" s="131" t="s">
        <v>59</v>
      </c>
      <c r="F974" s="136" t="s">
        <v>26</v>
      </c>
      <c r="G974" s="136">
        <v>3808</v>
      </c>
      <c r="H974" s="23">
        <v>0.18</v>
      </c>
      <c r="I974" s="129">
        <v>17300</v>
      </c>
      <c r="J974" s="129">
        <f t="shared" si="69"/>
        <v>1557</v>
      </c>
      <c r="K974" s="129">
        <f t="shared" si="70"/>
        <v>1557</v>
      </c>
      <c r="L974" s="130"/>
      <c r="M974" s="130">
        <f>Table432[[#This Row],[Taxable Amount]]+Table432[[#This Row],[SGST]]+Table432[[#This Row],[CGST]]</f>
        <v>20414</v>
      </c>
      <c r="N974" s="161">
        <f>Table432[[#This Row],[Taxable Amount]]*1%</f>
        <v>173</v>
      </c>
      <c r="O974" s="132"/>
      <c r="P974" s="135"/>
      <c r="Q974" s="135"/>
      <c r="R974" s="132"/>
      <c r="S974" s="313">
        <f>Table432[[#This Row],[Invoice Amount]]-Table432[[#This Row],[TDS]]-Table432[[#This Row],[RECIVED AMOUNT]]</f>
        <v>20241</v>
      </c>
      <c r="T974" s="131"/>
      <c r="U974" s="131"/>
      <c r="V974" s="129">
        <f>Table432[[#This Row],[BALANCE]]-Table432[[#This Row],[RECIVED AMOUNT2]]</f>
        <v>20241</v>
      </c>
    </row>
    <row r="975" spans="1:22" s="12" customFormat="1" ht="19.2" customHeight="1">
      <c r="A975" s="128">
        <v>46203</v>
      </c>
      <c r="B975" s="165" t="s">
        <v>1316</v>
      </c>
      <c r="C975" s="131" t="s">
        <v>390</v>
      </c>
      <c r="D975" s="131" t="s">
        <v>391</v>
      </c>
      <c r="E975" s="131" t="s">
        <v>260</v>
      </c>
      <c r="F975" s="136" t="s">
        <v>26</v>
      </c>
      <c r="G975" s="136">
        <v>3808</v>
      </c>
      <c r="H975" s="23">
        <v>0.18</v>
      </c>
      <c r="I975" s="129">
        <v>1205.1600000000001</v>
      </c>
      <c r="J975" s="129">
        <f t="shared" si="69"/>
        <v>108.46440000000001</v>
      </c>
      <c r="K975" s="129">
        <f t="shared" si="70"/>
        <v>108.46440000000001</v>
      </c>
      <c r="L975" s="130"/>
      <c r="M975" s="130">
        <f>Table432[[#This Row],[Taxable Amount]]+Table432[[#This Row],[SGST]]+Table432[[#This Row],[CGST]]</f>
        <v>1422.0888000000002</v>
      </c>
      <c r="N975" s="161">
        <f>Table432[[#This Row],[Taxable Amount]]*1%</f>
        <v>12.051600000000001</v>
      </c>
      <c r="O975" s="132"/>
      <c r="P975" s="135"/>
      <c r="Q975" s="135"/>
      <c r="R975" s="132"/>
      <c r="S975" s="313">
        <f>Table432[[#This Row],[Invoice Amount]]-Table432[[#This Row],[TDS]]-Table432[[#This Row],[RECIVED AMOUNT]]</f>
        <v>1410.0372000000002</v>
      </c>
      <c r="T975" s="131"/>
      <c r="U975" s="131"/>
      <c r="V975" s="129">
        <f>Table432[[#This Row],[BALANCE]]-Table432[[#This Row],[RECIVED AMOUNT2]]</f>
        <v>1410.0372000000002</v>
      </c>
    </row>
    <row r="976" spans="1:22" s="12" customFormat="1" ht="19.2" customHeight="1">
      <c r="A976" s="128">
        <v>46203</v>
      </c>
      <c r="B976" s="165" t="s">
        <v>1317</v>
      </c>
      <c r="C976" s="131" t="s">
        <v>390</v>
      </c>
      <c r="D976" s="131" t="s">
        <v>391</v>
      </c>
      <c r="E976" s="131" t="s">
        <v>260</v>
      </c>
      <c r="F976" s="136" t="s">
        <v>26</v>
      </c>
      <c r="G976" s="136">
        <v>3808</v>
      </c>
      <c r="H976" s="23">
        <v>0.18</v>
      </c>
      <c r="I976" s="129">
        <v>1448.35</v>
      </c>
      <c r="J976" s="129">
        <f t="shared" si="69"/>
        <v>130.35149999999999</v>
      </c>
      <c r="K976" s="129">
        <f t="shared" si="70"/>
        <v>130.35149999999999</v>
      </c>
      <c r="L976" s="130"/>
      <c r="M976" s="130">
        <f>Table432[[#This Row],[Taxable Amount]]+Table432[[#This Row],[SGST]]+Table432[[#This Row],[CGST]]</f>
        <v>1709.0529999999999</v>
      </c>
      <c r="N976" s="161">
        <f>Table432[[#This Row],[Taxable Amount]]*1%</f>
        <v>14.483499999999999</v>
      </c>
      <c r="O976" s="132"/>
      <c r="P976" s="135"/>
      <c r="Q976" s="135"/>
      <c r="R976" s="132"/>
      <c r="S976" s="313">
        <f>Table432[[#This Row],[Invoice Amount]]-Table432[[#This Row],[TDS]]-Table432[[#This Row],[RECIVED AMOUNT]]</f>
        <v>1694.5694999999998</v>
      </c>
      <c r="T976" s="131"/>
      <c r="U976" s="131"/>
      <c r="V976" s="129">
        <f>Table432[[#This Row],[BALANCE]]-Table432[[#This Row],[RECIVED AMOUNT2]]</f>
        <v>1694.5694999999998</v>
      </c>
    </row>
    <row r="977" spans="1:22" s="12" customFormat="1" ht="19.2" customHeight="1">
      <c r="A977" s="128">
        <v>46203</v>
      </c>
      <c r="B977" s="165" t="s">
        <v>1318</v>
      </c>
      <c r="C977" s="131" t="s">
        <v>390</v>
      </c>
      <c r="D977" s="131" t="s">
        <v>391</v>
      </c>
      <c r="E977" s="131" t="s">
        <v>260</v>
      </c>
      <c r="F977" s="136" t="s">
        <v>26</v>
      </c>
      <c r="G977" s="136">
        <v>3808</v>
      </c>
      <c r="H977" s="23">
        <v>0.18</v>
      </c>
      <c r="I977" s="129">
        <v>2008.6</v>
      </c>
      <c r="J977" s="129">
        <f t="shared" ref="J977:J1040" si="75">I977*9/100</f>
        <v>180.77399999999997</v>
      </c>
      <c r="K977" s="129">
        <f t="shared" ref="K977:K1040" si="76">I977*9/100</f>
        <v>180.77399999999997</v>
      </c>
      <c r="L977" s="130"/>
      <c r="M977" s="130">
        <f>Table432[[#This Row],[Taxable Amount]]+Table432[[#This Row],[SGST]]+Table432[[#This Row],[CGST]]</f>
        <v>2370.1479999999997</v>
      </c>
      <c r="N977" s="161">
        <f>Table432[[#This Row],[Taxable Amount]]*1%</f>
        <v>20.085999999999999</v>
      </c>
      <c r="O977" s="132"/>
      <c r="P977" s="135"/>
      <c r="Q977" s="135"/>
      <c r="R977" s="132"/>
      <c r="S977" s="313">
        <f>Table432[[#This Row],[Invoice Amount]]-Table432[[#This Row],[TDS]]-Table432[[#This Row],[RECIVED AMOUNT]]</f>
        <v>2350.0619999999999</v>
      </c>
      <c r="T977" s="131"/>
      <c r="U977" s="131"/>
      <c r="V977" s="129">
        <f>Table432[[#This Row],[BALANCE]]-Table432[[#This Row],[RECIVED AMOUNT2]]</f>
        <v>2350.0619999999999</v>
      </c>
    </row>
    <row r="978" spans="1:22" s="12" customFormat="1" ht="19.2" customHeight="1">
      <c r="A978" s="128">
        <v>46203</v>
      </c>
      <c r="B978" s="165" t="s">
        <v>1319</v>
      </c>
      <c r="C978" s="131" t="s">
        <v>390</v>
      </c>
      <c r="D978" s="131" t="s">
        <v>391</v>
      </c>
      <c r="E978" s="131" t="s">
        <v>260</v>
      </c>
      <c r="F978" s="136" t="s">
        <v>26</v>
      </c>
      <c r="G978" s="136">
        <v>3808</v>
      </c>
      <c r="H978" s="23">
        <v>0.18</v>
      </c>
      <c r="I978" s="129">
        <v>1035.8399999999999</v>
      </c>
      <c r="J978" s="129">
        <f t="shared" si="75"/>
        <v>93.2256</v>
      </c>
      <c r="K978" s="129">
        <f t="shared" si="76"/>
        <v>93.2256</v>
      </c>
      <c r="L978" s="130"/>
      <c r="M978" s="130">
        <f>Table432[[#This Row],[Taxable Amount]]+Table432[[#This Row],[SGST]]+Table432[[#This Row],[CGST]]</f>
        <v>1222.2911999999999</v>
      </c>
      <c r="N978" s="161">
        <f>Table432[[#This Row],[Taxable Amount]]*1%</f>
        <v>10.3584</v>
      </c>
      <c r="O978" s="132"/>
      <c r="P978" s="135"/>
      <c r="Q978" s="135"/>
      <c r="R978" s="132"/>
      <c r="S978" s="313">
        <f>Table432[[#This Row],[Invoice Amount]]-Table432[[#This Row],[TDS]]-Table432[[#This Row],[RECIVED AMOUNT]]</f>
        <v>1211.9327999999998</v>
      </c>
      <c r="T978" s="131"/>
      <c r="U978" s="131"/>
      <c r="V978" s="129">
        <f>Table432[[#This Row],[BALANCE]]-Table432[[#This Row],[RECIVED AMOUNT2]]</f>
        <v>1211.9327999999998</v>
      </c>
    </row>
    <row r="979" spans="1:22" s="12" customFormat="1" ht="19.2" customHeight="1">
      <c r="A979" s="128">
        <v>46203</v>
      </c>
      <c r="B979" s="165" t="s">
        <v>1320</v>
      </c>
      <c r="C979" s="131" t="s">
        <v>390</v>
      </c>
      <c r="D979" s="131" t="s">
        <v>391</v>
      </c>
      <c r="E979" s="131" t="s">
        <v>260</v>
      </c>
      <c r="F979" s="136" t="s">
        <v>26</v>
      </c>
      <c r="G979" s="136">
        <v>3808</v>
      </c>
      <c r="H979" s="23">
        <v>0.18</v>
      </c>
      <c r="I979" s="129">
        <v>972.76</v>
      </c>
      <c r="J979" s="129">
        <f t="shared" si="75"/>
        <v>87.548400000000001</v>
      </c>
      <c r="K979" s="129">
        <f t="shared" si="76"/>
        <v>87.548400000000001</v>
      </c>
      <c r="L979" s="130"/>
      <c r="M979" s="130">
        <f>Table432[[#This Row],[Taxable Amount]]+Table432[[#This Row],[SGST]]+Table432[[#This Row],[CGST]]</f>
        <v>1147.8567999999998</v>
      </c>
      <c r="N979" s="161">
        <f>Table432[[#This Row],[Taxable Amount]]*1%</f>
        <v>9.7276000000000007</v>
      </c>
      <c r="O979" s="132"/>
      <c r="P979" s="135"/>
      <c r="Q979" s="135"/>
      <c r="R979" s="132"/>
      <c r="S979" s="313">
        <f>Table432[[#This Row],[Invoice Amount]]-Table432[[#This Row],[TDS]]-Table432[[#This Row],[RECIVED AMOUNT]]</f>
        <v>1138.1291999999999</v>
      </c>
      <c r="T979" s="131"/>
      <c r="U979" s="131"/>
      <c r="V979" s="129">
        <f>Table432[[#This Row],[BALANCE]]-Table432[[#This Row],[RECIVED AMOUNT2]]</f>
        <v>1138.1291999999999</v>
      </c>
    </row>
    <row r="980" spans="1:22" s="12" customFormat="1" ht="19.2" customHeight="1">
      <c r="A980" s="128">
        <v>46203</v>
      </c>
      <c r="B980" s="165" t="s">
        <v>1321</v>
      </c>
      <c r="C980" s="131" t="s">
        <v>390</v>
      </c>
      <c r="D980" s="131" t="s">
        <v>391</v>
      </c>
      <c r="E980" s="131" t="s">
        <v>260</v>
      </c>
      <c r="F980" s="136" t="s">
        <v>26</v>
      </c>
      <c r="G980" s="136">
        <v>3808</v>
      </c>
      <c r="H980" s="23">
        <v>0.18</v>
      </c>
      <c r="I980" s="129">
        <v>930.43</v>
      </c>
      <c r="J980" s="129">
        <f t="shared" si="75"/>
        <v>83.738699999999994</v>
      </c>
      <c r="K980" s="129">
        <f t="shared" si="76"/>
        <v>83.738699999999994</v>
      </c>
      <c r="L980" s="130"/>
      <c r="M980" s="130">
        <f>Table432[[#This Row],[Taxable Amount]]+Table432[[#This Row],[SGST]]+Table432[[#This Row],[CGST]]</f>
        <v>1097.9074000000001</v>
      </c>
      <c r="N980" s="161">
        <f>Table432[[#This Row],[Taxable Amount]]*1%</f>
        <v>9.3042999999999996</v>
      </c>
      <c r="O980" s="132"/>
      <c r="P980" s="135"/>
      <c r="Q980" s="135"/>
      <c r="R980" s="132"/>
      <c r="S980" s="313">
        <f>Table432[[#This Row],[Invoice Amount]]-Table432[[#This Row],[TDS]]-Table432[[#This Row],[RECIVED AMOUNT]]</f>
        <v>1088.6031</v>
      </c>
      <c r="T980" s="131"/>
      <c r="U980" s="131"/>
      <c r="V980" s="129">
        <f>Table432[[#This Row],[BALANCE]]-Table432[[#This Row],[RECIVED AMOUNT2]]</f>
        <v>1088.6031</v>
      </c>
    </row>
    <row r="981" spans="1:22" s="12" customFormat="1" ht="19.2" customHeight="1">
      <c r="A981" s="128">
        <v>46203</v>
      </c>
      <c r="B981" s="165" t="s">
        <v>1322</v>
      </c>
      <c r="C981" s="131" t="s">
        <v>290</v>
      </c>
      <c r="D981" s="131" t="s">
        <v>291</v>
      </c>
      <c r="E981" s="131" t="s">
        <v>25</v>
      </c>
      <c r="F981" s="136" t="s">
        <v>26</v>
      </c>
      <c r="G981" s="136">
        <v>3808</v>
      </c>
      <c r="H981" s="23">
        <v>0.18</v>
      </c>
      <c r="I981" s="129">
        <v>4500</v>
      </c>
      <c r="J981" s="129">
        <f t="shared" si="75"/>
        <v>405</v>
      </c>
      <c r="K981" s="129">
        <f t="shared" si="76"/>
        <v>405</v>
      </c>
      <c r="L981" s="130"/>
      <c r="M981" s="130">
        <f>Table432[[#This Row],[Taxable Amount]]+Table432[[#This Row],[SGST]]+Table432[[#This Row],[CGST]]</f>
        <v>5310</v>
      </c>
      <c r="N981" s="161">
        <f>Table432[[#This Row],[Taxable Amount]]*1%</f>
        <v>45</v>
      </c>
      <c r="O981" s="132"/>
      <c r="P981" s="135">
        <v>5310</v>
      </c>
      <c r="Q981" s="205">
        <v>46216</v>
      </c>
      <c r="R981" s="132" t="s">
        <v>1406</v>
      </c>
      <c r="S981" s="313">
        <f>Table432[[#This Row],[Invoice Amount]]-Table432[[#This Row],[TDS]]-Table432[[#This Row],[RECIVED AMOUNT]]</f>
        <v>-45</v>
      </c>
      <c r="T981" s="131"/>
      <c r="U981" s="131"/>
      <c r="V981" s="129">
        <f>Table432[[#This Row],[BALANCE]]-Table432[[#This Row],[RECIVED AMOUNT2]]</f>
        <v>-45</v>
      </c>
    </row>
    <row r="982" spans="1:22" s="12" customFormat="1" ht="19.2" customHeight="1">
      <c r="A982" s="128">
        <v>46203</v>
      </c>
      <c r="B982" s="165" t="s">
        <v>1341</v>
      </c>
      <c r="C982" s="131" t="s">
        <v>390</v>
      </c>
      <c r="D982" s="131" t="s">
        <v>391</v>
      </c>
      <c r="E982" s="131" t="s">
        <v>260</v>
      </c>
      <c r="F982" s="136" t="s">
        <v>26</v>
      </c>
      <c r="G982" s="136">
        <v>3808</v>
      </c>
      <c r="H982" s="23">
        <v>0.18</v>
      </c>
      <c r="I982" s="129">
        <v>698.86</v>
      </c>
      <c r="J982" s="129">
        <f t="shared" si="75"/>
        <v>62.897399999999998</v>
      </c>
      <c r="K982" s="129">
        <f t="shared" si="76"/>
        <v>62.897399999999998</v>
      </c>
      <c r="L982" s="130"/>
      <c r="M982" s="130">
        <f>Table432[[#This Row],[Taxable Amount]]+Table432[[#This Row],[SGST]]+Table432[[#This Row],[CGST]]</f>
        <v>824.65479999999991</v>
      </c>
      <c r="N982" s="161">
        <f>Table432[[#This Row],[Taxable Amount]]*1%</f>
        <v>6.9885999999999999</v>
      </c>
      <c r="O982" s="132"/>
      <c r="P982" s="135"/>
      <c r="Q982" s="135"/>
      <c r="R982" s="132"/>
      <c r="S982" s="313">
        <f>Table432[[#This Row],[Invoice Amount]]-Table432[[#This Row],[TDS]]-Table432[[#This Row],[RECIVED AMOUNT]]</f>
        <v>817.66619999999989</v>
      </c>
      <c r="T982" s="131"/>
      <c r="U982" s="131"/>
      <c r="V982" s="129">
        <f>Table432[[#This Row],[BALANCE]]-Table432[[#This Row],[RECIVED AMOUNT2]]</f>
        <v>817.66619999999989</v>
      </c>
    </row>
    <row r="983" spans="1:22" s="12" customFormat="1" ht="19.2" customHeight="1">
      <c r="A983" s="128">
        <v>46203</v>
      </c>
      <c r="B983" s="165" t="s">
        <v>1323</v>
      </c>
      <c r="C983" s="131" t="s">
        <v>372</v>
      </c>
      <c r="D983" s="131" t="s">
        <v>794</v>
      </c>
      <c r="E983" s="131" t="s">
        <v>374</v>
      </c>
      <c r="F983" s="136" t="s">
        <v>26</v>
      </c>
      <c r="G983" s="136">
        <v>3808</v>
      </c>
      <c r="H983" s="23">
        <v>0.18</v>
      </c>
      <c r="I983" s="129">
        <v>2500</v>
      </c>
      <c r="J983" s="129">
        <f t="shared" si="75"/>
        <v>225</v>
      </c>
      <c r="K983" s="129">
        <f t="shared" si="76"/>
        <v>225</v>
      </c>
      <c r="L983" s="130"/>
      <c r="M983" s="130">
        <f>Table432[[#This Row],[Taxable Amount]]+Table432[[#This Row],[SGST]]+Table432[[#This Row],[CGST]]</f>
        <v>2950</v>
      </c>
      <c r="N983" s="161">
        <f>Table432[[#This Row],[Taxable Amount]]*1%</f>
        <v>25</v>
      </c>
      <c r="O983" s="132"/>
      <c r="P983" s="135">
        <v>2950</v>
      </c>
      <c r="Q983" s="205">
        <v>46228</v>
      </c>
      <c r="R983" s="132"/>
      <c r="S983" s="313">
        <f>Table432[[#This Row],[Invoice Amount]]-Table432[[#This Row],[TDS]]-Table432[[#This Row],[RECIVED AMOUNT]]</f>
        <v>-25</v>
      </c>
      <c r="T983" s="131"/>
      <c r="U983" s="131"/>
      <c r="V983" s="129">
        <f>Table432[[#This Row],[BALANCE]]-Table432[[#This Row],[RECIVED AMOUNT2]]</f>
        <v>-25</v>
      </c>
    </row>
    <row r="984" spans="1:22" s="12" customFormat="1" ht="19.2" customHeight="1">
      <c r="A984" s="128">
        <v>46203</v>
      </c>
      <c r="B984" s="165" t="s">
        <v>1324</v>
      </c>
      <c r="C984" s="131" t="s">
        <v>372</v>
      </c>
      <c r="D984" s="131" t="s">
        <v>794</v>
      </c>
      <c r="E984" s="131" t="s">
        <v>374</v>
      </c>
      <c r="F984" s="136" t="s">
        <v>26</v>
      </c>
      <c r="G984" s="136">
        <v>3808</v>
      </c>
      <c r="H984" s="23">
        <v>0.18</v>
      </c>
      <c r="I984" s="129">
        <v>2500</v>
      </c>
      <c r="J984" s="129">
        <f t="shared" si="75"/>
        <v>225</v>
      </c>
      <c r="K984" s="129">
        <f t="shared" si="76"/>
        <v>225</v>
      </c>
      <c r="L984" s="130"/>
      <c r="M984" s="130">
        <f>Table432[[#This Row],[Taxable Amount]]+Table432[[#This Row],[SGST]]+Table432[[#This Row],[CGST]]</f>
        <v>2950</v>
      </c>
      <c r="N984" s="161">
        <f>Table432[[#This Row],[Taxable Amount]]*1%</f>
        <v>25</v>
      </c>
      <c r="O984" s="132"/>
      <c r="P984" s="135">
        <v>2950</v>
      </c>
      <c r="Q984" s="205">
        <v>46228</v>
      </c>
      <c r="R984" s="132"/>
      <c r="S984" s="313">
        <f>Table432[[#This Row],[Invoice Amount]]-Table432[[#This Row],[TDS]]-Table432[[#This Row],[RECIVED AMOUNT]]</f>
        <v>-25</v>
      </c>
      <c r="T984" s="131"/>
      <c r="U984" s="131"/>
      <c r="V984" s="129">
        <f>Table432[[#This Row],[BALANCE]]-Table432[[#This Row],[RECIVED AMOUNT2]]</f>
        <v>-25</v>
      </c>
    </row>
    <row r="985" spans="1:22" s="12" customFormat="1" ht="19.2" customHeight="1">
      <c r="A985" s="128">
        <v>46203</v>
      </c>
      <c r="B985" s="131" t="s">
        <v>1325</v>
      </c>
      <c r="C985" s="131" t="s">
        <v>444</v>
      </c>
      <c r="D985" s="131" t="s">
        <v>445</v>
      </c>
      <c r="E985" s="131" t="s">
        <v>232</v>
      </c>
      <c r="F985" s="136" t="s">
        <v>26</v>
      </c>
      <c r="G985" s="136">
        <v>3808</v>
      </c>
      <c r="H985" s="23">
        <v>0.18</v>
      </c>
      <c r="I985" s="129">
        <v>6600</v>
      </c>
      <c r="J985" s="129">
        <f t="shared" si="75"/>
        <v>594</v>
      </c>
      <c r="K985" s="129">
        <f t="shared" si="76"/>
        <v>594</v>
      </c>
      <c r="L985" s="130"/>
      <c r="M985" s="130">
        <f>Table432[[#This Row],[Taxable Amount]]+Table432[[#This Row],[SGST]]+Table432[[#This Row],[CGST]]</f>
        <v>7788</v>
      </c>
      <c r="N985" s="161">
        <f>Table432[[#This Row],[Taxable Amount]]*1%</f>
        <v>66</v>
      </c>
      <c r="O985" s="132"/>
      <c r="P985" s="135">
        <v>7788</v>
      </c>
      <c r="Q985" s="205">
        <v>46251</v>
      </c>
      <c r="R985" s="132"/>
      <c r="S985" s="313">
        <f>Table432[[#This Row],[Invoice Amount]]-Table432[[#This Row],[TDS]]-Table432[[#This Row],[RECIVED AMOUNT]]</f>
        <v>-66</v>
      </c>
      <c r="T985" s="131"/>
      <c r="U985" s="131"/>
      <c r="V985" s="129">
        <f>Table432[[#This Row],[BALANCE]]-Table432[[#This Row],[RECIVED AMOUNT2]]</f>
        <v>-66</v>
      </c>
    </row>
    <row r="986" spans="1:22" s="12" customFormat="1" ht="19.2" customHeight="1">
      <c r="A986" s="128">
        <v>46203</v>
      </c>
      <c r="B986" s="165" t="s">
        <v>1326</v>
      </c>
      <c r="C986" s="131" t="s">
        <v>1185</v>
      </c>
      <c r="D986" s="131" t="s">
        <v>1186</v>
      </c>
      <c r="E986" s="131" t="s">
        <v>36</v>
      </c>
      <c r="F986" s="136" t="s">
        <v>26</v>
      </c>
      <c r="G986" s="136">
        <v>3808</v>
      </c>
      <c r="H986" s="23">
        <v>0.18</v>
      </c>
      <c r="I986" s="129">
        <v>4400</v>
      </c>
      <c r="J986" s="129">
        <f t="shared" si="75"/>
        <v>396</v>
      </c>
      <c r="K986" s="129">
        <f t="shared" si="76"/>
        <v>396</v>
      </c>
      <c r="L986" s="130"/>
      <c r="M986" s="130">
        <f>Table432[[#This Row],[Taxable Amount]]+Table432[[#This Row],[SGST]]+Table432[[#This Row],[CGST]]</f>
        <v>5192</v>
      </c>
      <c r="N986" s="161">
        <f>Table432[[#This Row],[Taxable Amount]]*1%</f>
        <v>44</v>
      </c>
      <c r="O986" s="132"/>
      <c r="P986" s="135"/>
      <c r="Q986" s="135"/>
      <c r="R986" s="132"/>
      <c r="S986" s="313">
        <f>Table432[[#This Row],[Invoice Amount]]-Table432[[#This Row],[TDS]]-Table432[[#This Row],[RECIVED AMOUNT]]</f>
        <v>5148</v>
      </c>
      <c r="T986" s="131"/>
      <c r="U986" s="131"/>
      <c r="V986" s="129">
        <f>Table432[[#This Row],[BALANCE]]-Table432[[#This Row],[RECIVED AMOUNT2]]</f>
        <v>5148</v>
      </c>
    </row>
    <row r="987" spans="1:22" s="12" customFormat="1" ht="19.2" customHeight="1">
      <c r="A987" s="128">
        <v>46203</v>
      </c>
      <c r="B987" s="165" t="s">
        <v>1327</v>
      </c>
      <c r="C987" s="131" t="s">
        <v>981</v>
      </c>
      <c r="D987" s="131" t="s">
        <v>982</v>
      </c>
      <c r="E987" s="131" t="s">
        <v>1053</v>
      </c>
      <c r="F987" s="136"/>
      <c r="G987" s="136">
        <v>3808</v>
      </c>
      <c r="H987" s="23">
        <v>0.18</v>
      </c>
      <c r="I987" s="129">
        <v>33200</v>
      </c>
      <c r="J987" s="129">
        <f t="shared" si="75"/>
        <v>2988</v>
      </c>
      <c r="K987" s="129">
        <f t="shared" si="76"/>
        <v>2988</v>
      </c>
      <c r="L987" s="130"/>
      <c r="M987" s="130">
        <f>Table432[[#This Row],[Taxable Amount]]+Table432[[#This Row],[SGST]]+Table432[[#This Row],[CGST]]</f>
        <v>39176</v>
      </c>
      <c r="N987" s="161">
        <f>Table432[[#This Row],[Taxable Amount]]*1%</f>
        <v>332</v>
      </c>
      <c r="O987" s="132"/>
      <c r="P987" s="135"/>
      <c r="Q987" s="135"/>
      <c r="R987" s="132"/>
      <c r="S987" s="313">
        <f>Table432[[#This Row],[Invoice Amount]]-Table432[[#This Row],[TDS]]-Table432[[#This Row],[RECIVED AMOUNT]]</f>
        <v>38844</v>
      </c>
      <c r="T987" s="131"/>
      <c r="U987" s="131"/>
      <c r="V987" s="129">
        <f>Table432[[#This Row],[BALANCE]]-Table432[[#This Row],[RECIVED AMOUNT2]]</f>
        <v>38844</v>
      </c>
    </row>
    <row r="988" spans="1:22" s="12" customFormat="1" ht="19.2" customHeight="1">
      <c r="A988" s="128">
        <v>46208</v>
      </c>
      <c r="B988" s="165" t="s">
        <v>1328</v>
      </c>
      <c r="C988" s="131" t="s">
        <v>885</v>
      </c>
      <c r="D988" s="131" t="s">
        <v>886</v>
      </c>
      <c r="E988" s="131" t="s">
        <v>59</v>
      </c>
      <c r="F988" s="136" t="s">
        <v>26</v>
      </c>
      <c r="G988" s="136">
        <v>3808</v>
      </c>
      <c r="H988" s="23">
        <v>0.18</v>
      </c>
      <c r="I988" s="129">
        <v>4400</v>
      </c>
      <c r="J988" s="129">
        <f t="shared" si="75"/>
        <v>396</v>
      </c>
      <c r="K988" s="129">
        <f t="shared" si="76"/>
        <v>396</v>
      </c>
      <c r="L988" s="130"/>
      <c r="M988" s="130">
        <f>Table432[[#This Row],[Taxable Amount]]+Table432[[#This Row],[SGST]]+Table432[[#This Row],[CGST]]</f>
        <v>5192</v>
      </c>
      <c r="N988" s="161"/>
      <c r="O988" s="132"/>
      <c r="P988" s="135"/>
      <c r="Q988" s="135"/>
      <c r="R988" s="132"/>
      <c r="S988" s="313">
        <f>Table432[[#This Row],[Invoice Amount]]-Table432[[#This Row],[TDS]]-Table432[[#This Row],[RECIVED AMOUNT]]</f>
        <v>5192</v>
      </c>
      <c r="T988" s="131"/>
      <c r="U988" s="131"/>
      <c r="V988" s="129">
        <f>Table432[[#This Row],[BALANCE]]-Table432[[#This Row],[RECIVED AMOUNT2]]</f>
        <v>5192</v>
      </c>
    </row>
    <row r="989" spans="1:22" s="12" customFormat="1" ht="19.2" customHeight="1">
      <c r="A989" s="128">
        <v>46208</v>
      </c>
      <c r="B989" s="165" t="s">
        <v>1329</v>
      </c>
      <c r="C989" s="131" t="s">
        <v>955</v>
      </c>
      <c r="D989" s="131" t="s">
        <v>205</v>
      </c>
      <c r="E989" s="131" t="s">
        <v>67</v>
      </c>
      <c r="F989" s="136" t="s">
        <v>26</v>
      </c>
      <c r="G989" s="136">
        <v>3808</v>
      </c>
      <c r="H989" s="23">
        <v>0.18</v>
      </c>
      <c r="I989" s="129">
        <v>14050</v>
      </c>
      <c r="J989" s="129">
        <f t="shared" si="75"/>
        <v>1264.5</v>
      </c>
      <c r="K989" s="129">
        <f t="shared" si="76"/>
        <v>1264.5</v>
      </c>
      <c r="L989" s="130"/>
      <c r="M989" s="130">
        <f>Table432[[#This Row],[Taxable Amount]]+Table432[[#This Row],[SGST]]+Table432[[#This Row],[CGST]]</f>
        <v>16579</v>
      </c>
      <c r="N989" s="161">
        <f>Table432[[#This Row],[Taxable Amount]]*1%</f>
        <v>140.5</v>
      </c>
      <c r="O989" s="132"/>
      <c r="P989" s="135">
        <v>11700</v>
      </c>
      <c r="Q989" s="135"/>
      <c r="R989" s="132"/>
      <c r="S989" s="313">
        <f>Table432[[#This Row],[Invoice Amount]]-Table432[[#This Row],[TDS]]-Table432[[#This Row],[RECIVED AMOUNT]]</f>
        <v>4738.5</v>
      </c>
      <c r="T989" s="131"/>
      <c r="U989" s="131"/>
      <c r="V989" s="129">
        <f>Table432[[#This Row],[BALANCE]]-Table432[[#This Row],[RECIVED AMOUNT2]]</f>
        <v>4738.5</v>
      </c>
    </row>
    <row r="990" spans="1:22" s="12" customFormat="1" ht="19.2" customHeight="1">
      <c r="A990" s="128">
        <v>46208</v>
      </c>
      <c r="B990" s="165" t="s">
        <v>1344</v>
      </c>
      <c r="C990" s="131" t="s">
        <v>1408</v>
      </c>
      <c r="D990" s="131" t="s">
        <v>675</v>
      </c>
      <c r="E990" s="131" t="s">
        <v>1409</v>
      </c>
      <c r="F990" s="136" t="s">
        <v>26</v>
      </c>
      <c r="G990" s="136">
        <v>3808</v>
      </c>
      <c r="H990" s="23">
        <v>0.18</v>
      </c>
      <c r="I990" s="129">
        <v>8700</v>
      </c>
      <c r="J990" s="129">
        <f t="shared" si="75"/>
        <v>783</v>
      </c>
      <c r="K990" s="129">
        <f t="shared" si="76"/>
        <v>783</v>
      </c>
      <c r="L990" s="130"/>
      <c r="M990" s="130">
        <f>Table432[[#This Row],[Taxable Amount]]+Table432[[#This Row],[SGST]]+Table432[[#This Row],[CGST]]</f>
        <v>10266</v>
      </c>
      <c r="N990" s="161">
        <f>Table432[[#This Row],[Taxable Amount]]*1%</f>
        <v>87</v>
      </c>
      <c r="O990" s="132"/>
      <c r="P990" s="135"/>
      <c r="Q990" s="135"/>
      <c r="R990" s="132"/>
      <c r="S990" s="313">
        <f>Table432[[#This Row],[Invoice Amount]]-Table432[[#This Row],[TDS]]-Table432[[#This Row],[RECIVED AMOUNT]]</f>
        <v>10179</v>
      </c>
      <c r="T990" s="131"/>
      <c r="U990" s="131"/>
      <c r="V990" s="129">
        <f>Table432[[#This Row],[BALANCE]]-Table432[[#This Row],[RECIVED AMOUNT2]]</f>
        <v>10179</v>
      </c>
    </row>
    <row r="991" spans="1:22" s="12" customFormat="1" ht="19.2" customHeight="1">
      <c r="A991" s="128">
        <v>46208</v>
      </c>
      <c r="B991" s="165" t="s">
        <v>1345</v>
      </c>
      <c r="C991" s="131" t="s">
        <v>1410</v>
      </c>
      <c r="D991" s="131" t="s">
        <v>675</v>
      </c>
      <c r="E991" s="131" t="s">
        <v>1411</v>
      </c>
      <c r="F991" s="136" t="s">
        <v>26</v>
      </c>
      <c r="G991" s="136">
        <v>3808</v>
      </c>
      <c r="H991" s="23">
        <v>0.18</v>
      </c>
      <c r="I991" s="129">
        <v>3700</v>
      </c>
      <c r="J991" s="129">
        <f t="shared" si="75"/>
        <v>333</v>
      </c>
      <c r="K991" s="129">
        <f t="shared" si="76"/>
        <v>333</v>
      </c>
      <c r="L991" s="130"/>
      <c r="M991" s="130">
        <f>Table432[[#This Row],[Taxable Amount]]+Table432[[#This Row],[SGST]]+Table432[[#This Row],[CGST]]</f>
        <v>4366</v>
      </c>
      <c r="N991" s="161">
        <f>Table432[[#This Row],[Taxable Amount]]*1%</f>
        <v>37</v>
      </c>
      <c r="O991" s="132"/>
      <c r="P991" s="135"/>
      <c r="Q991" s="135"/>
      <c r="R991" s="132"/>
      <c r="S991" s="313">
        <f>Table432[[#This Row],[Invoice Amount]]-Table432[[#This Row],[TDS]]-Table432[[#This Row],[RECIVED AMOUNT]]</f>
        <v>4329</v>
      </c>
      <c r="T991" s="131"/>
      <c r="U991" s="131"/>
      <c r="V991" s="129">
        <f>Table432[[#This Row],[BALANCE]]-Table432[[#This Row],[RECIVED AMOUNT2]]</f>
        <v>4329</v>
      </c>
    </row>
    <row r="992" spans="1:22" s="12" customFormat="1" ht="19.2" customHeight="1">
      <c r="A992" s="128">
        <v>46208</v>
      </c>
      <c r="B992" s="165" t="s">
        <v>1346</v>
      </c>
      <c r="C992" s="131" t="s">
        <v>1412</v>
      </c>
      <c r="D992" s="131" t="s">
        <v>675</v>
      </c>
      <c r="E992" s="131" t="s">
        <v>1413</v>
      </c>
      <c r="F992" s="136" t="s">
        <v>26</v>
      </c>
      <c r="G992" s="136">
        <v>3808</v>
      </c>
      <c r="H992" s="23">
        <v>0.18</v>
      </c>
      <c r="I992" s="129">
        <v>1750</v>
      </c>
      <c r="J992" s="129">
        <f t="shared" si="75"/>
        <v>157.5</v>
      </c>
      <c r="K992" s="129">
        <f t="shared" si="76"/>
        <v>157.5</v>
      </c>
      <c r="L992" s="130"/>
      <c r="M992" s="130">
        <f>Table432[[#This Row],[Taxable Amount]]+Table432[[#This Row],[SGST]]+Table432[[#This Row],[CGST]]</f>
        <v>2065</v>
      </c>
      <c r="N992" s="161">
        <f>Table432[[#This Row],[Taxable Amount]]*1%</f>
        <v>17.5</v>
      </c>
      <c r="O992" s="132"/>
      <c r="P992" s="135"/>
      <c r="Q992" s="135"/>
      <c r="R992" s="132"/>
      <c r="S992" s="313">
        <f>Table432[[#This Row],[Invoice Amount]]-Table432[[#This Row],[TDS]]-Table432[[#This Row],[RECIVED AMOUNT]]</f>
        <v>2047.5</v>
      </c>
      <c r="T992" s="131"/>
      <c r="U992" s="131"/>
      <c r="V992" s="129">
        <f>Table432[[#This Row],[BALANCE]]-Table432[[#This Row],[RECIVED AMOUNT2]]</f>
        <v>2047.5</v>
      </c>
    </row>
    <row r="993" spans="1:22" s="12" customFormat="1" ht="19.2" customHeight="1">
      <c r="A993" s="128">
        <v>46208</v>
      </c>
      <c r="B993" s="165" t="s">
        <v>1347</v>
      </c>
      <c r="C993" s="131" t="s">
        <v>1414</v>
      </c>
      <c r="D993" s="131" t="s">
        <v>675</v>
      </c>
      <c r="E993" s="131" t="s">
        <v>1411</v>
      </c>
      <c r="F993" s="136" t="s">
        <v>26</v>
      </c>
      <c r="G993" s="136">
        <v>3808</v>
      </c>
      <c r="H993" s="23">
        <v>0.18</v>
      </c>
      <c r="I993" s="129">
        <v>2000</v>
      </c>
      <c r="J993" s="129">
        <f t="shared" si="75"/>
        <v>180</v>
      </c>
      <c r="K993" s="129">
        <f t="shared" si="76"/>
        <v>180</v>
      </c>
      <c r="L993" s="130"/>
      <c r="M993" s="130">
        <f>Table432[[#This Row],[Taxable Amount]]+Table432[[#This Row],[SGST]]+Table432[[#This Row],[CGST]]</f>
        <v>2360</v>
      </c>
      <c r="N993" s="161">
        <f>Table432[[#This Row],[Taxable Amount]]*1%</f>
        <v>20</v>
      </c>
      <c r="O993" s="132"/>
      <c r="P993" s="135"/>
      <c r="Q993" s="135"/>
      <c r="R993" s="132"/>
      <c r="S993" s="313">
        <f>Table432[[#This Row],[Invoice Amount]]-Table432[[#This Row],[TDS]]-Table432[[#This Row],[RECIVED AMOUNT]]</f>
        <v>2340</v>
      </c>
      <c r="T993" s="131"/>
      <c r="U993" s="131"/>
      <c r="V993" s="129">
        <f>Table432[[#This Row],[BALANCE]]-Table432[[#This Row],[RECIVED AMOUNT2]]</f>
        <v>2340</v>
      </c>
    </row>
    <row r="994" spans="1:22" s="12" customFormat="1" ht="19.2" customHeight="1">
      <c r="A994" s="128">
        <v>46208</v>
      </c>
      <c r="B994" s="165" t="s">
        <v>1348</v>
      </c>
      <c r="C994" s="131" t="s">
        <v>1415</v>
      </c>
      <c r="D994" s="131" t="s">
        <v>675</v>
      </c>
      <c r="E994" s="131" t="s">
        <v>59</v>
      </c>
      <c r="F994" s="136" t="s">
        <v>26</v>
      </c>
      <c r="G994" s="136">
        <v>3808</v>
      </c>
      <c r="H994" s="23">
        <v>0.18</v>
      </c>
      <c r="I994" s="129">
        <v>2200</v>
      </c>
      <c r="J994" s="129">
        <f t="shared" si="75"/>
        <v>198</v>
      </c>
      <c r="K994" s="129">
        <f t="shared" si="76"/>
        <v>198</v>
      </c>
      <c r="L994" s="130"/>
      <c r="M994" s="130">
        <f>Table432[[#This Row],[Taxable Amount]]+Table432[[#This Row],[SGST]]+Table432[[#This Row],[CGST]]</f>
        <v>2596</v>
      </c>
      <c r="N994" s="161">
        <f>Table432[[#This Row],[Taxable Amount]]*1%</f>
        <v>22</v>
      </c>
      <c r="O994" s="132"/>
      <c r="P994" s="135"/>
      <c r="Q994" s="135"/>
      <c r="R994" s="132"/>
      <c r="S994" s="313">
        <f>Table432[[#This Row],[Invoice Amount]]-Table432[[#This Row],[TDS]]-Table432[[#This Row],[RECIVED AMOUNT]]</f>
        <v>2574</v>
      </c>
      <c r="T994" s="131"/>
      <c r="U994" s="131"/>
      <c r="V994" s="129">
        <f>Table432[[#This Row],[BALANCE]]-Table432[[#This Row],[RECIVED AMOUNT2]]</f>
        <v>2574</v>
      </c>
    </row>
    <row r="995" spans="1:22" s="12" customFormat="1" ht="19.2" customHeight="1">
      <c r="A995" s="128">
        <v>46208</v>
      </c>
      <c r="B995" s="165" t="s">
        <v>1349</v>
      </c>
      <c r="C995" s="131" t="s">
        <v>1416</v>
      </c>
      <c r="D995" s="131" t="s">
        <v>675</v>
      </c>
      <c r="E995" s="131" t="s">
        <v>1417</v>
      </c>
      <c r="F995" s="136" t="s">
        <v>26</v>
      </c>
      <c r="G995" s="136">
        <v>3808</v>
      </c>
      <c r="H995" s="23">
        <v>0.18</v>
      </c>
      <c r="I995" s="129">
        <v>9800</v>
      </c>
      <c r="J995" s="129">
        <f t="shared" si="75"/>
        <v>882</v>
      </c>
      <c r="K995" s="129">
        <f t="shared" si="76"/>
        <v>882</v>
      </c>
      <c r="L995" s="130"/>
      <c r="M995" s="130">
        <f>Table432[[#This Row],[Taxable Amount]]+Table432[[#This Row],[SGST]]+Table432[[#This Row],[CGST]]</f>
        <v>11564</v>
      </c>
      <c r="N995" s="161">
        <f>Table432[[#This Row],[Taxable Amount]]*1%</f>
        <v>98</v>
      </c>
      <c r="O995" s="132"/>
      <c r="P995" s="135"/>
      <c r="Q995" s="135"/>
      <c r="R995" s="132"/>
      <c r="S995" s="313">
        <f>Table432[[#This Row],[Invoice Amount]]-Table432[[#This Row],[TDS]]-Table432[[#This Row],[RECIVED AMOUNT]]</f>
        <v>11466</v>
      </c>
      <c r="T995" s="131"/>
      <c r="U995" s="131"/>
      <c r="V995" s="129">
        <f>Table432[[#This Row],[BALANCE]]-Table432[[#This Row],[RECIVED AMOUNT2]]</f>
        <v>11466</v>
      </c>
    </row>
    <row r="996" spans="1:22" s="12" customFormat="1" ht="19.2" customHeight="1">
      <c r="A996" s="128">
        <v>46208</v>
      </c>
      <c r="B996" s="165" t="s">
        <v>1350</v>
      </c>
      <c r="C996" s="131" t="s">
        <v>1418</v>
      </c>
      <c r="D996" s="131" t="s">
        <v>675</v>
      </c>
      <c r="E996" s="131" t="s">
        <v>1419</v>
      </c>
      <c r="F996" s="136" t="s">
        <v>26</v>
      </c>
      <c r="G996" s="136">
        <v>3808</v>
      </c>
      <c r="H996" s="23">
        <v>0.18</v>
      </c>
      <c r="I996" s="129">
        <v>18250</v>
      </c>
      <c r="J996" s="129">
        <f t="shared" si="75"/>
        <v>1642.5</v>
      </c>
      <c r="K996" s="129">
        <f t="shared" si="76"/>
        <v>1642.5</v>
      </c>
      <c r="L996" s="130"/>
      <c r="M996" s="130">
        <f>Table432[[#This Row],[Taxable Amount]]+Table432[[#This Row],[SGST]]+Table432[[#This Row],[CGST]]</f>
        <v>21535</v>
      </c>
      <c r="N996" s="161">
        <f>Table432[[#This Row],[Taxable Amount]]*1%</f>
        <v>182.5</v>
      </c>
      <c r="O996" s="132"/>
      <c r="P996" s="135"/>
      <c r="Q996" s="135"/>
      <c r="R996" s="132"/>
      <c r="S996" s="313">
        <f>Table432[[#This Row],[Invoice Amount]]-Table432[[#This Row],[TDS]]-Table432[[#This Row],[RECIVED AMOUNT]]</f>
        <v>21352.5</v>
      </c>
      <c r="T996" s="131"/>
      <c r="U996" s="131"/>
      <c r="V996" s="129">
        <f>Table432[[#This Row],[BALANCE]]-Table432[[#This Row],[RECIVED AMOUNT2]]</f>
        <v>21352.5</v>
      </c>
    </row>
    <row r="997" spans="1:22" s="12" customFormat="1" ht="19.2" customHeight="1">
      <c r="A997" s="128">
        <v>46208</v>
      </c>
      <c r="B997" s="165" t="s">
        <v>1351</v>
      </c>
      <c r="C997" s="131" t="s">
        <v>1420</v>
      </c>
      <c r="D997" s="131" t="s">
        <v>675</v>
      </c>
      <c r="E997" s="131" t="s">
        <v>89</v>
      </c>
      <c r="F997" s="136" t="s">
        <v>26</v>
      </c>
      <c r="G997" s="136">
        <v>3808</v>
      </c>
      <c r="H997" s="23">
        <v>0.18</v>
      </c>
      <c r="I997" s="129">
        <v>300</v>
      </c>
      <c r="J997" s="129">
        <f t="shared" si="75"/>
        <v>27</v>
      </c>
      <c r="K997" s="129">
        <f t="shared" si="76"/>
        <v>27</v>
      </c>
      <c r="L997" s="130"/>
      <c r="M997" s="130">
        <f>Table432[[#This Row],[Taxable Amount]]+Table432[[#This Row],[SGST]]+Table432[[#This Row],[CGST]]</f>
        <v>354</v>
      </c>
      <c r="N997" s="161">
        <f>Table432[[#This Row],[Taxable Amount]]*1%</f>
        <v>3</v>
      </c>
      <c r="O997" s="132"/>
      <c r="P997" s="135"/>
      <c r="Q997" s="135"/>
      <c r="R997" s="132"/>
      <c r="S997" s="313">
        <f>Table432[[#This Row],[Invoice Amount]]-Table432[[#This Row],[TDS]]-Table432[[#This Row],[RECIVED AMOUNT]]</f>
        <v>351</v>
      </c>
      <c r="T997" s="131"/>
      <c r="U997" s="131"/>
      <c r="V997" s="129">
        <f>Table432[[#This Row],[BALANCE]]-Table432[[#This Row],[RECIVED AMOUNT2]]</f>
        <v>351</v>
      </c>
    </row>
    <row r="998" spans="1:22" s="12" customFormat="1" ht="19.2" customHeight="1">
      <c r="A998" s="128">
        <v>46208</v>
      </c>
      <c r="B998" s="165" t="s">
        <v>1352</v>
      </c>
      <c r="C998" s="131" t="s">
        <v>1421</v>
      </c>
      <c r="D998" s="131" t="s">
        <v>675</v>
      </c>
      <c r="E998" s="131" t="s">
        <v>67</v>
      </c>
      <c r="F998" s="136" t="s">
        <v>26</v>
      </c>
      <c r="G998" s="136">
        <v>3808</v>
      </c>
      <c r="H998" s="23">
        <v>0.18</v>
      </c>
      <c r="I998" s="129">
        <v>15500</v>
      </c>
      <c r="J998" s="129">
        <f t="shared" si="75"/>
        <v>1395</v>
      </c>
      <c r="K998" s="129">
        <f t="shared" si="76"/>
        <v>1395</v>
      </c>
      <c r="L998" s="130"/>
      <c r="M998" s="130">
        <f>Table432[[#This Row],[Taxable Amount]]+Table432[[#This Row],[SGST]]+Table432[[#This Row],[CGST]]</f>
        <v>18290</v>
      </c>
      <c r="N998" s="161">
        <f>Table432[[#This Row],[Taxable Amount]]*1%</f>
        <v>155</v>
      </c>
      <c r="O998" s="132"/>
      <c r="P998" s="135"/>
      <c r="Q998" s="135"/>
      <c r="R998" s="132"/>
      <c r="S998" s="313">
        <f>Table432[[#This Row],[Invoice Amount]]-Table432[[#This Row],[TDS]]-Table432[[#This Row],[RECIVED AMOUNT]]</f>
        <v>18135</v>
      </c>
      <c r="T998" s="131"/>
      <c r="U998" s="131"/>
      <c r="V998" s="129">
        <f>Table432[[#This Row],[BALANCE]]-Table432[[#This Row],[RECIVED AMOUNT2]]</f>
        <v>18135</v>
      </c>
    </row>
    <row r="999" spans="1:22" s="12" customFormat="1" ht="19.2" customHeight="1">
      <c r="A999" s="128">
        <v>46208</v>
      </c>
      <c r="B999" s="165" t="s">
        <v>1353</v>
      </c>
      <c r="C999" s="131" t="s">
        <v>1422</v>
      </c>
      <c r="D999" s="131" t="s">
        <v>675</v>
      </c>
      <c r="E999" s="131" t="s">
        <v>62</v>
      </c>
      <c r="F999" s="136" t="s">
        <v>26</v>
      </c>
      <c r="G999" s="136">
        <v>3808</v>
      </c>
      <c r="H999" s="23">
        <v>0.18</v>
      </c>
      <c r="I999" s="129">
        <v>27700</v>
      </c>
      <c r="J999" s="129">
        <f t="shared" si="75"/>
        <v>2493</v>
      </c>
      <c r="K999" s="129">
        <f t="shared" si="76"/>
        <v>2493</v>
      </c>
      <c r="L999" s="130"/>
      <c r="M999" s="130">
        <f>Table432[[#This Row],[Taxable Amount]]+Table432[[#This Row],[SGST]]+Table432[[#This Row],[CGST]]</f>
        <v>32686</v>
      </c>
      <c r="N999" s="161">
        <f>Table432[[#This Row],[Taxable Amount]]*1%</f>
        <v>277</v>
      </c>
      <c r="O999" s="132"/>
      <c r="P999" s="135"/>
      <c r="Q999" s="135"/>
      <c r="R999" s="132"/>
      <c r="S999" s="313">
        <f>Table432[[#This Row],[Invoice Amount]]-Table432[[#This Row],[TDS]]-Table432[[#This Row],[RECIVED AMOUNT]]</f>
        <v>32409</v>
      </c>
      <c r="T999" s="131"/>
      <c r="U999" s="131"/>
      <c r="V999" s="129">
        <f>Table432[[#This Row],[BALANCE]]-Table432[[#This Row],[RECIVED AMOUNT2]]</f>
        <v>32409</v>
      </c>
    </row>
    <row r="1000" spans="1:22" s="12" customFormat="1" ht="19.2" customHeight="1">
      <c r="A1000" s="128">
        <v>46208</v>
      </c>
      <c r="B1000" s="165" t="s">
        <v>1354</v>
      </c>
      <c r="C1000" s="131" t="s">
        <v>396</v>
      </c>
      <c r="D1000" s="131" t="s">
        <v>397</v>
      </c>
      <c r="E1000" s="131" t="s">
        <v>260</v>
      </c>
      <c r="F1000" s="136" t="s">
        <v>26</v>
      </c>
      <c r="G1000" s="136">
        <v>3808</v>
      </c>
      <c r="H1000" s="23">
        <v>0.18</v>
      </c>
      <c r="I1000" s="129">
        <v>3000</v>
      </c>
      <c r="J1000" s="129">
        <f t="shared" si="75"/>
        <v>270</v>
      </c>
      <c r="K1000" s="129">
        <f t="shared" si="76"/>
        <v>270</v>
      </c>
      <c r="L1000" s="130"/>
      <c r="M1000" s="130">
        <f>Table432[[#This Row],[Taxable Amount]]+Table432[[#This Row],[SGST]]+Table432[[#This Row],[CGST]]</f>
        <v>3540</v>
      </c>
      <c r="N1000" s="161">
        <f>Table432[[#This Row],[Taxable Amount]]*1%</f>
        <v>30</v>
      </c>
      <c r="O1000" s="132"/>
      <c r="P1000" s="135"/>
      <c r="Q1000" s="135"/>
      <c r="R1000" s="132"/>
      <c r="S1000" s="313">
        <f>Table432[[#This Row],[Invoice Amount]]-Table432[[#This Row],[TDS]]-Table432[[#This Row],[RECIVED AMOUNT]]</f>
        <v>3510</v>
      </c>
      <c r="T1000" s="131"/>
      <c r="U1000" s="131"/>
      <c r="V1000" s="129">
        <f>Table432[[#This Row],[BALANCE]]-Table432[[#This Row],[RECIVED AMOUNT2]]</f>
        <v>3510</v>
      </c>
    </row>
    <row r="1001" spans="1:22" s="12" customFormat="1" ht="19.2" customHeight="1">
      <c r="A1001" s="128">
        <v>46208</v>
      </c>
      <c r="B1001" s="165" t="s">
        <v>1355</v>
      </c>
      <c r="C1001" s="131" t="s">
        <v>319</v>
      </c>
      <c r="D1001" s="131" t="s">
        <v>320</v>
      </c>
      <c r="E1001" s="131" t="s">
        <v>85</v>
      </c>
      <c r="F1001" s="136" t="s">
        <v>26</v>
      </c>
      <c r="G1001" s="136">
        <v>3808</v>
      </c>
      <c r="H1001" s="23">
        <v>0.18</v>
      </c>
      <c r="I1001" s="129">
        <v>8400</v>
      </c>
      <c r="J1001" s="129">
        <f t="shared" si="75"/>
        <v>756</v>
      </c>
      <c r="K1001" s="129">
        <f t="shared" si="76"/>
        <v>756</v>
      </c>
      <c r="L1001" s="130"/>
      <c r="M1001" s="130">
        <f>Table432[[#This Row],[Taxable Amount]]+Table432[[#This Row],[SGST]]+Table432[[#This Row],[CGST]]</f>
        <v>9912</v>
      </c>
      <c r="N1001" s="161">
        <f>Table432[[#This Row],[Taxable Amount]]*1%</f>
        <v>84</v>
      </c>
      <c r="O1001" s="132"/>
      <c r="P1001" s="135"/>
      <c r="Q1001" s="135"/>
      <c r="R1001" s="132"/>
      <c r="S1001" s="313">
        <f>Table432[[#This Row],[Invoice Amount]]-Table432[[#This Row],[TDS]]-Table432[[#This Row],[RECIVED AMOUNT]]</f>
        <v>9828</v>
      </c>
      <c r="T1001" s="131"/>
      <c r="U1001" s="131"/>
      <c r="V1001" s="129">
        <f>Table432[[#This Row],[BALANCE]]-Table432[[#This Row],[RECIVED AMOUNT2]]</f>
        <v>9828</v>
      </c>
    </row>
    <row r="1002" spans="1:22" s="12" customFormat="1" ht="19.2" customHeight="1">
      <c r="A1002" s="128">
        <v>46208</v>
      </c>
      <c r="B1002" s="165" t="s">
        <v>1356</v>
      </c>
      <c r="C1002" s="131" t="s">
        <v>567</v>
      </c>
      <c r="D1002" s="131" t="s">
        <v>568</v>
      </c>
      <c r="E1002" s="131" t="s">
        <v>232</v>
      </c>
      <c r="F1002" s="136" t="s">
        <v>26</v>
      </c>
      <c r="G1002" s="136">
        <v>3808</v>
      </c>
      <c r="H1002" s="23">
        <v>0.18</v>
      </c>
      <c r="I1002" s="129">
        <v>3540</v>
      </c>
      <c r="J1002" s="129">
        <f t="shared" si="75"/>
        <v>318.60000000000002</v>
      </c>
      <c r="K1002" s="129">
        <f t="shared" si="76"/>
        <v>318.60000000000002</v>
      </c>
      <c r="L1002" s="130"/>
      <c r="M1002" s="130">
        <f>Table432[[#This Row],[Taxable Amount]]+Table432[[#This Row],[SGST]]+Table432[[#This Row],[CGST]]</f>
        <v>4177.2</v>
      </c>
      <c r="N1002" s="161">
        <f>Table432[[#This Row],[Taxable Amount]]*1%</f>
        <v>35.4</v>
      </c>
      <c r="O1002" s="132"/>
      <c r="P1002" s="135"/>
      <c r="Q1002" s="135"/>
      <c r="R1002" s="132"/>
      <c r="S1002" s="313">
        <f>Table432[[#This Row],[Invoice Amount]]-Table432[[#This Row],[TDS]]-Table432[[#This Row],[RECIVED AMOUNT]]</f>
        <v>4141.8</v>
      </c>
      <c r="T1002" s="131"/>
      <c r="U1002" s="131"/>
      <c r="V1002" s="129">
        <f>Table432[[#This Row],[BALANCE]]-Table432[[#This Row],[RECIVED AMOUNT2]]</f>
        <v>4141.8</v>
      </c>
    </row>
    <row r="1003" spans="1:22" s="12" customFormat="1" ht="19.2" customHeight="1">
      <c r="A1003" s="128">
        <v>46208</v>
      </c>
      <c r="B1003" s="165" t="s">
        <v>1357</v>
      </c>
      <c r="C1003" s="131" t="s">
        <v>87</v>
      </c>
      <c r="D1003" s="131" t="s">
        <v>88</v>
      </c>
      <c r="E1003" s="131" t="s">
        <v>89</v>
      </c>
      <c r="F1003" s="136" t="s">
        <v>26</v>
      </c>
      <c r="G1003" s="136">
        <v>3808</v>
      </c>
      <c r="H1003" s="23">
        <v>0.18</v>
      </c>
      <c r="I1003" s="129">
        <v>2500</v>
      </c>
      <c r="J1003" s="129">
        <f t="shared" si="75"/>
        <v>225</v>
      </c>
      <c r="K1003" s="129">
        <f t="shared" si="76"/>
        <v>225</v>
      </c>
      <c r="L1003" s="130"/>
      <c r="M1003" s="130">
        <f>Table432[[#This Row],[Taxable Amount]]+Table432[[#This Row],[SGST]]+Table432[[#This Row],[CGST]]</f>
        <v>2950</v>
      </c>
      <c r="N1003" s="161">
        <f>Table432[[#This Row],[Taxable Amount]]*1%</f>
        <v>25</v>
      </c>
      <c r="O1003" s="132"/>
      <c r="P1003" s="135"/>
      <c r="Q1003" s="135"/>
      <c r="R1003" s="132"/>
      <c r="S1003" s="313">
        <f>Table432[[#This Row],[Invoice Amount]]-Table432[[#This Row],[TDS]]-Table432[[#This Row],[RECIVED AMOUNT]]</f>
        <v>2925</v>
      </c>
      <c r="T1003" s="131"/>
      <c r="U1003" s="131"/>
      <c r="V1003" s="129">
        <f>Table432[[#This Row],[BALANCE]]-Table432[[#This Row],[RECIVED AMOUNT2]]</f>
        <v>2925</v>
      </c>
    </row>
    <row r="1004" spans="1:22" s="12" customFormat="1" ht="19.2" customHeight="1">
      <c r="A1004" s="132"/>
      <c r="B1004" s="165" t="s">
        <v>1358</v>
      </c>
      <c r="C1004" s="131"/>
      <c r="D1004" s="131"/>
      <c r="E1004" s="131"/>
      <c r="F1004" s="136"/>
      <c r="G1004" s="136">
        <v>3808</v>
      </c>
      <c r="H1004" s="23">
        <v>0.18</v>
      </c>
      <c r="I1004" s="129"/>
      <c r="J1004" s="129">
        <f t="shared" si="75"/>
        <v>0</v>
      </c>
      <c r="K1004" s="129">
        <f t="shared" si="76"/>
        <v>0</v>
      </c>
      <c r="L1004" s="130"/>
      <c r="M1004" s="130">
        <f>Table432[[#This Row],[Taxable Amount]]+Table432[[#This Row],[SGST]]+Table432[[#This Row],[CGST]]</f>
        <v>0</v>
      </c>
      <c r="N1004" s="161">
        <f>Table432[[#This Row],[Taxable Amount]]*1%</f>
        <v>0</v>
      </c>
      <c r="O1004" s="132"/>
      <c r="P1004" s="135"/>
      <c r="Q1004" s="135"/>
      <c r="R1004" s="132"/>
      <c r="S1004" s="313">
        <f>Table432[[#This Row],[Invoice Amount]]-Table432[[#This Row],[TDS]]-Table432[[#This Row],[RECIVED AMOUNT]]</f>
        <v>0</v>
      </c>
      <c r="T1004" s="131"/>
      <c r="U1004" s="131"/>
      <c r="V1004" s="129">
        <f>Table432[[#This Row],[BALANCE]]-Table432[[#This Row],[RECIVED AMOUNT2]]</f>
        <v>0</v>
      </c>
    </row>
    <row r="1005" spans="1:22" s="12" customFormat="1" ht="19.2" customHeight="1">
      <c r="A1005" s="128">
        <v>46209</v>
      </c>
      <c r="B1005" s="165" t="s">
        <v>1359</v>
      </c>
      <c r="C1005" s="131" t="s">
        <v>1102</v>
      </c>
      <c r="D1005" s="131" t="s">
        <v>1103</v>
      </c>
      <c r="E1005" s="131" t="s">
        <v>1331</v>
      </c>
      <c r="F1005" s="136" t="s">
        <v>37</v>
      </c>
      <c r="G1005" s="136">
        <v>3808</v>
      </c>
      <c r="H1005" s="23">
        <v>0.18</v>
      </c>
      <c r="I1005" s="129">
        <v>39453</v>
      </c>
      <c r="J1005" s="129">
        <f t="shared" si="75"/>
        <v>3550.77</v>
      </c>
      <c r="K1005" s="129">
        <f t="shared" si="76"/>
        <v>3550.77</v>
      </c>
      <c r="L1005" s="130"/>
      <c r="M1005" s="130">
        <f>Table432[[#This Row],[Taxable Amount]]+Table432[[#This Row],[SGST]]+Table432[[#This Row],[CGST]]</f>
        <v>46554.539999999994</v>
      </c>
      <c r="N1005" s="161">
        <f>Table432[[#This Row],[Taxable Amount]]*1%</f>
        <v>394.53000000000003</v>
      </c>
      <c r="O1005" s="132"/>
      <c r="P1005" s="206">
        <v>45764</v>
      </c>
      <c r="Q1005" s="205">
        <v>46247</v>
      </c>
      <c r="R1005" s="132"/>
      <c r="S1005" s="313">
        <f>Table432[[#This Row],[Invoice Amount]]-Table432[[#This Row],[TDS]]-Table432[[#This Row],[RECIVED AMOUNT]]</f>
        <v>396.00999999999476</v>
      </c>
      <c r="T1005" s="131"/>
      <c r="U1005" s="131"/>
      <c r="V1005" s="129">
        <f>Table432[[#This Row],[BALANCE]]-Table432[[#This Row],[RECIVED AMOUNT2]]</f>
        <v>396.00999999999476</v>
      </c>
    </row>
    <row r="1006" spans="1:22" s="12" customFormat="1" ht="19.2" customHeight="1">
      <c r="A1006" s="128">
        <v>46228</v>
      </c>
      <c r="B1006" s="165" t="s">
        <v>1360</v>
      </c>
      <c r="C1006" s="131" t="s">
        <v>637</v>
      </c>
      <c r="D1006" s="131" t="s">
        <v>638</v>
      </c>
      <c r="E1006" s="131" t="s">
        <v>629</v>
      </c>
      <c r="F1006" s="136" t="s">
        <v>26</v>
      </c>
      <c r="G1006" s="136">
        <v>3808</v>
      </c>
      <c r="H1006" s="23">
        <v>0.18</v>
      </c>
      <c r="I1006" s="129">
        <v>12400</v>
      </c>
      <c r="J1006" s="129">
        <f t="shared" si="75"/>
        <v>1116</v>
      </c>
      <c r="K1006" s="129">
        <f t="shared" si="76"/>
        <v>1116</v>
      </c>
      <c r="L1006" s="130"/>
      <c r="M1006" s="130">
        <f>Table432[[#This Row],[Taxable Amount]]+Table432[[#This Row],[SGST]]+Table432[[#This Row],[CGST]]</f>
        <v>14632</v>
      </c>
      <c r="N1006" s="161">
        <f>Table432[[#This Row],[Taxable Amount]]*1%</f>
        <v>124</v>
      </c>
      <c r="O1006" s="132"/>
      <c r="P1006" s="135">
        <v>11966</v>
      </c>
      <c r="Q1006" s="205">
        <v>46234</v>
      </c>
      <c r="R1006" s="132"/>
      <c r="S1006" s="313">
        <f>Table432[[#This Row],[Invoice Amount]]-Table432[[#This Row],[TDS]]-Table432[[#This Row],[RECIVED AMOUNT]]</f>
        <v>2542</v>
      </c>
      <c r="T1006" s="131"/>
      <c r="U1006" s="131"/>
      <c r="V1006" s="129">
        <f>Table432[[#This Row],[BALANCE]]-Table432[[#This Row],[RECIVED AMOUNT2]]</f>
        <v>2542</v>
      </c>
    </row>
    <row r="1007" spans="1:22" s="12" customFormat="1" ht="19.2" customHeight="1">
      <c r="A1007" s="128">
        <v>46228</v>
      </c>
      <c r="B1007" s="165" t="s">
        <v>1361</v>
      </c>
      <c r="C1007" s="131" t="s">
        <v>42</v>
      </c>
      <c r="D1007" s="131" t="s">
        <v>730</v>
      </c>
      <c r="E1007" s="131" t="s">
        <v>953</v>
      </c>
      <c r="F1007" s="136" t="s">
        <v>26</v>
      </c>
      <c r="G1007" s="136">
        <v>3808</v>
      </c>
      <c r="H1007" s="23">
        <v>0.18</v>
      </c>
      <c r="I1007" s="129">
        <v>12371</v>
      </c>
      <c r="J1007" s="129">
        <f t="shared" si="75"/>
        <v>1113.3900000000001</v>
      </c>
      <c r="K1007" s="129">
        <f t="shared" si="76"/>
        <v>1113.3900000000001</v>
      </c>
      <c r="L1007" s="130"/>
      <c r="M1007" s="130">
        <f>Table432[[#This Row],[Taxable Amount]]+Table432[[#This Row],[SGST]]+Table432[[#This Row],[CGST]]</f>
        <v>14597.779999999999</v>
      </c>
      <c r="N1007" s="161">
        <f>Table432[[#This Row],[Taxable Amount]]*1%</f>
        <v>123.71000000000001</v>
      </c>
      <c r="O1007" s="132"/>
      <c r="P1007" s="135"/>
      <c r="Q1007" s="135"/>
      <c r="R1007" s="132"/>
      <c r="S1007" s="313">
        <f>Table432[[#This Row],[Invoice Amount]]-Table432[[#This Row],[TDS]]-Table432[[#This Row],[RECIVED AMOUNT]]</f>
        <v>14474.07</v>
      </c>
      <c r="T1007" s="131"/>
      <c r="U1007" s="131"/>
      <c r="V1007" s="129">
        <f>Table432[[#This Row],[BALANCE]]-Table432[[#This Row],[RECIVED AMOUNT2]]</f>
        <v>14474.07</v>
      </c>
    </row>
    <row r="1008" spans="1:22" s="12" customFormat="1" ht="19.2" customHeight="1">
      <c r="A1008" s="128">
        <v>46228</v>
      </c>
      <c r="B1008" s="165" t="s">
        <v>1362</v>
      </c>
      <c r="C1008" s="131" t="s">
        <v>42</v>
      </c>
      <c r="D1008" s="131" t="s">
        <v>730</v>
      </c>
      <c r="E1008" s="131" t="s">
        <v>101</v>
      </c>
      <c r="F1008" s="136" t="s">
        <v>26</v>
      </c>
      <c r="G1008" s="136">
        <v>3808</v>
      </c>
      <c r="H1008" s="23">
        <v>0.18</v>
      </c>
      <c r="I1008" s="129">
        <v>6537</v>
      </c>
      <c r="J1008" s="129">
        <f t="shared" si="75"/>
        <v>588.33000000000004</v>
      </c>
      <c r="K1008" s="129">
        <f t="shared" si="76"/>
        <v>588.33000000000004</v>
      </c>
      <c r="L1008" s="130"/>
      <c r="M1008" s="130">
        <f>Table432[[#This Row],[Taxable Amount]]+Table432[[#This Row],[SGST]]+Table432[[#This Row],[CGST]]</f>
        <v>7713.66</v>
      </c>
      <c r="N1008" s="161">
        <f>Table432[[#This Row],[Taxable Amount]]*1%</f>
        <v>65.37</v>
      </c>
      <c r="O1008" s="132"/>
      <c r="P1008" s="135"/>
      <c r="Q1008" s="135"/>
      <c r="R1008" s="132"/>
      <c r="S1008" s="313">
        <f>Table432[[#This Row],[Invoice Amount]]-Table432[[#This Row],[TDS]]-Table432[[#This Row],[RECIVED AMOUNT]]</f>
        <v>7648.29</v>
      </c>
      <c r="T1008" s="131"/>
      <c r="U1008" s="131"/>
      <c r="V1008" s="129">
        <f>Table432[[#This Row],[BALANCE]]-Table432[[#This Row],[RECIVED AMOUNT2]]</f>
        <v>7648.29</v>
      </c>
    </row>
    <row r="1009" spans="1:22" s="12" customFormat="1" ht="19.2" customHeight="1">
      <c r="A1009" s="128">
        <v>46228</v>
      </c>
      <c r="B1009" s="165" t="s">
        <v>1363</v>
      </c>
      <c r="C1009" s="131" t="s">
        <v>42</v>
      </c>
      <c r="D1009" s="131" t="s">
        <v>730</v>
      </c>
      <c r="E1009" s="131" t="s">
        <v>163</v>
      </c>
      <c r="F1009" s="136" t="s">
        <v>37</v>
      </c>
      <c r="G1009" s="136">
        <v>3808</v>
      </c>
      <c r="H1009" s="23">
        <v>0.18</v>
      </c>
      <c r="I1009" s="129">
        <v>34300</v>
      </c>
      <c r="J1009" s="129">
        <f t="shared" si="75"/>
        <v>3087</v>
      </c>
      <c r="K1009" s="129">
        <f t="shared" si="76"/>
        <v>3087</v>
      </c>
      <c r="L1009" s="130"/>
      <c r="M1009" s="130">
        <f>Table432[[#This Row],[Taxable Amount]]+Table432[[#This Row],[SGST]]+Table432[[#This Row],[CGST]]</f>
        <v>40474</v>
      </c>
      <c r="N1009" s="161">
        <f>Table432[[#This Row],[Taxable Amount]]*1%</f>
        <v>343</v>
      </c>
      <c r="O1009" s="132"/>
      <c r="P1009" s="135"/>
      <c r="Q1009" s="135"/>
      <c r="R1009" s="132"/>
      <c r="S1009" s="313">
        <f>Table432[[#This Row],[Invoice Amount]]-Table432[[#This Row],[TDS]]-Table432[[#This Row],[RECIVED AMOUNT]]</f>
        <v>40131</v>
      </c>
      <c r="T1009" s="131"/>
      <c r="U1009" s="131"/>
      <c r="V1009" s="129">
        <f>Table432[[#This Row],[BALANCE]]-Table432[[#This Row],[RECIVED AMOUNT2]]</f>
        <v>40131</v>
      </c>
    </row>
    <row r="1010" spans="1:22" s="12" customFormat="1" ht="19.2" customHeight="1">
      <c r="A1010" s="128">
        <v>46234</v>
      </c>
      <c r="B1010" s="165" t="s">
        <v>1364</v>
      </c>
      <c r="C1010" s="131" t="s">
        <v>116</v>
      </c>
      <c r="D1010" s="131" t="s">
        <v>117</v>
      </c>
      <c r="E1010" s="131" t="s">
        <v>59</v>
      </c>
      <c r="F1010" s="136" t="s">
        <v>26</v>
      </c>
      <c r="G1010" s="136">
        <v>3808</v>
      </c>
      <c r="H1010" s="23">
        <v>0.18</v>
      </c>
      <c r="I1010" s="129">
        <v>17300</v>
      </c>
      <c r="J1010" s="129">
        <f t="shared" si="75"/>
        <v>1557</v>
      </c>
      <c r="K1010" s="129">
        <f t="shared" si="76"/>
        <v>1557</v>
      </c>
      <c r="L1010" s="130"/>
      <c r="M1010" s="130">
        <f>Table432[[#This Row],[Taxable Amount]]+Table432[[#This Row],[SGST]]+Table432[[#This Row],[CGST]]</f>
        <v>20414</v>
      </c>
      <c r="N1010" s="161">
        <f>Table432[[#This Row],[Taxable Amount]]*1%</f>
        <v>173</v>
      </c>
      <c r="O1010" s="132"/>
      <c r="P1010" s="135"/>
      <c r="Q1010" s="135"/>
      <c r="R1010" s="132"/>
      <c r="S1010" s="313">
        <f>Table432[[#This Row],[Invoice Amount]]-Table432[[#This Row],[TDS]]-Table432[[#This Row],[RECIVED AMOUNT]]</f>
        <v>20241</v>
      </c>
      <c r="T1010" s="131"/>
      <c r="U1010" s="131"/>
      <c r="V1010" s="129">
        <f>Table432[[#This Row],[BALANCE]]-Table432[[#This Row],[RECIVED AMOUNT2]]</f>
        <v>20241</v>
      </c>
    </row>
    <row r="1011" spans="1:22" s="12" customFormat="1" ht="19.2" customHeight="1">
      <c r="A1011" s="128">
        <v>46234</v>
      </c>
      <c r="B1011" s="165" t="s">
        <v>1365</v>
      </c>
      <c r="C1011" s="131" t="s">
        <v>390</v>
      </c>
      <c r="D1011" s="131" t="s">
        <v>391</v>
      </c>
      <c r="E1011" s="131" t="s">
        <v>260</v>
      </c>
      <c r="F1011" s="136" t="s">
        <v>26</v>
      </c>
      <c r="G1011" s="136">
        <v>3808</v>
      </c>
      <c r="H1011" s="23">
        <v>0.18</v>
      </c>
      <c r="I1011" s="129">
        <v>1205.1600000000001</v>
      </c>
      <c r="J1011" s="129">
        <f t="shared" si="75"/>
        <v>108.46440000000001</v>
      </c>
      <c r="K1011" s="129">
        <f t="shared" si="76"/>
        <v>108.46440000000001</v>
      </c>
      <c r="L1011" s="130"/>
      <c r="M1011" s="130">
        <f>Table432[[#This Row],[Taxable Amount]]+Table432[[#This Row],[SGST]]+Table432[[#This Row],[CGST]]</f>
        <v>1422.0888000000002</v>
      </c>
      <c r="N1011" s="161">
        <f>Table432[[#This Row],[Taxable Amount]]*1%</f>
        <v>12.051600000000001</v>
      </c>
      <c r="O1011" s="132"/>
      <c r="P1011" s="135"/>
      <c r="Q1011" s="135"/>
      <c r="R1011" s="132"/>
      <c r="S1011" s="313">
        <f>Table432[[#This Row],[Invoice Amount]]-Table432[[#This Row],[TDS]]-Table432[[#This Row],[RECIVED AMOUNT]]</f>
        <v>1410.0372000000002</v>
      </c>
      <c r="T1011" s="131"/>
      <c r="U1011" s="131"/>
      <c r="V1011" s="129">
        <f>Table432[[#This Row],[BALANCE]]-Table432[[#This Row],[RECIVED AMOUNT2]]</f>
        <v>1410.0372000000002</v>
      </c>
    </row>
    <row r="1012" spans="1:22" s="12" customFormat="1" ht="19.2" customHeight="1">
      <c r="A1012" s="128">
        <v>46234</v>
      </c>
      <c r="B1012" s="165" t="s">
        <v>1366</v>
      </c>
      <c r="C1012" s="131" t="s">
        <v>390</v>
      </c>
      <c r="D1012" s="131" t="s">
        <v>391</v>
      </c>
      <c r="E1012" s="131" t="s">
        <v>260</v>
      </c>
      <c r="F1012" s="136" t="s">
        <v>26</v>
      </c>
      <c r="G1012" s="136">
        <v>3808</v>
      </c>
      <c r="H1012" s="23">
        <v>0.18</v>
      </c>
      <c r="I1012" s="129">
        <v>1448.35</v>
      </c>
      <c r="J1012" s="129">
        <f t="shared" si="75"/>
        <v>130.35149999999999</v>
      </c>
      <c r="K1012" s="129">
        <f t="shared" si="76"/>
        <v>130.35149999999999</v>
      </c>
      <c r="L1012" s="130"/>
      <c r="M1012" s="130">
        <f>Table432[[#This Row],[Taxable Amount]]+Table432[[#This Row],[SGST]]+Table432[[#This Row],[CGST]]</f>
        <v>1709.0529999999999</v>
      </c>
      <c r="N1012" s="161">
        <f>Table432[[#This Row],[Taxable Amount]]*1%</f>
        <v>14.483499999999999</v>
      </c>
      <c r="O1012" s="132"/>
      <c r="P1012" s="135"/>
      <c r="Q1012" s="135"/>
      <c r="R1012" s="132"/>
      <c r="S1012" s="313">
        <f>Table432[[#This Row],[Invoice Amount]]-Table432[[#This Row],[TDS]]-Table432[[#This Row],[RECIVED AMOUNT]]</f>
        <v>1694.5694999999998</v>
      </c>
      <c r="T1012" s="131"/>
      <c r="U1012" s="131"/>
      <c r="V1012" s="129">
        <f>Table432[[#This Row],[BALANCE]]-Table432[[#This Row],[RECIVED AMOUNT2]]</f>
        <v>1694.5694999999998</v>
      </c>
    </row>
    <row r="1013" spans="1:22" s="12" customFormat="1" ht="19.2" customHeight="1">
      <c r="A1013" s="128">
        <v>46234</v>
      </c>
      <c r="B1013" s="165" t="s">
        <v>1367</v>
      </c>
      <c r="C1013" s="131" t="s">
        <v>390</v>
      </c>
      <c r="D1013" s="131" t="s">
        <v>391</v>
      </c>
      <c r="E1013" s="131" t="s">
        <v>260</v>
      </c>
      <c r="F1013" s="136" t="s">
        <v>26</v>
      </c>
      <c r="G1013" s="136">
        <v>3808</v>
      </c>
      <c r="H1013" s="23">
        <v>0.18</v>
      </c>
      <c r="I1013" s="129">
        <v>2008</v>
      </c>
      <c r="J1013" s="129">
        <f t="shared" si="75"/>
        <v>180.72</v>
      </c>
      <c r="K1013" s="129">
        <f t="shared" si="76"/>
        <v>180.72</v>
      </c>
      <c r="L1013" s="130"/>
      <c r="M1013" s="130">
        <f>Table432[[#This Row],[Taxable Amount]]+Table432[[#This Row],[SGST]]+Table432[[#This Row],[CGST]]</f>
        <v>2369.4399999999996</v>
      </c>
      <c r="N1013" s="161">
        <f>Table432[[#This Row],[Taxable Amount]]*1%</f>
        <v>20.080000000000002</v>
      </c>
      <c r="O1013" s="132"/>
      <c r="P1013" s="135"/>
      <c r="Q1013" s="135"/>
      <c r="R1013" s="132"/>
      <c r="S1013" s="313">
        <f>Table432[[#This Row],[Invoice Amount]]-Table432[[#This Row],[TDS]]-Table432[[#This Row],[RECIVED AMOUNT]]</f>
        <v>2349.3599999999997</v>
      </c>
      <c r="T1013" s="131"/>
      <c r="U1013" s="131"/>
      <c r="V1013" s="129">
        <f>Table432[[#This Row],[BALANCE]]-Table432[[#This Row],[RECIVED AMOUNT2]]</f>
        <v>2349.3599999999997</v>
      </c>
    </row>
    <row r="1014" spans="1:22" s="12" customFormat="1" ht="19.2" customHeight="1">
      <c r="A1014" s="128">
        <v>46234</v>
      </c>
      <c r="B1014" s="165" t="s">
        <v>1368</v>
      </c>
      <c r="C1014" s="131" t="s">
        <v>390</v>
      </c>
      <c r="D1014" s="131" t="s">
        <v>391</v>
      </c>
      <c r="E1014" s="131" t="s">
        <v>260</v>
      </c>
      <c r="F1014" s="136" t="s">
        <v>26</v>
      </c>
      <c r="G1014" s="136">
        <v>3808</v>
      </c>
      <c r="H1014" s="23">
        <v>0.18</v>
      </c>
      <c r="I1014" s="129">
        <v>1035.8399999999999</v>
      </c>
      <c r="J1014" s="129">
        <f t="shared" si="75"/>
        <v>93.2256</v>
      </c>
      <c r="K1014" s="129">
        <f t="shared" si="76"/>
        <v>93.2256</v>
      </c>
      <c r="L1014" s="130"/>
      <c r="M1014" s="130">
        <f>Table432[[#This Row],[Taxable Amount]]+Table432[[#This Row],[SGST]]+Table432[[#This Row],[CGST]]</f>
        <v>1222.2911999999999</v>
      </c>
      <c r="N1014" s="161">
        <f>Table432[[#This Row],[Taxable Amount]]*1%</f>
        <v>10.3584</v>
      </c>
      <c r="O1014" s="132"/>
      <c r="P1014" s="135"/>
      <c r="Q1014" s="135"/>
      <c r="R1014" s="132"/>
      <c r="S1014" s="313">
        <f>Table432[[#This Row],[Invoice Amount]]-Table432[[#This Row],[TDS]]-Table432[[#This Row],[RECIVED AMOUNT]]</f>
        <v>1211.9327999999998</v>
      </c>
      <c r="T1014" s="131"/>
      <c r="U1014" s="131"/>
      <c r="V1014" s="129">
        <f>Table432[[#This Row],[BALANCE]]-Table432[[#This Row],[RECIVED AMOUNT2]]</f>
        <v>1211.9327999999998</v>
      </c>
    </row>
    <row r="1015" spans="1:22" s="12" customFormat="1" ht="19.2" customHeight="1">
      <c r="A1015" s="128">
        <v>46234</v>
      </c>
      <c r="B1015" s="165" t="s">
        <v>1369</v>
      </c>
      <c r="C1015" s="131" t="s">
        <v>390</v>
      </c>
      <c r="D1015" s="131" t="s">
        <v>391</v>
      </c>
      <c r="E1015" s="131" t="s">
        <v>260</v>
      </c>
      <c r="F1015" s="136" t="s">
        <v>26</v>
      </c>
      <c r="G1015" s="136">
        <v>3808</v>
      </c>
      <c r="H1015" s="23">
        <v>0.18</v>
      </c>
      <c r="I1015" s="129">
        <v>972.76</v>
      </c>
      <c r="J1015" s="129">
        <f t="shared" si="75"/>
        <v>87.548400000000001</v>
      </c>
      <c r="K1015" s="129">
        <f t="shared" si="76"/>
        <v>87.548400000000001</v>
      </c>
      <c r="L1015" s="130"/>
      <c r="M1015" s="130">
        <f>Table432[[#This Row],[Taxable Amount]]+Table432[[#This Row],[SGST]]+Table432[[#This Row],[CGST]]</f>
        <v>1147.8567999999998</v>
      </c>
      <c r="N1015" s="161">
        <f>Table432[[#This Row],[Taxable Amount]]*1%</f>
        <v>9.7276000000000007</v>
      </c>
      <c r="O1015" s="132"/>
      <c r="P1015" s="135"/>
      <c r="Q1015" s="135"/>
      <c r="R1015" s="132"/>
      <c r="S1015" s="313">
        <f>Table432[[#This Row],[Invoice Amount]]-Table432[[#This Row],[TDS]]-Table432[[#This Row],[RECIVED AMOUNT]]</f>
        <v>1138.1291999999999</v>
      </c>
      <c r="T1015" s="131"/>
      <c r="U1015" s="131"/>
      <c r="V1015" s="129">
        <f>Table432[[#This Row],[BALANCE]]-Table432[[#This Row],[RECIVED AMOUNT2]]</f>
        <v>1138.1291999999999</v>
      </c>
    </row>
    <row r="1016" spans="1:22" s="12" customFormat="1" ht="19.2" customHeight="1">
      <c r="A1016" s="128">
        <v>46234</v>
      </c>
      <c r="B1016" s="165" t="s">
        <v>1370</v>
      </c>
      <c r="C1016" s="131" t="s">
        <v>390</v>
      </c>
      <c r="D1016" s="131" t="s">
        <v>391</v>
      </c>
      <c r="E1016" s="131" t="s">
        <v>260</v>
      </c>
      <c r="F1016" s="136" t="s">
        <v>26</v>
      </c>
      <c r="G1016" s="136">
        <v>3808</v>
      </c>
      <c r="H1016" s="23">
        <v>0.18</v>
      </c>
      <c r="I1016" s="129">
        <v>930.43</v>
      </c>
      <c r="J1016" s="129">
        <f t="shared" si="75"/>
        <v>83.738699999999994</v>
      </c>
      <c r="K1016" s="129">
        <f t="shared" si="76"/>
        <v>83.738699999999994</v>
      </c>
      <c r="L1016" s="130"/>
      <c r="M1016" s="130">
        <f>Table432[[#This Row],[Taxable Amount]]+Table432[[#This Row],[SGST]]+Table432[[#This Row],[CGST]]</f>
        <v>1097.9074000000001</v>
      </c>
      <c r="N1016" s="161">
        <f>Table432[[#This Row],[Taxable Amount]]*1%</f>
        <v>9.3042999999999996</v>
      </c>
      <c r="O1016" s="132"/>
      <c r="P1016" s="135"/>
      <c r="Q1016" s="135"/>
      <c r="R1016" s="132"/>
      <c r="S1016" s="313">
        <f>Table432[[#This Row],[Invoice Amount]]-Table432[[#This Row],[TDS]]-Table432[[#This Row],[RECIVED AMOUNT]]</f>
        <v>1088.6031</v>
      </c>
      <c r="T1016" s="131"/>
      <c r="U1016" s="131"/>
      <c r="V1016" s="129">
        <f>Table432[[#This Row],[BALANCE]]-Table432[[#This Row],[RECIVED AMOUNT2]]</f>
        <v>1088.6031</v>
      </c>
    </row>
    <row r="1017" spans="1:22" s="12" customFormat="1" ht="19.2" customHeight="1">
      <c r="A1017" s="128">
        <v>46234</v>
      </c>
      <c r="B1017" s="165" t="s">
        <v>1371</v>
      </c>
      <c r="C1017" s="131" t="s">
        <v>390</v>
      </c>
      <c r="D1017" s="131" t="s">
        <v>391</v>
      </c>
      <c r="E1017" s="131" t="s">
        <v>260</v>
      </c>
      <c r="F1017" s="136" t="s">
        <v>26</v>
      </c>
      <c r="G1017" s="136">
        <v>3808</v>
      </c>
      <c r="H1017" s="23">
        <v>0.18</v>
      </c>
      <c r="I1017" s="129">
        <v>698.86</v>
      </c>
      <c r="J1017" s="129">
        <f t="shared" si="75"/>
        <v>62.897399999999998</v>
      </c>
      <c r="K1017" s="129">
        <f t="shared" si="76"/>
        <v>62.897399999999998</v>
      </c>
      <c r="L1017" s="130"/>
      <c r="M1017" s="130">
        <f>Table432[[#This Row],[Taxable Amount]]+Table432[[#This Row],[SGST]]+Table432[[#This Row],[CGST]]</f>
        <v>824.65479999999991</v>
      </c>
      <c r="N1017" s="161">
        <f>Table432[[#This Row],[Taxable Amount]]*1%</f>
        <v>6.9885999999999999</v>
      </c>
      <c r="O1017" s="132"/>
      <c r="P1017" s="135"/>
      <c r="Q1017" s="135"/>
      <c r="R1017" s="132"/>
      <c r="S1017" s="313">
        <f>Table432[[#This Row],[Invoice Amount]]-Table432[[#This Row],[TDS]]-Table432[[#This Row],[RECIVED AMOUNT]]</f>
        <v>817.66619999999989</v>
      </c>
      <c r="T1017" s="131"/>
      <c r="U1017" s="131"/>
      <c r="V1017" s="129">
        <f>Table432[[#This Row],[BALANCE]]-Table432[[#This Row],[RECIVED AMOUNT2]]</f>
        <v>817.66619999999989</v>
      </c>
    </row>
    <row r="1018" spans="1:22" s="12" customFormat="1" ht="19.2" customHeight="1">
      <c r="A1018" s="128">
        <v>46234</v>
      </c>
      <c r="B1018" s="165" t="s">
        <v>1372</v>
      </c>
      <c r="C1018" s="131" t="s">
        <v>290</v>
      </c>
      <c r="D1018" s="131"/>
      <c r="E1018" s="131"/>
      <c r="F1018" s="136"/>
      <c r="G1018" s="136">
        <v>3808</v>
      </c>
      <c r="H1018" s="23">
        <v>0.18</v>
      </c>
      <c r="I1018" s="129"/>
      <c r="J1018" s="129">
        <f t="shared" si="75"/>
        <v>0</v>
      </c>
      <c r="K1018" s="129">
        <f t="shared" si="76"/>
        <v>0</v>
      </c>
      <c r="L1018" s="130"/>
      <c r="M1018" s="130">
        <f>Table432[[#This Row],[Taxable Amount]]+Table432[[#This Row],[SGST]]+Table432[[#This Row],[CGST]]</f>
        <v>0</v>
      </c>
      <c r="N1018" s="161">
        <f>Table432[[#This Row],[Taxable Amount]]*1%</f>
        <v>0</v>
      </c>
      <c r="O1018" s="132"/>
      <c r="P1018" s="135"/>
      <c r="Q1018" s="135"/>
      <c r="R1018" s="132"/>
      <c r="S1018" s="313">
        <f>Table432[[#This Row],[Invoice Amount]]-Table432[[#This Row],[TDS]]-Table432[[#This Row],[RECIVED AMOUNT]]</f>
        <v>0</v>
      </c>
      <c r="T1018" s="131"/>
      <c r="U1018" s="131"/>
      <c r="V1018" s="129">
        <f>Table432[[#This Row],[BALANCE]]-Table432[[#This Row],[RECIVED AMOUNT2]]</f>
        <v>0</v>
      </c>
    </row>
    <row r="1019" spans="1:22" s="12" customFormat="1" ht="19.2" customHeight="1">
      <c r="A1019" s="128">
        <v>46234</v>
      </c>
      <c r="B1019" s="165" t="s">
        <v>1373</v>
      </c>
      <c r="C1019" s="131" t="s">
        <v>372</v>
      </c>
      <c r="D1019" s="131" t="s">
        <v>794</v>
      </c>
      <c r="E1019" s="131" t="s">
        <v>374</v>
      </c>
      <c r="F1019" s="136" t="s">
        <v>26</v>
      </c>
      <c r="G1019" s="136">
        <v>3808</v>
      </c>
      <c r="H1019" s="23">
        <v>0.18</v>
      </c>
      <c r="I1019" s="129">
        <v>2500</v>
      </c>
      <c r="J1019" s="129">
        <f t="shared" si="75"/>
        <v>225</v>
      </c>
      <c r="K1019" s="129">
        <f t="shared" si="76"/>
        <v>225</v>
      </c>
      <c r="L1019" s="130"/>
      <c r="M1019" s="130">
        <f>Table432[[#This Row],[Taxable Amount]]+Table432[[#This Row],[SGST]]+Table432[[#This Row],[CGST]]</f>
        <v>2950</v>
      </c>
      <c r="N1019" s="161">
        <f>Table432[[#This Row],[Taxable Amount]]*1%</f>
        <v>25</v>
      </c>
      <c r="O1019" s="132"/>
      <c r="P1019" s="135"/>
      <c r="Q1019" s="135"/>
      <c r="R1019" s="132"/>
      <c r="S1019" s="313">
        <f>Table432[[#This Row],[Invoice Amount]]-Table432[[#This Row],[TDS]]-Table432[[#This Row],[RECIVED AMOUNT]]</f>
        <v>2925</v>
      </c>
      <c r="T1019" s="131"/>
      <c r="U1019" s="131"/>
      <c r="V1019" s="129">
        <f>Table432[[#This Row],[BALANCE]]-Table432[[#This Row],[RECIVED AMOUNT2]]</f>
        <v>2925</v>
      </c>
    </row>
    <row r="1020" spans="1:22" s="12" customFormat="1" ht="19.2" customHeight="1">
      <c r="A1020" s="128">
        <v>46234</v>
      </c>
      <c r="B1020" s="165" t="s">
        <v>1374</v>
      </c>
      <c r="C1020" s="131" t="s">
        <v>372</v>
      </c>
      <c r="D1020" s="131" t="s">
        <v>794</v>
      </c>
      <c r="E1020" s="131" t="s">
        <v>374</v>
      </c>
      <c r="F1020" s="136" t="s">
        <v>26</v>
      </c>
      <c r="G1020" s="136">
        <v>3808</v>
      </c>
      <c r="H1020" s="23">
        <v>0.18</v>
      </c>
      <c r="I1020" s="129">
        <v>2500</v>
      </c>
      <c r="J1020" s="129">
        <f t="shared" si="75"/>
        <v>225</v>
      </c>
      <c r="K1020" s="129">
        <f t="shared" si="76"/>
        <v>225</v>
      </c>
      <c r="L1020" s="130"/>
      <c r="M1020" s="130">
        <f>Table432[[#This Row],[Taxable Amount]]+Table432[[#This Row],[SGST]]+Table432[[#This Row],[CGST]]</f>
        <v>2950</v>
      </c>
      <c r="N1020" s="161">
        <f>Table432[[#This Row],[Taxable Amount]]*1%</f>
        <v>25</v>
      </c>
      <c r="O1020" s="132"/>
      <c r="P1020" s="135"/>
      <c r="Q1020" s="135"/>
      <c r="R1020" s="132"/>
      <c r="S1020" s="313">
        <f>Table432[[#This Row],[Invoice Amount]]-Table432[[#This Row],[TDS]]-Table432[[#This Row],[RECIVED AMOUNT]]</f>
        <v>2925</v>
      </c>
      <c r="T1020" s="131"/>
      <c r="U1020" s="131"/>
      <c r="V1020" s="129">
        <f>Table432[[#This Row],[BALANCE]]-Table432[[#This Row],[RECIVED AMOUNT2]]</f>
        <v>2925</v>
      </c>
    </row>
    <row r="1021" spans="1:22" s="12" customFormat="1" ht="19.2" customHeight="1">
      <c r="A1021" s="128">
        <v>46234</v>
      </c>
      <c r="B1021" s="165" t="s">
        <v>1375</v>
      </c>
      <c r="C1021" s="131" t="s">
        <v>954</v>
      </c>
      <c r="D1021" s="131" t="s">
        <v>61</v>
      </c>
      <c r="E1021" s="131" t="s">
        <v>62</v>
      </c>
      <c r="F1021" s="136" t="s">
        <v>26</v>
      </c>
      <c r="G1021" s="136">
        <v>3808</v>
      </c>
      <c r="H1021" s="23">
        <v>0.18</v>
      </c>
      <c r="I1021" s="129">
        <v>13148</v>
      </c>
      <c r="J1021" s="129">
        <f t="shared" si="75"/>
        <v>1183.32</v>
      </c>
      <c r="K1021" s="129">
        <f t="shared" si="76"/>
        <v>1183.32</v>
      </c>
      <c r="L1021" s="130"/>
      <c r="M1021" s="130">
        <f>Table432[[#This Row],[Taxable Amount]]+Table432[[#This Row],[SGST]]+Table432[[#This Row],[CGST]]</f>
        <v>15514.64</v>
      </c>
      <c r="N1021" s="161">
        <f>Table432[[#This Row],[Taxable Amount]]*1%</f>
        <v>131.47999999999999</v>
      </c>
      <c r="O1021" s="132"/>
      <c r="P1021" s="135"/>
      <c r="Q1021" s="135"/>
      <c r="R1021" s="132"/>
      <c r="S1021" s="313">
        <f>Table432[[#This Row],[Invoice Amount]]-Table432[[#This Row],[TDS]]-Table432[[#This Row],[RECIVED AMOUNT]]</f>
        <v>15383.16</v>
      </c>
      <c r="T1021" s="131"/>
      <c r="U1021" s="131"/>
      <c r="V1021" s="129">
        <f>Table432[[#This Row],[BALANCE]]-Table432[[#This Row],[RECIVED AMOUNT2]]</f>
        <v>15383.16</v>
      </c>
    </row>
    <row r="1022" spans="1:22" s="12" customFormat="1" ht="19.2" customHeight="1">
      <c r="A1022" s="128">
        <v>46234</v>
      </c>
      <c r="B1022" s="165" t="s">
        <v>1376</v>
      </c>
      <c r="C1022" s="131" t="s">
        <v>981</v>
      </c>
      <c r="D1022" s="131" t="s">
        <v>982</v>
      </c>
      <c r="E1022" s="131" t="s">
        <v>1053</v>
      </c>
      <c r="F1022" s="136" t="s">
        <v>26</v>
      </c>
      <c r="G1022" s="136">
        <v>3808</v>
      </c>
      <c r="H1022" s="23">
        <v>0.18</v>
      </c>
      <c r="I1022" s="129">
        <v>27450</v>
      </c>
      <c r="J1022" s="129">
        <f t="shared" si="75"/>
        <v>2470.5</v>
      </c>
      <c r="K1022" s="129">
        <f t="shared" si="76"/>
        <v>2470.5</v>
      </c>
      <c r="L1022" s="130"/>
      <c r="M1022" s="130">
        <f>Table432[[#This Row],[Taxable Amount]]+Table432[[#This Row],[SGST]]+Table432[[#This Row],[CGST]]</f>
        <v>32391</v>
      </c>
      <c r="N1022" s="161">
        <f>Table432[[#This Row],[Taxable Amount]]*1%</f>
        <v>274.5</v>
      </c>
      <c r="O1022" s="132"/>
      <c r="P1022" s="135"/>
      <c r="Q1022" s="135"/>
      <c r="R1022" s="132"/>
      <c r="S1022" s="313">
        <f>Table432[[#This Row],[Invoice Amount]]-Table432[[#This Row],[TDS]]-Table432[[#This Row],[RECIVED AMOUNT]]</f>
        <v>32116.5</v>
      </c>
      <c r="T1022" s="131"/>
      <c r="U1022" s="131"/>
      <c r="V1022" s="129">
        <f>Table432[[#This Row],[BALANCE]]-Table432[[#This Row],[RECIVED AMOUNT2]]</f>
        <v>32116.5</v>
      </c>
    </row>
    <row r="1023" spans="1:22" s="12" customFormat="1" ht="19.2" customHeight="1">
      <c r="A1023" s="128">
        <v>46239</v>
      </c>
      <c r="B1023" s="165" t="s">
        <v>1377</v>
      </c>
      <c r="C1023" s="131" t="s">
        <v>1423</v>
      </c>
      <c r="D1023" s="131" t="s">
        <v>1424</v>
      </c>
      <c r="E1023" s="131" t="s">
        <v>1425</v>
      </c>
      <c r="F1023" s="136" t="s">
        <v>37</v>
      </c>
      <c r="G1023" s="136">
        <v>3808</v>
      </c>
      <c r="H1023" s="23">
        <v>0.18</v>
      </c>
      <c r="I1023" s="129">
        <v>3000</v>
      </c>
      <c r="J1023" s="129">
        <v>0</v>
      </c>
      <c r="K1023" s="129">
        <v>0</v>
      </c>
      <c r="L1023" s="130">
        <v>540</v>
      </c>
      <c r="M1023" s="130">
        <v>3540</v>
      </c>
      <c r="N1023" s="161">
        <f>Table432[[#This Row],[Taxable Amount]]*1%</f>
        <v>30</v>
      </c>
      <c r="O1023" s="132"/>
      <c r="P1023" s="135"/>
      <c r="Q1023" s="135"/>
      <c r="R1023" s="132"/>
      <c r="S1023" s="313">
        <f>Table432[[#This Row],[Invoice Amount]]-Table432[[#This Row],[TDS]]-Table432[[#This Row],[RECIVED AMOUNT]]</f>
        <v>3510</v>
      </c>
      <c r="T1023" s="131"/>
      <c r="U1023" s="131"/>
      <c r="V1023" s="129">
        <f>Table432[[#This Row],[BALANCE]]-Table432[[#This Row],[RECIVED AMOUNT2]]</f>
        <v>3510</v>
      </c>
    </row>
    <row r="1024" spans="1:22" s="12" customFormat="1" ht="19.2" customHeight="1">
      <c r="A1024" s="128">
        <v>46239</v>
      </c>
      <c r="B1024" s="165" t="s">
        <v>1378</v>
      </c>
      <c r="C1024" s="131" t="s">
        <v>955</v>
      </c>
      <c r="D1024" s="131" t="s">
        <v>205</v>
      </c>
      <c r="E1024" s="131" t="s">
        <v>67</v>
      </c>
      <c r="F1024" s="136" t="s">
        <v>26</v>
      </c>
      <c r="G1024" s="136">
        <v>3808</v>
      </c>
      <c r="H1024" s="23">
        <v>0.18</v>
      </c>
      <c r="I1024" s="129">
        <v>10000</v>
      </c>
      <c r="J1024" s="129">
        <f t="shared" si="75"/>
        <v>900</v>
      </c>
      <c r="K1024" s="129">
        <f t="shared" si="76"/>
        <v>900</v>
      </c>
      <c r="L1024" s="130"/>
      <c r="M1024" s="130">
        <f>Table432[[#This Row],[Taxable Amount]]+Table432[[#This Row],[SGST]]+Table432[[#This Row],[CGST]]</f>
        <v>11800</v>
      </c>
      <c r="N1024" s="161">
        <f>Table432[[#This Row],[Taxable Amount]]*1%</f>
        <v>100</v>
      </c>
      <c r="O1024" s="132"/>
      <c r="P1024" s="135"/>
      <c r="Q1024" s="135"/>
      <c r="R1024" s="132"/>
      <c r="S1024" s="313">
        <f>Table432[[#This Row],[Invoice Amount]]-Table432[[#This Row],[TDS]]-Table432[[#This Row],[RECIVED AMOUNT]]</f>
        <v>11700</v>
      </c>
      <c r="T1024" s="131"/>
      <c r="U1024" s="131"/>
      <c r="V1024" s="129">
        <f>Table432[[#This Row],[BALANCE]]-Table432[[#This Row],[RECIVED AMOUNT2]]</f>
        <v>11700</v>
      </c>
    </row>
    <row r="1025" spans="1:22" s="12" customFormat="1" ht="19.2" customHeight="1">
      <c r="A1025" s="128">
        <v>46239</v>
      </c>
      <c r="B1025" s="165" t="s">
        <v>1379</v>
      </c>
      <c r="C1025" s="131" t="s">
        <v>1426</v>
      </c>
      <c r="D1025" s="131" t="s">
        <v>675</v>
      </c>
      <c r="E1025" s="131" t="s">
        <v>676</v>
      </c>
      <c r="F1025" s="136" t="s">
        <v>26</v>
      </c>
      <c r="G1025" s="136">
        <v>3808</v>
      </c>
      <c r="H1025" s="23">
        <v>0.18</v>
      </c>
      <c r="I1025" s="129">
        <v>9300</v>
      </c>
      <c r="J1025" s="129">
        <f t="shared" si="75"/>
        <v>837</v>
      </c>
      <c r="K1025" s="129">
        <f t="shared" si="76"/>
        <v>837</v>
      </c>
      <c r="L1025" s="130"/>
      <c r="M1025" s="130">
        <f>Table432[[#This Row],[Taxable Amount]]+Table432[[#This Row],[SGST]]+Table432[[#This Row],[CGST]]</f>
        <v>10974</v>
      </c>
      <c r="N1025" s="161">
        <f>Table432[[#This Row],[Taxable Amount]]*1%</f>
        <v>93</v>
      </c>
      <c r="O1025" s="132"/>
      <c r="P1025" s="135"/>
      <c r="Q1025" s="135"/>
      <c r="R1025" s="132"/>
      <c r="S1025" s="313">
        <f>Table432[[#This Row],[Invoice Amount]]-Table432[[#This Row],[TDS]]-Table432[[#This Row],[RECIVED AMOUNT]]</f>
        <v>10881</v>
      </c>
      <c r="T1025" s="131"/>
      <c r="U1025" s="131"/>
      <c r="V1025" s="129">
        <f>Table432[[#This Row],[BALANCE]]-Table432[[#This Row],[RECIVED AMOUNT2]]</f>
        <v>10881</v>
      </c>
    </row>
    <row r="1026" spans="1:22" s="12" customFormat="1" ht="19.2" customHeight="1">
      <c r="A1026" s="128">
        <v>46239</v>
      </c>
      <c r="B1026" s="165" t="s">
        <v>1380</v>
      </c>
      <c r="C1026" s="131" t="s">
        <v>1427</v>
      </c>
      <c r="D1026" s="131" t="s">
        <v>675</v>
      </c>
      <c r="E1026" s="131" t="s">
        <v>678</v>
      </c>
      <c r="F1026" s="136" t="s">
        <v>26</v>
      </c>
      <c r="G1026" s="136">
        <v>3808</v>
      </c>
      <c r="H1026" s="23">
        <v>0.18</v>
      </c>
      <c r="I1026" s="129">
        <v>4400</v>
      </c>
      <c r="J1026" s="129">
        <f t="shared" si="75"/>
        <v>396</v>
      </c>
      <c r="K1026" s="129">
        <f t="shared" si="76"/>
        <v>396</v>
      </c>
      <c r="L1026" s="130"/>
      <c r="M1026" s="130">
        <f>Table432[[#This Row],[Taxable Amount]]+Table432[[#This Row],[SGST]]+Table432[[#This Row],[CGST]]</f>
        <v>5192</v>
      </c>
      <c r="N1026" s="161">
        <f>Table432[[#This Row],[Taxable Amount]]*1%</f>
        <v>44</v>
      </c>
      <c r="O1026" s="132"/>
      <c r="P1026" s="135"/>
      <c r="Q1026" s="135"/>
      <c r="R1026" s="132"/>
      <c r="S1026" s="313">
        <f>Table432[[#This Row],[Invoice Amount]]-Table432[[#This Row],[TDS]]-Table432[[#This Row],[RECIVED AMOUNT]]</f>
        <v>5148</v>
      </c>
      <c r="T1026" s="131"/>
      <c r="U1026" s="131"/>
      <c r="V1026" s="129">
        <f>Table432[[#This Row],[BALANCE]]-Table432[[#This Row],[RECIVED AMOUNT2]]</f>
        <v>5148</v>
      </c>
    </row>
    <row r="1027" spans="1:22" s="12" customFormat="1" ht="19.2" customHeight="1">
      <c r="A1027" s="128">
        <v>46239</v>
      </c>
      <c r="B1027" s="165" t="s">
        <v>1381</v>
      </c>
      <c r="C1027" s="131" t="s">
        <v>1428</v>
      </c>
      <c r="D1027" s="131" t="s">
        <v>675</v>
      </c>
      <c r="E1027" s="131" t="s">
        <v>684</v>
      </c>
      <c r="F1027" s="136" t="s">
        <v>26</v>
      </c>
      <c r="G1027" s="136">
        <v>3808</v>
      </c>
      <c r="H1027" s="23">
        <v>0.18</v>
      </c>
      <c r="I1027" s="129">
        <v>1650</v>
      </c>
      <c r="J1027" s="129">
        <f t="shared" si="75"/>
        <v>148.5</v>
      </c>
      <c r="K1027" s="129">
        <f t="shared" si="76"/>
        <v>148.5</v>
      </c>
      <c r="L1027" s="130"/>
      <c r="M1027" s="130">
        <f>Table432[[#This Row],[Taxable Amount]]+Table432[[#This Row],[SGST]]+Table432[[#This Row],[CGST]]</f>
        <v>1947</v>
      </c>
      <c r="N1027" s="161">
        <f>Table432[[#This Row],[Taxable Amount]]*1%</f>
        <v>16.5</v>
      </c>
      <c r="O1027" s="132"/>
      <c r="P1027" s="135"/>
      <c r="Q1027" s="135"/>
      <c r="R1027" s="132"/>
      <c r="S1027" s="313">
        <f>Table432[[#This Row],[Invoice Amount]]-Table432[[#This Row],[TDS]]-Table432[[#This Row],[RECIVED AMOUNT]]</f>
        <v>1930.5</v>
      </c>
      <c r="T1027" s="131"/>
      <c r="U1027" s="131"/>
      <c r="V1027" s="129">
        <f>Table432[[#This Row],[BALANCE]]-Table432[[#This Row],[RECIVED AMOUNT2]]</f>
        <v>1930.5</v>
      </c>
    </row>
    <row r="1028" spans="1:22" s="12" customFormat="1" ht="19.2" customHeight="1">
      <c r="A1028" s="128">
        <v>46239</v>
      </c>
      <c r="B1028" s="165" t="s">
        <v>1382</v>
      </c>
      <c r="C1028" s="131" t="s">
        <v>1429</v>
      </c>
      <c r="D1028" s="131" t="s">
        <v>675</v>
      </c>
      <c r="E1028" s="131" t="s">
        <v>956</v>
      </c>
      <c r="F1028" s="136" t="s">
        <v>26</v>
      </c>
      <c r="G1028" s="136">
        <v>3808</v>
      </c>
      <c r="H1028" s="23">
        <v>0.18</v>
      </c>
      <c r="I1028" s="129">
        <v>1350</v>
      </c>
      <c r="J1028" s="129">
        <f t="shared" si="75"/>
        <v>121.5</v>
      </c>
      <c r="K1028" s="129">
        <f t="shared" si="76"/>
        <v>121.5</v>
      </c>
      <c r="L1028" s="130"/>
      <c r="M1028" s="130">
        <f>Table432[[#This Row],[Taxable Amount]]+Table432[[#This Row],[SGST]]+Table432[[#This Row],[CGST]]</f>
        <v>1593</v>
      </c>
      <c r="N1028" s="161">
        <f>Table432[[#This Row],[Taxable Amount]]*1%</f>
        <v>13.5</v>
      </c>
      <c r="O1028" s="132"/>
      <c r="P1028" s="135"/>
      <c r="Q1028" s="135"/>
      <c r="R1028" s="132"/>
      <c r="S1028" s="313">
        <f>Table432[[#This Row],[Invoice Amount]]-Table432[[#This Row],[TDS]]-Table432[[#This Row],[RECIVED AMOUNT]]</f>
        <v>1579.5</v>
      </c>
      <c r="T1028" s="131"/>
      <c r="U1028" s="131"/>
      <c r="V1028" s="129">
        <f>Table432[[#This Row],[BALANCE]]-Table432[[#This Row],[RECIVED AMOUNT2]]</f>
        <v>1579.5</v>
      </c>
    </row>
    <row r="1029" spans="1:22" s="12" customFormat="1" ht="19.2" customHeight="1">
      <c r="A1029" s="128">
        <v>46239</v>
      </c>
      <c r="B1029" s="165" t="s">
        <v>1383</v>
      </c>
      <c r="C1029" s="131" t="s">
        <v>1430</v>
      </c>
      <c r="D1029" s="131" t="s">
        <v>675</v>
      </c>
      <c r="E1029" s="131" t="s">
        <v>716</v>
      </c>
      <c r="F1029" s="136" t="s">
        <v>26</v>
      </c>
      <c r="G1029" s="136">
        <v>3808</v>
      </c>
      <c r="H1029" s="23">
        <v>0.18</v>
      </c>
      <c r="I1029" s="129">
        <v>4000</v>
      </c>
      <c r="J1029" s="129">
        <f t="shared" si="75"/>
        <v>360</v>
      </c>
      <c r="K1029" s="129">
        <f t="shared" si="76"/>
        <v>360</v>
      </c>
      <c r="L1029" s="130"/>
      <c r="M1029" s="130">
        <f>Table432[[#This Row],[Taxable Amount]]+Table432[[#This Row],[SGST]]+Table432[[#This Row],[CGST]]</f>
        <v>4720</v>
      </c>
      <c r="N1029" s="161">
        <f>Table432[[#This Row],[Taxable Amount]]*1%</f>
        <v>40</v>
      </c>
      <c r="O1029" s="132"/>
      <c r="P1029" s="135"/>
      <c r="Q1029" s="135"/>
      <c r="R1029" s="132"/>
      <c r="S1029" s="313">
        <f>Table432[[#This Row],[Invoice Amount]]-Table432[[#This Row],[TDS]]-Table432[[#This Row],[RECIVED AMOUNT]]</f>
        <v>4680</v>
      </c>
      <c r="T1029" s="131"/>
      <c r="U1029" s="131"/>
      <c r="V1029" s="129">
        <f>Table432[[#This Row],[BALANCE]]-Table432[[#This Row],[RECIVED AMOUNT2]]</f>
        <v>4680</v>
      </c>
    </row>
    <row r="1030" spans="1:22" s="12" customFormat="1" ht="19.2" customHeight="1">
      <c r="A1030" s="128">
        <v>46239</v>
      </c>
      <c r="B1030" s="165" t="s">
        <v>1384</v>
      </c>
      <c r="C1030" s="131" t="s">
        <v>1431</v>
      </c>
      <c r="D1030" s="131" t="s">
        <v>675</v>
      </c>
      <c r="E1030" s="131" t="s">
        <v>811</v>
      </c>
      <c r="F1030" s="136" t="s">
        <v>26</v>
      </c>
      <c r="G1030" s="136">
        <v>3808</v>
      </c>
      <c r="H1030" s="23">
        <v>0.18</v>
      </c>
      <c r="I1030" s="129">
        <v>8000</v>
      </c>
      <c r="J1030" s="129">
        <f t="shared" si="75"/>
        <v>720</v>
      </c>
      <c r="K1030" s="129">
        <f t="shared" si="76"/>
        <v>720</v>
      </c>
      <c r="L1030" s="130"/>
      <c r="M1030" s="130">
        <f>Table432[[#This Row],[Taxable Amount]]+Table432[[#This Row],[SGST]]+Table432[[#This Row],[CGST]]</f>
        <v>9440</v>
      </c>
      <c r="N1030" s="161">
        <f>Table432[[#This Row],[Taxable Amount]]*1%</f>
        <v>80</v>
      </c>
      <c r="O1030" s="132"/>
      <c r="P1030" s="135"/>
      <c r="Q1030" s="135"/>
      <c r="R1030" s="132"/>
      <c r="S1030" s="313">
        <f>Table432[[#This Row],[Invoice Amount]]-Table432[[#This Row],[TDS]]-Table432[[#This Row],[RECIVED AMOUNT]]</f>
        <v>9360</v>
      </c>
      <c r="T1030" s="131"/>
      <c r="U1030" s="131"/>
      <c r="V1030" s="129">
        <f>Table432[[#This Row],[BALANCE]]-Table432[[#This Row],[RECIVED AMOUNT2]]</f>
        <v>9360</v>
      </c>
    </row>
    <row r="1031" spans="1:22" s="12" customFormat="1" ht="19.2" customHeight="1">
      <c r="A1031" s="128">
        <v>46239</v>
      </c>
      <c r="B1031" s="165" t="s">
        <v>1385</v>
      </c>
      <c r="C1031" s="131" t="s">
        <v>1432</v>
      </c>
      <c r="D1031" s="131" t="s">
        <v>675</v>
      </c>
      <c r="E1031" s="131" t="s">
        <v>1265</v>
      </c>
      <c r="F1031" s="136" t="s">
        <v>26</v>
      </c>
      <c r="G1031" s="136">
        <v>3808</v>
      </c>
      <c r="H1031" s="23">
        <v>0.18</v>
      </c>
      <c r="I1031" s="129">
        <v>16850</v>
      </c>
      <c r="J1031" s="129">
        <f t="shared" si="75"/>
        <v>1516.5</v>
      </c>
      <c r="K1031" s="129">
        <f t="shared" si="76"/>
        <v>1516.5</v>
      </c>
      <c r="L1031" s="130"/>
      <c r="M1031" s="130">
        <f>Table432[[#This Row],[Taxable Amount]]+Table432[[#This Row],[SGST]]+Table432[[#This Row],[CGST]]</f>
        <v>19883</v>
      </c>
      <c r="N1031" s="161">
        <f>Table432[[#This Row],[Taxable Amount]]*1%</f>
        <v>168.5</v>
      </c>
      <c r="O1031" s="132"/>
      <c r="P1031" s="135"/>
      <c r="Q1031" s="135"/>
      <c r="R1031" s="132"/>
      <c r="S1031" s="313">
        <f>Table432[[#This Row],[Invoice Amount]]-Table432[[#This Row],[TDS]]-Table432[[#This Row],[RECIVED AMOUNT]]</f>
        <v>19714.5</v>
      </c>
      <c r="T1031" s="131"/>
      <c r="U1031" s="131"/>
      <c r="V1031" s="129">
        <f>Table432[[#This Row],[BALANCE]]-Table432[[#This Row],[RECIVED AMOUNT2]]</f>
        <v>19714.5</v>
      </c>
    </row>
    <row r="1032" spans="1:22" s="12" customFormat="1" ht="19.2" customHeight="1">
      <c r="A1032" s="128">
        <v>46239</v>
      </c>
      <c r="B1032" s="165" t="s">
        <v>1386</v>
      </c>
      <c r="C1032" s="131" t="s">
        <v>1433</v>
      </c>
      <c r="D1032" s="131" t="s">
        <v>675</v>
      </c>
      <c r="E1032" s="131" t="s">
        <v>1340</v>
      </c>
      <c r="F1032" s="136" t="s">
        <v>26</v>
      </c>
      <c r="G1032" s="136">
        <v>3808</v>
      </c>
      <c r="H1032" s="23">
        <v>0.18</v>
      </c>
      <c r="I1032" s="129">
        <v>600</v>
      </c>
      <c r="J1032" s="129">
        <f t="shared" si="75"/>
        <v>54</v>
      </c>
      <c r="K1032" s="129">
        <f t="shared" si="76"/>
        <v>54</v>
      </c>
      <c r="L1032" s="130"/>
      <c r="M1032" s="130">
        <f>Table432[[#This Row],[Taxable Amount]]+Table432[[#This Row],[SGST]]+Table432[[#This Row],[CGST]]</f>
        <v>708</v>
      </c>
      <c r="N1032" s="161">
        <f>Table432[[#This Row],[Taxable Amount]]*1%</f>
        <v>6</v>
      </c>
      <c r="O1032" s="132"/>
      <c r="P1032" s="135"/>
      <c r="Q1032" s="135"/>
      <c r="R1032" s="132"/>
      <c r="S1032" s="313">
        <f>Table432[[#This Row],[Invoice Amount]]-Table432[[#This Row],[TDS]]-Table432[[#This Row],[RECIVED AMOUNT]]</f>
        <v>702</v>
      </c>
      <c r="T1032" s="131"/>
      <c r="U1032" s="131"/>
      <c r="V1032" s="129">
        <f>Table432[[#This Row],[BALANCE]]-Table432[[#This Row],[RECIVED AMOUNT2]]</f>
        <v>702</v>
      </c>
    </row>
    <row r="1033" spans="1:22" s="12" customFormat="1" ht="19.2" customHeight="1">
      <c r="A1033" s="128">
        <v>46239</v>
      </c>
      <c r="B1033" s="165" t="s">
        <v>1387</v>
      </c>
      <c r="C1033" s="131" t="s">
        <v>1434</v>
      </c>
      <c r="D1033" s="131" t="s">
        <v>675</v>
      </c>
      <c r="E1033" s="131" t="s">
        <v>1440</v>
      </c>
      <c r="F1033" s="136" t="s">
        <v>26</v>
      </c>
      <c r="G1033" s="136">
        <v>3808</v>
      </c>
      <c r="H1033" s="23">
        <v>0.18</v>
      </c>
      <c r="I1033" s="129">
        <v>7250</v>
      </c>
      <c r="J1033" s="129">
        <f t="shared" si="75"/>
        <v>652.5</v>
      </c>
      <c r="K1033" s="129">
        <f t="shared" si="76"/>
        <v>652.5</v>
      </c>
      <c r="L1033" s="130"/>
      <c r="M1033" s="130">
        <f>Table432[[#This Row],[Taxable Amount]]+Table432[[#This Row],[SGST]]+Table432[[#This Row],[CGST]]</f>
        <v>8555</v>
      </c>
      <c r="N1033" s="161">
        <f>Table432[[#This Row],[Taxable Amount]]*1%</f>
        <v>72.5</v>
      </c>
      <c r="O1033" s="132"/>
      <c r="P1033" s="135"/>
      <c r="Q1033" s="135"/>
      <c r="R1033" s="132"/>
      <c r="S1033" s="313">
        <f>Table432[[#This Row],[Invoice Amount]]-Table432[[#This Row],[TDS]]-Table432[[#This Row],[RECIVED AMOUNT]]</f>
        <v>8482.5</v>
      </c>
      <c r="T1033" s="131"/>
      <c r="U1033" s="131"/>
      <c r="V1033" s="129">
        <f>Table432[[#This Row],[BALANCE]]-Table432[[#This Row],[RECIVED AMOUNT2]]</f>
        <v>8482.5</v>
      </c>
    </row>
    <row r="1034" spans="1:22" s="12" customFormat="1" ht="19.2" customHeight="1">
      <c r="A1034" s="128">
        <v>46239</v>
      </c>
      <c r="B1034" s="165" t="s">
        <v>1388</v>
      </c>
      <c r="C1034" s="131" t="s">
        <v>1435</v>
      </c>
      <c r="D1034" s="131" t="s">
        <v>675</v>
      </c>
      <c r="E1034" s="131" t="s">
        <v>1441</v>
      </c>
      <c r="F1034" s="136" t="s">
        <v>26</v>
      </c>
      <c r="G1034" s="136">
        <v>3808</v>
      </c>
      <c r="H1034" s="23">
        <v>0.18</v>
      </c>
      <c r="I1034" s="129">
        <v>7300</v>
      </c>
      <c r="J1034" s="129">
        <f>I1034*9/100</f>
        <v>657</v>
      </c>
      <c r="K1034" s="129">
        <f t="shared" si="76"/>
        <v>657</v>
      </c>
      <c r="L1034" s="130"/>
      <c r="M1034" s="130">
        <f>Table432[[#This Row],[Taxable Amount]]+Table432[[#This Row],[SGST]]+Table432[[#This Row],[CGST]]</f>
        <v>8614</v>
      </c>
      <c r="N1034" s="161">
        <f>Table432[[#This Row],[Taxable Amount]]*1%</f>
        <v>73</v>
      </c>
      <c r="O1034" s="132"/>
      <c r="P1034" s="135"/>
      <c r="Q1034" s="135"/>
      <c r="R1034" s="132"/>
      <c r="S1034" s="313">
        <f>Table432[[#This Row],[Invoice Amount]]-Table432[[#This Row],[TDS]]-Table432[[#This Row],[RECIVED AMOUNT]]</f>
        <v>8541</v>
      </c>
      <c r="T1034" s="131"/>
      <c r="U1034" s="131"/>
      <c r="V1034" s="129">
        <f>Table432[[#This Row],[BALANCE]]-Table432[[#This Row],[RECIVED AMOUNT2]]</f>
        <v>8541</v>
      </c>
    </row>
    <row r="1035" spans="1:22" s="12" customFormat="1" ht="19.2" customHeight="1">
      <c r="A1035" s="128">
        <v>46239</v>
      </c>
      <c r="B1035" s="165" t="s">
        <v>1389</v>
      </c>
      <c r="C1035" s="131" t="s">
        <v>396</v>
      </c>
      <c r="D1035" s="131" t="s">
        <v>397</v>
      </c>
      <c r="E1035" s="131" t="s">
        <v>260</v>
      </c>
      <c r="F1035" s="136" t="s">
        <v>26</v>
      </c>
      <c r="G1035" s="136">
        <v>3808</v>
      </c>
      <c r="H1035" s="23">
        <v>0.18</v>
      </c>
      <c r="I1035" s="129">
        <v>6000</v>
      </c>
      <c r="J1035" s="129">
        <f t="shared" si="75"/>
        <v>540</v>
      </c>
      <c r="K1035" s="129">
        <f t="shared" si="76"/>
        <v>540</v>
      </c>
      <c r="L1035" s="130"/>
      <c r="M1035" s="130">
        <f>Table432[[#This Row],[Taxable Amount]]+Table432[[#This Row],[SGST]]+Table432[[#This Row],[CGST]]</f>
        <v>7080</v>
      </c>
      <c r="N1035" s="161">
        <f>Table432[[#This Row],[Taxable Amount]]*1%</f>
        <v>60</v>
      </c>
      <c r="O1035" s="132"/>
      <c r="P1035" s="135"/>
      <c r="Q1035" s="135"/>
      <c r="R1035" s="132"/>
      <c r="S1035" s="313">
        <f>Table432[[#This Row],[Invoice Amount]]-Table432[[#This Row],[TDS]]-Table432[[#This Row],[RECIVED AMOUNT]]</f>
        <v>7020</v>
      </c>
      <c r="T1035" s="131"/>
      <c r="U1035" s="131"/>
      <c r="V1035" s="129">
        <f>Table432[[#This Row],[BALANCE]]-Table432[[#This Row],[RECIVED AMOUNT2]]</f>
        <v>7020</v>
      </c>
    </row>
    <row r="1036" spans="1:22" s="12" customFormat="1" ht="19.2" customHeight="1">
      <c r="A1036" s="128">
        <v>46239</v>
      </c>
      <c r="B1036" s="165" t="s">
        <v>1390</v>
      </c>
      <c r="C1036" s="131" t="s">
        <v>319</v>
      </c>
      <c r="D1036" s="131" t="s">
        <v>320</v>
      </c>
      <c r="E1036" s="131" t="s">
        <v>85</v>
      </c>
      <c r="F1036" s="136" t="s">
        <v>26</v>
      </c>
      <c r="G1036" s="136">
        <v>3808</v>
      </c>
      <c r="H1036" s="23">
        <v>0.18</v>
      </c>
      <c r="I1036" s="129">
        <v>4400</v>
      </c>
      <c r="J1036" s="129">
        <f t="shared" si="75"/>
        <v>396</v>
      </c>
      <c r="K1036" s="129">
        <f t="shared" si="76"/>
        <v>396</v>
      </c>
      <c r="L1036" s="130"/>
      <c r="M1036" s="130">
        <f>Table432[[#This Row],[Taxable Amount]]+Table432[[#This Row],[SGST]]+Table432[[#This Row],[CGST]]</f>
        <v>5192</v>
      </c>
      <c r="N1036" s="161">
        <f>Table432[[#This Row],[Taxable Amount]]*1%</f>
        <v>44</v>
      </c>
      <c r="O1036" s="132"/>
      <c r="P1036" s="135"/>
      <c r="Q1036" s="135"/>
      <c r="R1036" s="132"/>
      <c r="S1036" s="313">
        <f>Table432[[#This Row],[Invoice Amount]]-Table432[[#This Row],[TDS]]-Table432[[#This Row],[RECIVED AMOUNT]]</f>
        <v>5148</v>
      </c>
      <c r="T1036" s="131"/>
      <c r="U1036" s="131"/>
      <c r="V1036" s="129">
        <f>Table432[[#This Row],[BALANCE]]-Table432[[#This Row],[RECIVED AMOUNT2]]</f>
        <v>5148</v>
      </c>
    </row>
    <row r="1037" spans="1:22" s="12" customFormat="1" ht="19.2" customHeight="1">
      <c r="A1037" s="128">
        <v>46239</v>
      </c>
      <c r="B1037" s="165" t="s">
        <v>1391</v>
      </c>
      <c r="C1037" s="131" t="s">
        <v>1436</v>
      </c>
      <c r="D1037" s="131" t="s">
        <v>1437</v>
      </c>
      <c r="E1037" s="131" t="s">
        <v>59</v>
      </c>
      <c r="F1037" s="136" t="s">
        <v>26</v>
      </c>
      <c r="G1037" s="136">
        <v>3808</v>
      </c>
      <c r="H1037" s="23">
        <v>0.18</v>
      </c>
      <c r="I1037" s="129">
        <v>24600</v>
      </c>
      <c r="J1037" s="129">
        <f t="shared" si="75"/>
        <v>2214</v>
      </c>
      <c r="K1037" s="129">
        <f t="shared" si="76"/>
        <v>2214</v>
      </c>
      <c r="L1037" s="130"/>
      <c r="M1037" s="130">
        <f>Table432[[#This Row],[Taxable Amount]]+Table432[[#This Row],[SGST]]+Table432[[#This Row],[CGST]]</f>
        <v>29028</v>
      </c>
      <c r="N1037" s="161">
        <f>Table432[[#This Row],[Taxable Amount]]*1%</f>
        <v>246</v>
      </c>
      <c r="O1037" s="132"/>
      <c r="P1037" s="135">
        <v>28782</v>
      </c>
      <c r="Q1037" s="135"/>
      <c r="R1037" s="132"/>
      <c r="S1037" s="313">
        <f>Table432[[#This Row],[Invoice Amount]]-Table432[[#This Row],[TDS]]-Table432[[#This Row],[RECIVED AMOUNT]]</f>
        <v>0</v>
      </c>
      <c r="T1037" s="131"/>
      <c r="U1037" s="131"/>
      <c r="V1037" s="129">
        <f>Table432[[#This Row],[BALANCE]]-Table432[[#This Row],[RECIVED AMOUNT2]]</f>
        <v>0</v>
      </c>
    </row>
    <row r="1038" spans="1:22" s="12" customFormat="1" ht="19.2" customHeight="1">
      <c r="A1038" s="128">
        <v>46239</v>
      </c>
      <c r="B1038" s="165" t="s">
        <v>1392</v>
      </c>
      <c r="C1038" s="131" t="s">
        <v>1185</v>
      </c>
      <c r="D1038" s="131" t="s">
        <v>1186</v>
      </c>
      <c r="E1038" s="131" t="s">
        <v>36</v>
      </c>
      <c r="F1038" s="136" t="s">
        <v>26</v>
      </c>
      <c r="G1038" s="136">
        <v>3808</v>
      </c>
      <c r="H1038" s="23">
        <v>0.18</v>
      </c>
      <c r="I1038" s="129">
        <v>4400</v>
      </c>
      <c r="J1038" s="129">
        <f t="shared" si="75"/>
        <v>396</v>
      </c>
      <c r="K1038" s="129">
        <f t="shared" si="76"/>
        <v>396</v>
      </c>
      <c r="L1038" s="130"/>
      <c r="M1038" s="130">
        <f>Table432[[#This Row],[Taxable Amount]]+Table432[[#This Row],[SGST]]+Table432[[#This Row],[CGST]]</f>
        <v>5192</v>
      </c>
      <c r="N1038" s="161">
        <f>Table432[[#This Row],[Taxable Amount]]*1%</f>
        <v>44</v>
      </c>
      <c r="O1038" s="132"/>
      <c r="P1038" s="135"/>
      <c r="Q1038" s="135"/>
      <c r="R1038" s="132"/>
      <c r="S1038" s="313">
        <f>Table432[[#This Row],[Invoice Amount]]-Table432[[#This Row],[TDS]]-Table432[[#This Row],[RECIVED AMOUNT]]</f>
        <v>5148</v>
      </c>
      <c r="T1038" s="131"/>
      <c r="U1038" s="131"/>
      <c r="V1038" s="129">
        <f>Table432[[#This Row],[BALANCE]]-Table432[[#This Row],[RECIVED AMOUNT2]]</f>
        <v>5148</v>
      </c>
    </row>
    <row r="1039" spans="1:22" s="12" customFormat="1" ht="19.2" customHeight="1">
      <c r="A1039" s="128">
        <v>46239</v>
      </c>
      <c r="B1039" s="165" t="s">
        <v>1393</v>
      </c>
      <c r="C1039" s="131" t="s">
        <v>87</v>
      </c>
      <c r="D1039" s="131" t="s">
        <v>88</v>
      </c>
      <c r="E1039" s="131" t="s">
        <v>89</v>
      </c>
      <c r="F1039" s="136" t="s">
        <v>26</v>
      </c>
      <c r="G1039" s="136">
        <v>3808</v>
      </c>
      <c r="H1039" s="23">
        <v>0.18</v>
      </c>
      <c r="I1039" s="129">
        <v>2500</v>
      </c>
      <c r="J1039" s="129">
        <f t="shared" si="75"/>
        <v>225</v>
      </c>
      <c r="K1039" s="129">
        <f t="shared" si="76"/>
        <v>225</v>
      </c>
      <c r="L1039" s="130"/>
      <c r="M1039" s="130">
        <f>Table432[[#This Row],[Taxable Amount]]+Table432[[#This Row],[SGST]]+Table432[[#This Row],[CGST]]</f>
        <v>2950</v>
      </c>
      <c r="N1039" s="161">
        <f>Table432[[#This Row],[Taxable Amount]]*1%</f>
        <v>25</v>
      </c>
      <c r="O1039" s="132"/>
      <c r="P1039" s="135">
        <v>5850</v>
      </c>
      <c r="Q1039" s="205">
        <v>46265</v>
      </c>
      <c r="R1039" s="132"/>
      <c r="S1039" s="313">
        <f>Table432[[#This Row],[Invoice Amount]]-Table432[[#This Row],[TDS]]-Table432[[#This Row],[RECIVED AMOUNT]]</f>
        <v>-2925</v>
      </c>
      <c r="T1039" s="131"/>
      <c r="U1039" s="131"/>
      <c r="V1039" s="129">
        <f>Table432[[#This Row],[BALANCE]]-Table432[[#This Row],[RECIVED AMOUNT2]]</f>
        <v>-2925</v>
      </c>
    </row>
    <row r="1040" spans="1:22" s="12" customFormat="1" ht="19.2" customHeight="1">
      <c r="A1040" s="128">
        <v>46239</v>
      </c>
      <c r="B1040" s="165" t="s">
        <v>1394</v>
      </c>
      <c r="C1040" s="131" t="s">
        <v>642</v>
      </c>
      <c r="D1040" s="131" t="s">
        <v>643</v>
      </c>
      <c r="E1040" s="131" t="s">
        <v>67</v>
      </c>
      <c r="F1040" s="136" t="s">
        <v>26</v>
      </c>
      <c r="G1040" s="136">
        <v>3808</v>
      </c>
      <c r="H1040" s="23">
        <v>0.18</v>
      </c>
      <c r="I1040" s="129">
        <v>3400</v>
      </c>
      <c r="J1040" s="129">
        <f t="shared" si="75"/>
        <v>306</v>
      </c>
      <c r="K1040" s="129">
        <f t="shared" si="76"/>
        <v>306</v>
      </c>
      <c r="L1040" s="130"/>
      <c r="M1040" s="130">
        <f>Table432[[#This Row],[Taxable Amount]]+Table432[[#This Row],[SGST]]+Table432[[#This Row],[CGST]]</f>
        <v>4012</v>
      </c>
      <c r="N1040" s="161">
        <f>Table432[[#This Row],[Taxable Amount]]*1%</f>
        <v>34</v>
      </c>
      <c r="O1040" s="132"/>
      <c r="P1040" s="135"/>
      <c r="Q1040" s="135"/>
      <c r="R1040" s="132"/>
      <c r="S1040" s="313">
        <f>Table432[[#This Row],[Invoice Amount]]-Table432[[#This Row],[TDS]]-Table432[[#This Row],[RECIVED AMOUNT]]</f>
        <v>3978</v>
      </c>
      <c r="T1040" s="131"/>
      <c r="U1040" s="131"/>
      <c r="V1040" s="129">
        <f>Table432[[#This Row],[BALANCE]]-Table432[[#This Row],[RECIVED AMOUNT2]]</f>
        <v>3978</v>
      </c>
    </row>
    <row r="1041" spans="1:22" s="12" customFormat="1" ht="19.2" customHeight="1">
      <c r="A1041" s="128">
        <v>46239</v>
      </c>
      <c r="B1041" s="165" t="s">
        <v>1395</v>
      </c>
      <c r="C1041" s="131" t="s">
        <v>883</v>
      </c>
      <c r="D1041" s="131" t="s">
        <v>884</v>
      </c>
      <c r="E1041" s="131" t="s">
        <v>85</v>
      </c>
      <c r="F1041" s="136" t="s">
        <v>26</v>
      </c>
      <c r="G1041" s="136">
        <v>3808</v>
      </c>
      <c r="H1041" s="23">
        <v>0.18</v>
      </c>
      <c r="I1041" s="129">
        <v>8400</v>
      </c>
      <c r="J1041" s="129">
        <f t="shared" ref="J1041:J1107" si="77">I1041*9/100</f>
        <v>756</v>
      </c>
      <c r="K1041" s="129">
        <f t="shared" ref="K1041:K1107" si="78">I1041*9/100</f>
        <v>756</v>
      </c>
      <c r="L1041" s="130"/>
      <c r="M1041" s="130">
        <f>Table432[[#This Row],[Taxable Amount]]+Table432[[#This Row],[SGST]]+Table432[[#This Row],[CGST]]</f>
        <v>9912</v>
      </c>
      <c r="N1041" s="161">
        <f>Table432[[#This Row],[Taxable Amount]]*1%</f>
        <v>84</v>
      </c>
      <c r="O1041" s="132"/>
      <c r="P1041" s="135">
        <v>3933</v>
      </c>
      <c r="Q1041" s="135"/>
      <c r="R1041" s="132"/>
      <c r="S1041" s="313">
        <f>Table432[[#This Row],[Invoice Amount]]-Table432[[#This Row],[TDS]]-Table432[[#This Row],[RECIVED AMOUNT]]</f>
        <v>5895</v>
      </c>
      <c r="T1041" s="131"/>
      <c r="U1041" s="131"/>
      <c r="V1041" s="129">
        <f>Table432[[#This Row],[BALANCE]]-Table432[[#This Row],[RECIVED AMOUNT2]]</f>
        <v>5895</v>
      </c>
    </row>
    <row r="1042" spans="1:22" s="12" customFormat="1" ht="19.2" customHeight="1">
      <c r="A1042" s="128">
        <v>46239</v>
      </c>
      <c r="B1042" s="165" t="s">
        <v>1396</v>
      </c>
      <c r="C1042" s="131" t="s">
        <v>883</v>
      </c>
      <c r="D1042" s="131" t="s">
        <v>884</v>
      </c>
      <c r="E1042" s="131" t="s">
        <v>85</v>
      </c>
      <c r="F1042" s="136" t="s">
        <v>26</v>
      </c>
      <c r="G1042" s="136">
        <v>3808</v>
      </c>
      <c r="H1042" s="23">
        <v>0.18</v>
      </c>
      <c r="I1042" s="129">
        <v>2496</v>
      </c>
      <c r="J1042" s="129">
        <f t="shared" si="77"/>
        <v>224.64</v>
      </c>
      <c r="K1042" s="129">
        <f t="shared" si="78"/>
        <v>224.64</v>
      </c>
      <c r="L1042" s="130"/>
      <c r="M1042" s="130">
        <f>Table432[[#This Row],[Taxable Amount]]+Table432[[#This Row],[SGST]]+Table432[[#This Row],[CGST]]</f>
        <v>2945.2799999999997</v>
      </c>
      <c r="N1042" s="161">
        <f>Table432[[#This Row],[Taxable Amount]]*1%</f>
        <v>24.96</v>
      </c>
      <c r="O1042" s="132"/>
      <c r="P1042" s="135"/>
      <c r="Q1042" s="135"/>
      <c r="R1042" s="132"/>
      <c r="S1042" s="313">
        <f>Table432[[#This Row],[Invoice Amount]]-Table432[[#This Row],[TDS]]-Table432[[#This Row],[RECIVED AMOUNT]]</f>
        <v>2920.3199999999997</v>
      </c>
      <c r="T1042" s="131"/>
      <c r="U1042" s="131"/>
      <c r="V1042" s="129">
        <f>Table432[[#This Row],[BALANCE]]-Table432[[#This Row],[RECIVED AMOUNT2]]</f>
        <v>2920.3199999999997</v>
      </c>
    </row>
    <row r="1043" spans="1:22" s="12" customFormat="1" ht="19.2" customHeight="1">
      <c r="A1043" s="128">
        <v>46239</v>
      </c>
      <c r="B1043" s="165" t="s">
        <v>1397</v>
      </c>
      <c r="C1043" s="131" t="s">
        <v>883</v>
      </c>
      <c r="D1043" s="131" t="s">
        <v>884</v>
      </c>
      <c r="E1043" s="131" t="s">
        <v>85</v>
      </c>
      <c r="F1043" s="136" t="s">
        <v>26</v>
      </c>
      <c r="G1043" s="136">
        <v>3808</v>
      </c>
      <c r="H1043" s="23">
        <v>0.18</v>
      </c>
      <c r="I1043" s="129">
        <v>2496</v>
      </c>
      <c r="J1043" s="129">
        <f t="shared" si="77"/>
        <v>224.64</v>
      </c>
      <c r="K1043" s="129">
        <f t="shared" si="78"/>
        <v>224.64</v>
      </c>
      <c r="L1043" s="130"/>
      <c r="M1043" s="130">
        <f>Table432[[#This Row],[Taxable Amount]]+Table432[[#This Row],[SGST]]+Table432[[#This Row],[CGST]]</f>
        <v>2945.2799999999997</v>
      </c>
      <c r="N1043" s="161">
        <f>Table432[[#This Row],[Taxable Amount]]*1%</f>
        <v>24.96</v>
      </c>
      <c r="O1043" s="132"/>
      <c r="P1043" s="135"/>
      <c r="Q1043" s="135"/>
      <c r="R1043" s="132"/>
      <c r="S1043" s="313">
        <f>Table432[[#This Row],[Invoice Amount]]-Table432[[#This Row],[TDS]]-Table432[[#This Row],[RECIVED AMOUNT]]</f>
        <v>2920.3199999999997</v>
      </c>
      <c r="T1043" s="131"/>
      <c r="U1043" s="131"/>
      <c r="V1043" s="129">
        <f>Table432[[#This Row],[BALANCE]]-Table432[[#This Row],[RECIVED AMOUNT2]]</f>
        <v>2920.3199999999997</v>
      </c>
    </row>
    <row r="1044" spans="1:22" s="12" customFormat="1" ht="19.2" customHeight="1">
      <c r="A1044" s="128">
        <v>46244</v>
      </c>
      <c r="B1044" s="165" t="s">
        <v>1398</v>
      </c>
      <c r="C1044" s="131" t="s">
        <v>1438</v>
      </c>
      <c r="D1044" s="131" t="s">
        <v>1439</v>
      </c>
      <c r="E1044" s="131" t="s">
        <v>1419</v>
      </c>
      <c r="F1044" s="136" t="s">
        <v>26</v>
      </c>
      <c r="G1044" s="136">
        <v>3808</v>
      </c>
      <c r="H1044" s="23">
        <v>0.18</v>
      </c>
      <c r="I1044" s="129">
        <v>20000</v>
      </c>
      <c r="J1044" s="129">
        <f t="shared" si="77"/>
        <v>1800</v>
      </c>
      <c r="K1044" s="129">
        <f t="shared" si="78"/>
        <v>1800</v>
      </c>
      <c r="L1044" s="130"/>
      <c r="M1044" s="130">
        <f>Table432[[#This Row],[Taxable Amount]]+Table432[[#This Row],[SGST]]+Table432[[#This Row],[CGST]]</f>
        <v>23600</v>
      </c>
      <c r="N1044" s="161">
        <f>Table432[[#This Row],[Taxable Amount]]*1%</f>
        <v>200</v>
      </c>
      <c r="O1044" s="132"/>
      <c r="P1044" s="135"/>
      <c r="Q1044" s="135"/>
      <c r="R1044" s="132"/>
      <c r="S1044" s="313">
        <f>Table432[[#This Row],[Invoice Amount]]-Table432[[#This Row],[TDS]]-Table432[[#This Row],[RECIVED AMOUNT]]</f>
        <v>23400</v>
      </c>
      <c r="T1044" s="131"/>
      <c r="U1044" s="131"/>
      <c r="V1044" s="129">
        <f>Table432[[#This Row],[BALANCE]]-Table432[[#This Row],[RECIVED AMOUNT2]]</f>
        <v>23400</v>
      </c>
    </row>
    <row r="1045" spans="1:22" s="12" customFormat="1" ht="19.2" customHeight="1">
      <c r="A1045" s="128">
        <v>46239</v>
      </c>
      <c r="B1045" s="165" t="s">
        <v>1399</v>
      </c>
      <c r="C1045" s="131" t="s">
        <v>885</v>
      </c>
      <c r="D1045" s="131" t="s">
        <v>886</v>
      </c>
      <c r="E1045" s="131" t="s">
        <v>59</v>
      </c>
      <c r="F1045" s="136" t="s">
        <v>26</v>
      </c>
      <c r="G1045" s="136">
        <v>3808</v>
      </c>
      <c r="H1045" s="23">
        <v>0.18</v>
      </c>
      <c r="I1045" s="129">
        <v>2200</v>
      </c>
      <c r="J1045" s="129">
        <f t="shared" si="77"/>
        <v>198</v>
      </c>
      <c r="K1045" s="129">
        <f t="shared" si="78"/>
        <v>198</v>
      </c>
      <c r="L1045" s="130"/>
      <c r="M1045" s="130">
        <f>Table432[[#This Row],[Taxable Amount]]+Table432[[#This Row],[SGST]]+Table432[[#This Row],[CGST]]</f>
        <v>2596</v>
      </c>
      <c r="N1045" s="161">
        <f>Table432[[#This Row],[Taxable Amount]]*1%</f>
        <v>22</v>
      </c>
      <c r="O1045" s="132"/>
      <c r="P1045" s="135"/>
      <c r="Q1045" s="135"/>
      <c r="R1045" s="132"/>
      <c r="S1045" s="313">
        <f>Table432[[#This Row],[Invoice Amount]]-Table432[[#This Row],[TDS]]-Table432[[#This Row],[RECIVED AMOUNT]]</f>
        <v>2574</v>
      </c>
      <c r="T1045" s="131"/>
      <c r="U1045" s="131"/>
      <c r="V1045" s="129">
        <f>Table432[[#This Row],[BALANCE]]-Table432[[#This Row],[RECIVED AMOUNT2]]</f>
        <v>2574</v>
      </c>
    </row>
    <row r="1046" spans="1:22" s="12" customFormat="1" ht="19.2" customHeight="1">
      <c r="A1046" s="128">
        <v>46248</v>
      </c>
      <c r="B1046" s="165" t="s">
        <v>1400</v>
      </c>
      <c r="C1046" s="131" t="s">
        <v>1041</v>
      </c>
      <c r="D1046" s="131" t="s">
        <v>1042</v>
      </c>
      <c r="E1046" s="131" t="s">
        <v>1025</v>
      </c>
      <c r="F1046" s="136" t="s">
        <v>26</v>
      </c>
      <c r="G1046" s="136">
        <v>3808</v>
      </c>
      <c r="H1046" s="23">
        <v>0.18</v>
      </c>
      <c r="I1046" s="129">
        <v>4200</v>
      </c>
      <c r="J1046" s="129">
        <f t="shared" si="77"/>
        <v>378</v>
      </c>
      <c r="K1046" s="129">
        <f t="shared" si="78"/>
        <v>378</v>
      </c>
      <c r="L1046" s="130"/>
      <c r="M1046" s="130">
        <f>Table432[[#This Row],[Taxable Amount]]+Table432[[#This Row],[SGST]]+Table432[[#This Row],[CGST]]</f>
        <v>4956</v>
      </c>
      <c r="N1046" s="161">
        <f>Table432[[#This Row],[Taxable Amount]]*1%</f>
        <v>42</v>
      </c>
      <c r="O1046" s="132"/>
      <c r="P1046" s="135"/>
      <c r="Q1046" s="135"/>
      <c r="R1046" s="132"/>
      <c r="S1046" s="313">
        <f>Table432[[#This Row],[Invoice Amount]]-Table432[[#This Row],[TDS]]-Table432[[#This Row],[RECIVED AMOUNT]]</f>
        <v>4914</v>
      </c>
      <c r="T1046" s="131"/>
      <c r="U1046" s="131"/>
      <c r="V1046" s="129">
        <f>Table432[[#This Row],[BALANCE]]-Table432[[#This Row],[RECIVED AMOUNT2]]</f>
        <v>4914</v>
      </c>
    </row>
    <row r="1047" spans="1:22" s="12" customFormat="1" ht="19.2" customHeight="1">
      <c r="A1047" s="128">
        <v>46245</v>
      </c>
      <c r="B1047" s="165" t="s">
        <v>1442</v>
      </c>
      <c r="C1047" s="131" t="s">
        <v>765</v>
      </c>
      <c r="D1047" s="131" t="s">
        <v>766</v>
      </c>
      <c r="E1047" s="131" t="s">
        <v>89</v>
      </c>
      <c r="F1047" s="136" t="s">
        <v>26</v>
      </c>
      <c r="G1047" s="136">
        <v>3808</v>
      </c>
      <c r="H1047" s="23">
        <v>0.18</v>
      </c>
      <c r="I1047" s="129">
        <v>2700</v>
      </c>
      <c r="J1047" s="129">
        <f t="shared" si="77"/>
        <v>243</v>
      </c>
      <c r="K1047" s="129">
        <f t="shared" si="78"/>
        <v>243</v>
      </c>
      <c r="L1047" s="130"/>
      <c r="M1047" s="130">
        <f>Table432[[#This Row],[Taxable Amount]]+Table432[[#This Row],[SGST]]+Table432[[#This Row],[CGST]]</f>
        <v>3186</v>
      </c>
      <c r="N1047" s="161">
        <f>Table432[[#This Row],[Taxable Amount]]*1%</f>
        <v>27</v>
      </c>
      <c r="O1047" s="132"/>
      <c r="P1047" s="135">
        <v>3186</v>
      </c>
      <c r="Q1047" s="205">
        <v>46252</v>
      </c>
      <c r="R1047" s="132" t="s">
        <v>1469</v>
      </c>
      <c r="S1047" s="313">
        <f>Table432[[#This Row],[Invoice Amount]]-Table432[[#This Row],[TDS]]-Table432[[#This Row],[RECIVED AMOUNT]]</f>
        <v>-27</v>
      </c>
      <c r="T1047" s="131"/>
      <c r="U1047" s="131"/>
      <c r="V1047" s="129">
        <f>Table432[[#This Row],[BALANCE]]-Table432[[#This Row],[RECIVED AMOUNT2]]</f>
        <v>-27</v>
      </c>
    </row>
    <row r="1048" spans="1:22" s="12" customFormat="1" ht="19.2" customHeight="1">
      <c r="A1048" s="128">
        <v>46255</v>
      </c>
      <c r="B1048" s="165" t="s">
        <v>1443</v>
      </c>
      <c r="C1048" s="126" t="s">
        <v>762</v>
      </c>
      <c r="D1048" s="131" t="s">
        <v>763</v>
      </c>
      <c r="E1048" s="131" t="s">
        <v>85</v>
      </c>
      <c r="F1048" s="136" t="s">
        <v>26</v>
      </c>
      <c r="G1048" s="136">
        <v>3808</v>
      </c>
      <c r="H1048" s="23">
        <v>0.18</v>
      </c>
      <c r="I1048" s="129">
        <v>2000</v>
      </c>
      <c r="J1048" s="129">
        <f t="shared" si="77"/>
        <v>180</v>
      </c>
      <c r="K1048" s="129">
        <f t="shared" si="78"/>
        <v>180</v>
      </c>
      <c r="L1048" s="130"/>
      <c r="M1048" s="130">
        <f>Table432[[#This Row],[Taxable Amount]]+Table432[[#This Row],[SGST]]+Table432[[#This Row],[CGST]]</f>
        <v>2360</v>
      </c>
      <c r="N1048" s="161">
        <f>Table432[[#This Row],[Taxable Amount]]*1%</f>
        <v>20</v>
      </c>
      <c r="O1048" s="132"/>
      <c r="P1048" s="135"/>
      <c r="Q1048" s="135"/>
      <c r="R1048" s="132"/>
      <c r="S1048" s="313">
        <f>Table432[[#This Row],[Invoice Amount]]-Table432[[#This Row],[TDS]]-Table432[[#This Row],[RECIVED AMOUNT]]</f>
        <v>2340</v>
      </c>
      <c r="T1048" s="131"/>
      <c r="U1048" s="131"/>
      <c r="V1048" s="129">
        <f>Table432[[#This Row],[BALANCE]]-Table432[[#This Row],[RECIVED AMOUNT2]]</f>
        <v>2340</v>
      </c>
    </row>
    <row r="1049" spans="1:22" s="12" customFormat="1" ht="19.2" customHeight="1">
      <c r="A1049" s="128">
        <v>46255</v>
      </c>
      <c r="B1049" s="165" t="s">
        <v>1444</v>
      </c>
      <c r="C1049" s="131" t="s">
        <v>1445</v>
      </c>
      <c r="D1049" s="131" t="s">
        <v>1446</v>
      </c>
      <c r="E1049" s="131" t="s">
        <v>85</v>
      </c>
      <c r="F1049" s="136" t="s">
        <v>26</v>
      </c>
      <c r="G1049" s="136">
        <v>3808</v>
      </c>
      <c r="H1049" s="23">
        <v>0.18</v>
      </c>
      <c r="I1049" s="129">
        <v>2000</v>
      </c>
      <c r="J1049" s="129">
        <f t="shared" si="77"/>
        <v>180</v>
      </c>
      <c r="K1049" s="129">
        <f t="shared" si="78"/>
        <v>180</v>
      </c>
      <c r="L1049" s="130"/>
      <c r="M1049" s="130">
        <f>Table432[[#This Row],[Taxable Amount]]+Table432[[#This Row],[SGST]]+Table432[[#This Row],[CGST]]</f>
        <v>2360</v>
      </c>
      <c r="N1049" s="161">
        <f>Table432[[#This Row],[Taxable Amount]]*1%</f>
        <v>20</v>
      </c>
      <c r="O1049" s="132"/>
      <c r="P1049" s="135"/>
      <c r="Q1049" s="135"/>
      <c r="R1049" s="132"/>
      <c r="S1049" s="313">
        <f>Table432[[#This Row],[Invoice Amount]]-Table432[[#This Row],[TDS]]-Table432[[#This Row],[RECIVED AMOUNT]]</f>
        <v>2340</v>
      </c>
      <c r="T1049" s="131"/>
      <c r="U1049" s="131"/>
      <c r="V1049" s="129">
        <f>Table432[[#This Row],[BALANCE]]-Table432[[#This Row],[RECIVED AMOUNT2]]</f>
        <v>2340</v>
      </c>
    </row>
    <row r="1050" spans="1:22" s="12" customFormat="1" ht="19.2" customHeight="1">
      <c r="A1050" s="128">
        <v>46252</v>
      </c>
      <c r="B1050" s="165" t="s">
        <v>1447</v>
      </c>
      <c r="C1050" s="131" t="s">
        <v>720</v>
      </c>
      <c r="D1050" s="131" t="s">
        <v>721</v>
      </c>
      <c r="E1050" s="131" t="s">
        <v>722</v>
      </c>
      <c r="F1050" s="136" t="s">
        <v>26</v>
      </c>
      <c r="G1050" s="136">
        <v>3808</v>
      </c>
      <c r="H1050" s="23">
        <v>0.18</v>
      </c>
      <c r="I1050" s="129">
        <v>6500</v>
      </c>
      <c r="J1050" s="129">
        <f t="shared" si="77"/>
        <v>585</v>
      </c>
      <c r="K1050" s="129">
        <f t="shared" si="78"/>
        <v>585</v>
      </c>
      <c r="L1050" s="130"/>
      <c r="M1050" s="130">
        <f>Table432[[#This Row],[Taxable Amount]]+Table432[[#This Row],[SGST]]+Table432[[#This Row],[CGST]]</f>
        <v>7670</v>
      </c>
      <c r="N1050" s="161">
        <f>Table432[[#This Row],[Taxable Amount]]*1%</f>
        <v>65</v>
      </c>
      <c r="O1050" s="132"/>
      <c r="P1050" s="135"/>
      <c r="Q1050" s="135"/>
      <c r="R1050" s="132"/>
      <c r="S1050" s="313">
        <f>Table432[[#This Row],[Invoice Amount]]-Table432[[#This Row],[TDS]]-Table432[[#This Row],[RECIVED AMOUNT]]</f>
        <v>7605</v>
      </c>
      <c r="T1050" s="131"/>
      <c r="U1050" s="131"/>
      <c r="V1050" s="129">
        <f>Table432[[#This Row],[BALANCE]]-Table432[[#This Row],[RECIVED AMOUNT2]]</f>
        <v>7605</v>
      </c>
    </row>
    <row r="1051" spans="1:22" s="12" customFormat="1" ht="19.2" customHeight="1">
      <c r="A1051" s="128">
        <v>46259</v>
      </c>
      <c r="B1051" s="165" t="s">
        <v>1448</v>
      </c>
      <c r="C1051" s="131"/>
      <c r="D1051" s="131"/>
      <c r="E1051" s="131"/>
      <c r="F1051" s="136"/>
      <c r="G1051" s="136">
        <v>3808</v>
      </c>
      <c r="H1051" s="23">
        <v>0.18</v>
      </c>
      <c r="I1051" s="129"/>
      <c r="J1051" s="129">
        <f t="shared" si="77"/>
        <v>0</v>
      </c>
      <c r="K1051" s="129">
        <f t="shared" si="78"/>
        <v>0</v>
      </c>
      <c r="L1051" s="130"/>
      <c r="M1051" s="130">
        <f>Table432[[#This Row],[Taxable Amount]]+Table432[[#This Row],[SGST]]+Table432[[#This Row],[CGST]]</f>
        <v>0</v>
      </c>
      <c r="N1051" s="161">
        <f>Table432[[#This Row],[Taxable Amount]]*1%</f>
        <v>0</v>
      </c>
      <c r="O1051" s="132"/>
      <c r="P1051" s="135"/>
      <c r="Q1051" s="135"/>
      <c r="R1051" s="132"/>
      <c r="S1051" s="313">
        <f>Table432[[#This Row],[Invoice Amount]]-Table432[[#This Row],[TDS]]-Table432[[#This Row],[RECIVED AMOUNT]]</f>
        <v>0</v>
      </c>
      <c r="T1051" s="131"/>
      <c r="U1051" s="131"/>
      <c r="V1051" s="129">
        <f>Table432[[#This Row],[BALANCE]]-Table432[[#This Row],[RECIVED AMOUNT2]]</f>
        <v>0</v>
      </c>
    </row>
    <row r="1052" spans="1:22" s="12" customFormat="1" ht="19.2" customHeight="1">
      <c r="A1052" s="128">
        <v>46259</v>
      </c>
      <c r="B1052" s="165" t="s">
        <v>1449</v>
      </c>
      <c r="C1052" s="131" t="s">
        <v>637</v>
      </c>
      <c r="D1052" s="131" t="s">
        <v>638</v>
      </c>
      <c r="E1052" s="131" t="s">
        <v>629</v>
      </c>
      <c r="F1052" s="136" t="s">
        <v>26</v>
      </c>
      <c r="G1052" s="136">
        <v>3808</v>
      </c>
      <c r="H1052" s="23">
        <v>0.18</v>
      </c>
      <c r="I1052" s="129">
        <v>12400</v>
      </c>
      <c r="J1052" s="129">
        <f t="shared" ref="J1052" si="79">I1052*9/100</f>
        <v>1116</v>
      </c>
      <c r="K1052" s="129">
        <f t="shared" ref="K1052" si="80">I1052*9/100</f>
        <v>1116</v>
      </c>
      <c r="L1052" s="130"/>
      <c r="M1052" s="130">
        <f>Table432[[#This Row],[Taxable Amount]]+Table432[[#This Row],[SGST]]+Table432[[#This Row],[CGST]]</f>
        <v>14632</v>
      </c>
      <c r="N1052" s="161">
        <f>Table432[[#This Row],[Taxable Amount]]*1%</f>
        <v>124</v>
      </c>
      <c r="O1052" s="132"/>
      <c r="P1052" s="135"/>
      <c r="Q1052" s="135"/>
      <c r="R1052" s="132"/>
      <c r="S1052" s="313">
        <f>Table432[[#This Row],[Invoice Amount]]-Table432[[#This Row],[TDS]]-Table432[[#This Row],[RECIVED AMOUNT]]</f>
        <v>14508</v>
      </c>
      <c r="T1052" s="131"/>
      <c r="U1052" s="131"/>
      <c r="V1052" s="129">
        <f>Table432[[#This Row],[BALANCE]]-Table432[[#This Row],[RECIVED AMOUNT2]]</f>
        <v>14508</v>
      </c>
    </row>
    <row r="1053" spans="1:22" s="12" customFormat="1" ht="19.2" customHeight="1">
      <c r="A1053" s="128">
        <v>46259</v>
      </c>
      <c r="B1053" s="165" t="s">
        <v>1450</v>
      </c>
      <c r="C1053" s="131" t="s">
        <v>42</v>
      </c>
      <c r="D1053" s="131" t="s">
        <v>730</v>
      </c>
      <c r="E1053" s="131" t="s">
        <v>163</v>
      </c>
      <c r="F1053" s="136" t="s">
        <v>26</v>
      </c>
      <c r="G1053" s="136">
        <v>3808</v>
      </c>
      <c r="H1053" s="23">
        <v>0.18</v>
      </c>
      <c r="I1053" s="129">
        <v>67350</v>
      </c>
      <c r="J1053" s="129">
        <f t="shared" si="77"/>
        <v>6061.5</v>
      </c>
      <c r="K1053" s="129">
        <f t="shared" si="78"/>
        <v>6061.5</v>
      </c>
      <c r="L1053" s="130"/>
      <c r="M1053" s="130">
        <f>Table432[[#This Row],[Taxable Amount]]+Table432[[#This Row],[SGST]]+Table432[[#This Row],[CGST]]</f>
        <v>79473</v>
      </c>
      <c r="N1053" s="161">
        <f>Table432[[#This Row],[Taxable Amount]]*1%</f>
        <v>673.5</v>
      </c>
      <c r="O1053" s="132"/>
      <c r="P1053" s="135"/>
      <c r="Q1053" s="135"/>
      <c r="R1053" s="132"/>
      <c r="S1053" s="313">
        <f>Table432[[#This Row],[Invoice Amount]]-Table432[[#This Row],[TDS]]-Table432[[#This Row],[RECIVED AMOUNT]]</f>
        <v>78799.5</v>
      </c>
      <c r="T1053" s="131"/>
      <c r="U1053" s="131"/>
      <c r="V1053" s="129">
        <f>Table432[[#This Row],[BALANCE]]-Table432[[#This Row],[RECIVED AMOUNT2]]</f>
        <v>78799.5</v>
      </c>
    </row>
    <row r="1054" spans="1:22" s="12" customFormat="1" ht="19.2" customHeight="1">
      <c r="A1054" s="128">
        <v>46259</v>
      </c>
      <c r="B1054" s="165" t="s">
        <v>1459</v>
      </c>
      <c r="C1054" s="131" t="s">
        <v>42</v>
      </c>
      <c r="D1054" s="131" t="s">
        <v>730</v>
      </c>
      <c r="E1054" s="131" t="s">
        <v>101</v>
      </c>
      <c r="F1054" s="136" t="s">
        <v>26</v>
      </c>
      <c r="G1054" s="136">
        <v>3808</v>
      </c>
      <c r="H1054" s="23">
        <v>0.18</v>
      </c>
      <c r="I1054" s="129">
        <v>8075</v>
      </c>
      <c r="J1054" s="129">
        <f t="shared" ref="J1054" si="81">I1054*9/100</f>
        <v>726.75</v>
      </c>
      <c r="K1054" s="129">
        <f t="shared" ref="K1054" si="82">I1054*9/100</f>
        <v>726.75</v>
      </c>
      <c r="L1054" s="130"/>
      <c r="M1054" s="130">
        <f>Table432[[#This Row],[Taxable Amount]]+Table432[[#This Row],[SGST]]+Table432[[#This Row],[CGST]]</f>
        <v>9528.5</v>
      </c>
      <c r="N1054" s="161">
        <f>Table432[[#This Row],[Taxable Amount]]*1%</f>
        <v>80.75</v>
      </c>
      <c r="O1054" s="132"/>
      <c r="P1054" s="135"/>
      <c r="Q1054" s="135"/>
      <c r="R1054" s="132"/>
      <c r="S1054" s="313">
        <f>Table432[[#This Row],[Invoice Amount]]-Table432[[#This Row],[TDS]]-Table432[[#This Row],[RECIVED AMOUNT]]</f>
        <v>9447.75</v>
      </c>
      <c r="T1054" s="131"/>
      <c r="U1054" s="131"/>
      <c r="V1054" s="129">
        <f>Table432[[#This Row],[BALANCE]]-Table432[[#This Row],[RECIVED AMOUNT2]]</f>
        <v>9447.75</v>
      </c>
    </row>
    <row r="1055" spans="1:22" s="12" customFormat="1" ht="19.2" customHeight="1">
      <c r="A1055" s="128">
        <v>46259</v>
      </c>
      <c r="B1055" s="165" t="s">
        <v>1458</v>
      </c>
      <c r="C1055" s="131" t="s">
        <v>42</v>
      </c>
      <c r="D1055" s="131" t="s">
        <v>730</v>
      </c>
      <c r="E1055" s="131" t="s">
        <v>101</v>
      </c>
      <c r="F1055" s="136" t="s">
        <v>26</v>
      </c>
      <c r="G1055" s="136">
        <v>3808</v>
      </c>
      <c r="H1055" s="23">
        <v>0.18</v>
      </c>
      <c r="I1055" s="129">
        <v>19975</v>
      </c>
      <c r="J1055" s="129">
        <f t="shared" ref="J1055:J1056" si="83">I1055*9/100</f>
        <v>1797.75</v>
      </c>
      <c r="K1055" s="129">
        <f t="shared" ref="K1055:K1056" si="84">I1055*9/100</f>
        <v>1797.75</v>
      </c>
      <c r="L1055" s="130"/>
      <c r="M1055" s="130">
        <f>Table432[[#This Row],[Taxable Amount]]+Table432[[#This Row],[SGST]]+Table432[[#This Row],[CGST]]</f>
        <v>23570.5</v>
      </c>
      <c r="N1055" s="161">
        <f>Table432[[#This Row],[Taxable Amount]]*1%</f>
        <v>199.75</v>
      </c>
      <c r="O1055" s="132"/>
      <c r="P1055" s="135"/>
      <c r="Q1055" s="135"/>
      <c r="R1055" s="132"/>
      <c r="S1055" s="313">
        <f>Table432[[#This Row],[Invoice Amount]]-Table432[[#This Row],[TDS]]-Table432[[#This Row],[RECIVED AMOUNT]]</f>
        <v>23370.75</v>
      </c>
      <c r="T1055" s="131"/>
      <c r="U1055" s="131"/>
      <c r="V1055" s="129">
        <f>Table432[[#This Row],[BALANCE]]-Table432[[#This Row],[RECIVED AMOUNT2]]</f>
        <v>23370.75</v>
      </c>
    </row>
    <row r="1056" spans="1:22" s="12" customFormat="1" ht="19.2" customHeight="1">
      <c r="A1056" s="128">
        <v>46259</v>
      </c>
      <c r="B1056" s="546" t="s">
        <v>1471</v>
      </c>
      <c r="C1056" s="131" t="s">
        <v>42</v>
      </c>
      <c r="D1056" s="131" t="s">
        <v>730</v>
      </c>
      <c r="E1056" s="131" t="s">
        <v>101</v>
      </c>
      <c r="F1056" s="136" t="s">
        <v>26</v>
      </c>
      <c r="G1056" s="136">
        <v>3808</v>
      </c>
      <c r="H1056" s="23">
        <v>0.18</v>
      </c>
      <c r="I1056" s="129">
        <v>6325</v>
      </c>
      <c r="J1056" s="129">
        <f t="shared" si="83"/>
        <v>569.25</v>
      </c>
      <c r="K1056" s="129">
        <f t="shared" si="84"/>
        <v>569.25</v>
      </c>
      <c r="L1056" s="130"/>
      <c r="M1056" s="130">
        <f>Table432[[#This Row],[Taxable Amount]]+Table432[[#This Row],[SGST]]+Table432[[#This Row],[CGST]]</f>
        <v>7463.5</v>
      </c>
      <c r="N1056" s="161">
        <f>Table432[[#This Row],[Taxable Amount]]*1%</f>
        <v>63.25</v>
      </c>
      <c r="O1056" s="132"/>
      <c r="P1056" s="135"/>
      <c r="Q1056" s="135"/>
      <c r="R1056" s="132"/>
      <c r="S1056" s="313">
        <f>Table432[[#This Row],[Invoice Amount]]-Table432[[#This Row],[TDS]]-Table432[[#This Row],[RECIVED AMOUNT]]</f>
        <v>7400.25</v>
      </c>
      <c r="T1056" s="131"/>
      <c r="U1056" s="131"/>
      <c r="V1056" s="129">
        <f>Table432[[#This Row],[BALANCE]]-Table432[[#This Row],[RECIVED AMOUNT2]]</f>
        <v>7400.25</v>
      </c>
    </row>
    <row r="1057" spans="1:22" s="12" customFormat="1" ht="19.2" customHeight="1">
      <c r="A1057" s="128">
        <v>46259</v>
      </c>
      <c r="B1057" s="165" t="s">
        <v>1451</v>
      </c>
      <c r="C1057" s="131" t="s">
        <v>42</v>
      </c>
      <c r="D1057" s="131" t="s">
        <v>730</v>
      </c>
      <c r="E1057" s="131" t="s">
        <v>953</v>
      </c>
      <c r="F1057" s="136" t="s">
        <v>26</v>
      </c>
      <c r="G1057" s="136">
        <v>3808</v>
      </c>
      <c r="H1057" s="23">
        <v>0.18</v>
      </c>
      <c r="I1057" s="129">
        <v>20907</v>
      </c>
      <c r="J1057" s="129">
        <f t="shared" si="77"/>
        <v>1881.63</v>
      </c>
      <c r="K1057" s="129">
        <f t="shared" si="78"/>
        <v>1881.63</v>
      </c>
      <c r="L1057" s="130"/>
      <c r="M1057" s="130">
        <f>Table432[[#This Row],[Taxable Amount]]+Table432[[#This Row],[SGST]]+Table432[[#This Row],[CGST]]</f>
        <v>24670.260000000002</v>
      </c>
      <c r="N1057" s="161">
        <f>Table432[[#This Row],[Taxable Amount]]*1%</f>
        <v>209.07</v>
      </c>
      <c r="O1057" s="132"/>
      <c r="P1057" s="135"/>
      <c r="Q1057" s="135"/>
      <c r="R1057" s="132"/>
      <c r="S1057" s="313">
        <f>Table432[[#This Row],[Invoice Amount]]-Table432[[#This Row],[TDS]]-Table432[[#This Row],[RECIVED AMOUNT]]</f>
        <v>24461.190000000002</v>
      </c>
      <c r="T1057" s="131"/>
      <c r="U1057" s="131"/>
      <c r="V1057" s="129">
        <f>Table432[[#This Row],[BALANCE]]-Table432[[#This Row],[RECIVED AMOUNT2]]</f>
        <v>24461.190000000002</v>
      </c>
    </row>
    <row r="1058" spans="1:22" s="12" customFormat="1" ht="19.2" customHeight="1">
      <c r="A1058" s="128">
        <v>46259</v>
      </c>
      <c r="B1058" s="165" t="s">
        <v>1452</v>
      </c>
      <c r="C1058" s="131" t="s">
        <v>234</v>
      </c>
      <c r="D1058" s="131" t="s">
        <v>235</v>
      </c>
      <c r="E1058" s="131" t="s">
        <v>236</v>
      </c>
      <c r="F1058" s="136" t="s">
        <v>26</v>
      </c>
      <c r="G1058" s="136">
        <v>3808</v>
      </c>
      <c r="H1058" s="23">
        <v>0.18</v>
      </c>
      <c r="I1058" s="129">
        <v>12600</v>
      </c>
      <c r="J1058" s="129">
        <f t="shared" si="77"/>
        <v>1134</v>
      </c>
      <c r="K1058" s="129">
        <f t="shared" si="78"/>
        <v>1134</v>
      </c>
      <c r="L1058" s="130"/>
      <c r="M1058" s="130">
        <f>Table432[[#This Row],[Taxable Amount]]+Table432[[#This Row],[SGST]]+Table432[[#This Row],[CGST]]</f>
        <v>14868</v>
      </c>
      <c r="N1058" s="161">
        <f>Table432[[#This Row],[Taxable Amount]]*1%</f>
        <v>126</v>
      </c>
      <c r="O1058" s="132"/>
      <c r="P1058" s="135"/>
      <c r="Q1058" s="135"/>
      <c r="R1058" s="132"/>
      <c r="S1058" s="313">
        <f>Table432[[#This Row],[Invoice Amount]]-Table432[[#This Row],[TDS]]-Table432[[#This Row],[RECIVED AMOUNT]]</f>
        <v>14742</v>
      </c>
      <c r="T1058" s="131"/>
      <c r="U1058" s="131"/>
      <c r="V1058" s="129">
        <f>Table432[[#This Row],[BALANCE]]-Table432[[#This Row],[RECIVED AMOUNT2]]</f>
        <v>14742</v>
      </c>
    </row>
    <row r="1059" spans="1:22" s="12" customFormat="1" ht="19.2" customHeight="1">
      <c r="A1059" s="128">
        <v>46265</v>
      </c>
      <c r="B1059" s="165" t="s">
        <v>1453</v>
      </c>
      <c r="C1059" s="131" t="s">
        <v>116</v>
      </c>
      <c r="D1059" s="131" t="s">
        <v>117</v>
      </c>
      <c r="E1059" s="131" t="s">
        <v>59</v>
      </c>
      <c r="F1059" s="136" t="s">
        <v>26</v>
      </c>
      <c r="G1059" s="136">
        <v>3808</v>
      </c>
      <c r="H1059" s="23">
        <v>0.18</v>
      </c>
      <c r="I1059" s="129">
        <v>20540</v>
      </c>
      <c r="J1059" s="129">
        <f t="shared" si="77"/>
        <v>1848.6</v>
      </c>
      <c r="K1059" s="129">
        <f t="shared" si="78"/>
        <v>1848.6</v>
      </c>
      <c r="L1059" s="130"/>
      <c r="M1059" s="130">
        <f>Table432[[#This Row],[Taxable Amount]]+Table432[[#This Row],[SGST]]+Table432[[#This Row],[CGST]]</f>
        <v>24237.199999999997</v>
      </c>
      <c r="N1059" s="161">
        <f>Table432[[#This Row],[Taxable Amount]]*1%</f>
        <v>205.4</v>
      </c>
      <c r="O1059" s="132"/>
      <c r="P1059" s="135"/>
      <c r="Q1059" s="135"/>
      <c r="R1059" s="132"/>
      <c r="S1059" s="313">
        <f>Table432[[#This Row],[Invoice Amount]]-Table432[[#This Row],[TDS]]-Table432[[#This Row],[RECIVED AMOUNT]]</f>
        <v>24031.799999999996</v>
      </c>
      <c r="T1059" s="131"/>
      <c r="U1059" s="131"/>
      <c r="V1059" s="129">
        <f>Table432[[#This Row],[BALANCE]]-Table432[[#This Row],[RECIVED AMOUNT2]]</f>
        <v>24031.799999999996</v>
      </c>
    </row>
    <row r="1060" spans="1:22" s="12" customFormat="1" ht="19.2" customHeight="1">
      <c r="A1060" s="128">
        <v>46265</v>
      </c>
      <c r="B1060" s="165" t="s">
        <v>1454</v>
      </c>
      <c r="C1060" s="131" t="s">
        <v>290</v>
      </c>
      <c r="D1060" s="131" t="s">
        <v>291</v>
      </c>
      <c r="E1060" s="131" t="s">
        <v>25</v>
      </c>
      <c r="F1060" s="136" t="s">
        <v>26</v>
      </c>
      <c r="G1060" s="136">
        <v>3808</v>
      </c>
      <c r="H1060" s="23">
        <v>0.18</v>
      </c>
      <c r="I1060" s="129">
        <v>4500</v>
      </c>
      <c r="J1060" s="129">
        <f t="shared" si="77"/>
        <v>405</v>
      </c>
      <c r="K1060" s="129">
        <f t="shared" si="78"/>
        <v>405</v>
      </c>
      <c r="L1060" s="130"/>
      <c r="M1060" s="130">
        <f>Table432[[#This Row],[Taxable Amount]]+Table432[[#This Row],[SGST]]+Table432[[#This Row],[CGST]]</f>
        <v>5310</v>
      </c>
      <c r="N1060" s="161">
        <f>Table432[[#This Row],[Taxable Amount]]*1%</f>
        <v>45</v>
      </c>
      <c r="O1060" s="132"/>
      <c r="P1060" s="135"/>
      <c r="Q1060" s="135"/>
      <c r="R1060" s="132"/>
      <c r="S1060" s="313">
        <f>Table432[[#This Row],[Invoice Amount]]-Table432[[#This Row],[TDS]]-Table432[[#This Row],[RECIVED AMOUNT]]</f>
        <v>5265</v>
      </c>
      <c r="T1060" s="131"/>
      <c r="U1060" s="131"/>
      <c r="V1060" s="129">
        <f>Table432[[#This Row],[BALANCE]]-Table432[[#This Row],[RECIVED AMOUNT2]]</f>
        <v>5265</v>
      </c>
    </row>
    <row r="1061" spans="1:22" s="12" customFormat="1" ht="19.2" customHeight="1">
      <c r="A1061" s="128">
        <v>46265</v>
      </c>
      <c r="B1061" s="165" t="s">
        <v>1455</v>
      </c>
      <c r="C1061" s="131" t="s">
        <v>390</v>
      </c>
      <c r="D1061" s="131" t="s">
        <v>391</v>
      </c>
      <c r="E1061" s="131" t="s">
        <v>260</v>
      </c>
      <c r="F1061" s="136" t="s">
        <v>26</v>
      </c>
      <c r="G1061" s="136">
        <v>3808</v>
      </c>
      <c r="H1061" s="23">
        <v>0.18</v>
      </c>
      <c r="I1061" s="129">
        <v>1205.1600000000001</v>
      </c>
      <c r="J1061" s="129">
        <f t="shared" si="77"/>
        <v>108.46440000000001</v>
      </c>
      <c r="K1061" s="129">
        <f t="shared" si="78"/>
        <v>108.46440000000001</v>
      </c>
      <c r="L1061" s="130"/>
      <c r="M1061" s="130">
        <f>Table432[[#This Row],[Taxable Amount]]+Table432[[#This Row],[SGST]]+Table432[[#This Row],[CGST]]</f>
        <v>1422.0888000000002</v>
      </c>
      <c r="N1061" s="161">
        <f>Table432[[#This Row],[Taxable Amount]]*1%</f>
        <v>12.051600000000001</v>
      </c>
      <c r="O1061" s="132"/>
      <c r="P1061" s="135"/>
      <c r="Q1061" s="135"/>
      <c r="R1061" s="132"/>
      <c r="S1061" s="313">
        <f>Table432[[#This Row],[Invoice Amount]]-Table432[[#This Row],[TDS]]-Table432[[#This Row],[RECIVED AMOUNT]]</f>
        <v>1410.0372000000002</v>
      </c>
      <c r="T1061" s="131"/>
      <c r="U1061" s="131"/>
      <c r="V1061" s="129">
        <f>Table432[[#This Row],[BALANCE]]-Table432[[#This Row],[RECIVED AMOUNT2]]</f>
        <v>1410.0372000000002</v>
      </c>
    </row>
    <row r="1062" spans="1:22" s="12" customFormat="1" ht="19.2" customHeight="1">
      <c r="A1062" s="128">
        <v>46265</v>
      </c>
      <c r="B1062" s="165" t="s">
        <v>1456</v>
      </c>
      <c r="C1062" s="131" t="s">
        <v>390</v>
      </c>
      <c r="D1062" s="131" t="s">
        <v>391</v>
      </c>
      <c r="E1062" s="131" t="s">
        <v>260</v>
      </c>
      <c r="F1062" s="136" t="s">
        <v>26</v>
      </c>
      <c r="G1062" s="136">
        <v>3808</v>
      </c>
      <c r="H1062" s="23">
        <v>0.18</v>
      </c>
      <c r="I1062" s="129">
        <v>1448.35</v>
      </c>
      <c r="J1062" s="129">
        <f t="shared" si="77"/>
        <v>130.35149999999999</v>
      </c>
      <c r="K1062" s="129">
        <f t="shared" si="78"/>
        <v>130.35149999999999</v>
      </c>
      <c r="L1062" s="130"/>
      <c r="M1062" s="130">
        <f>Table432[[#This Row],[Taxable Amount]]+Table432[[#This Row],[SGST]]+Table432[[#This Row],[CGST]]</f>
        <v>1709.0529999999999</v>
      </c>
      <c r="N1062" s="161">
        <f>Table432[[#This Row],[Taxable Amount]]*1%</f>
        <v>14.483499999999999</v>
      </c>
      <c r="O1062" s="132"/>
      <c r="P1062" s="135"/>
      <c r="Q1062" s="135"/>
      <c r="R1062" s="132"/>
      <c r="S1062" s="313">
        <f>Table432[[#This Row],[Invoice Amount]]-Table432[[#This Row],[TDS]]-Table432[[#This Row],[RECIVED AMOUNT]]</f>
        <v>1694.5694999999998</v>
      </c>
      <c r="T1062" s="131"/>
      <c r="U1062" s="131"/>
      <c r="V1062" s="129">
        <f>Table432[[#This Row],[BALANCE]]-Table432[[#This Row],[RECIVED AMOUNT2]]</f>
        <v>1694.5694999999998</v>
      </c>
    </row>
    <row r="1063" spans="1:22" s="12" customFormat="1" ht="19.2" customHeight="1">
      <c r="A1063" s="128">
        <v>46265</v>
      </c>
      <c r="B1063" s="165" t="s">
        <v>1457</v>
      </c>
      <c r="C1063" s="131" t="s">
        <v>390</v>
      </c>
      <c r="D1063" s="131" t="s">
        <v>391</v>
      </c>
      <c r="E1063" s="131" t="s">
        <v>260</v>
      </c>
      <c r="F1063" s="136" t="s">
        <v>26</v>
      </c>
      <c r="G1063" s="136">
        <v>3808</v>
      </c>
      <c r="H1063" s="23">
        <v>0.18</v>
      </c>
      <c r="I1063" s="129">
        <v>2008.6</v>
      </c>
      <c r="J1063" s="129">
        <f t="shared" si="77"/>
        <v>180.77399999999997</v>
      </c>
      <c r="K1063" s="129">
        <f t="shared" si="78"/>
        <v>180.77399999999997</v>
      </c>
      <c r="L1063" s="130"/>
      <c r="M1063" s="130">
        <f>Table432[[#This Row],[Taxable Amount]]+Table432[[#This Row],[SGST]]+Table432[[#This Row],[CGST]]</f>
        <v>2370.1479999999997</v>
      </c>
      <c r="N1063" s="161">
        <f>Table432[[#This Row],[Taxable Amount]]*1%</f>
        <v>20.085999999999999</v>
      </c>
      <c r="O1063" s="132"/>
      <c r="P1063" s="135"/>
      <c r="Q1063" s="135"/>
      <c r="R1063" s="132"/>
      <c r="S1063" s="313">
        <f>Table432[[#This Row],[Invoice Amount]]-Table432[[#This Row],[TDS]]-Table432[[#This Row],[RECIVED AMOUNT]]</f>
        <v>2350.0619999999999</v>
      </c>
      <c r="T1063" s="131"/>
      <c r="U1063" s="131"/>
      <c r="V1063" s="129">
        <f>Table432[[#This Row],[BALANCE]]-Table432[[#This Row],[RECIVED AMOUNT2]]</f>
        <v>2350.0619999999999</v>
      </c>
    </row>
    <row r="1064" spans="1:22" s="12" customFormat="1" ht="19.2" customHeight="1">
      <c r="A1064" s="128">
        <v>46265</v>
      </c>
      <c r="B1064" s="165" t="s">
        <v>1460</v>
      </c>
      <c r="C1064" s="131" t="s">
        <v>390</v>
      </c>
      <c r="D1064" s="131" t="s">
        <v>391</v>
      </c>
      <c r="E1064" s="131" t="s">
        <v>260</v>
      </c>
      <c r="F1064" s="136" t="s">
        <v>26</v>
      </c>
      <c r="G1064" s="136">
        <v>3808</v>
      </c>
      <c r="H1064" s="23">
        <v>0.18</v>
      </c>
      <c r="I1064" s="129">
        <v>1035.8399999999999</v>
      </c>
      <c r="J1064" s="129">
        <f t="shared" si="77"/>
        <v>93.2256</v>
      </c>
      <c r="K1064" s="129">
        <f t="shared" si="78"/>
        <v>93.2256</v>
      </c>
      <c r="L1064" s="130"/>
      <c r="M1064" s="130">
        <f>Table432[[#This Row],[Taxable Amount]]+Table432[[#This Row],[SGST]]+Table432[[#This Row],[CGST]]</f>
        <v>1222.2911999999999</v>
      </c>
      <c r="N1064" s="161">
        <f>Table432[[#This Row],[Taxable Amount]]*1%</f>
        <v>10.3584</v>
      </c>
      <c r="O1064" s="132"/>
      <c r="P1064" s="135"/>
      <c r="Q1064" s="135"/>
      <c r="R1064" s="132"/>
      <c r="S1064" s="313">
        <f>Table432[[#This Row],[Invoice Amount]]-Table432[[#This Row],[TDS]]-Table432[[#This Row],[RECIVED AMOUNT]]</f>
        <v>1211.9327999999998</v>
      </c>
      <c r="T1064" s="131"/>
      <c r="U1064" s="131"/>
      <c r="V1064" s="129">
        <f>Table432[[#This Row],[BALANCE]]-Table432[[#This Row],[RECIVED AMOUNT2]]</f>
        <v>1211.9327999999998</v>
      </c>
    </row>
    <row r="1065" spans="1:22" s="12" customFormat="1" ht="19.2" customHeight="1">
      <c r="A1065" s="128">
        <v>46265</v>
      </c>
      <c r="B1065" s="165" t="s">
        <v>1461</v>
      </c>
      <c r="C1065" s="131" t="s">
        <v>390</v>
      </c>
      <c r="D1065" s="131" t="s">
        <v>391</v>
      </c>
      <c r="E1065" s="131" t="s">
        <v>260</v>
      </c>
      <c r="F1065" s="136" t="s">
        <v>26</v>
      </c>
      <c r="G1065" s="136">
        <v>3808</v>
      </c>
      <c r="H1065" s="23">
        <v>0.18</v>
      </c>
      <c r="I1065" s="129">
        <v>972.76</v>
      </c>
      <c r="J1065" s="129">
        <f t="shared" si="77"/>
        <v>87.548400000000001</v>
      </c>
      <c r="K1065" s="129">
        <f t="shared" si="78"/>
        <v>87.548400000000001</v>
      </c>
      <c r="L1065" s="130"/>
      <c r="M1065" s="130">
        <f>Table432[[#This Row],[Taxable Amount]]+Table432[[#This Row],[SGST]]+Table432[[#This Row],[CGST]]</f>
        <v>1147.8567999999998</v>
      </c>
      <c r="N1065" s="161">
        <f>Table432[[#This Row],[Taxable Amount]]*1%</f>
        <v>9.7276000000000007</v>
      </c>
      <c r="O1065" s="132"/>
      <c r="P1065" s="135"/>
      <c r="Q1065" s="135"/>
      <c r="R1065" s="132"/>
      <c r="S1065" s="313">
        <f>Table432[[#This Row],[Invoice Amount]]-Table432[[#This Row],[TDS]]-Table432[[#This Row],[RECIVED AMOUNT]]</f>
        <v>1138.1291999999999</v>
      </c>
      <c r="T1065" s="131"/>
      <c r="U1065" s="131"/>
      <c r="V1065" s="129">
        <f>Table432[[#This Row],[BALANCE]]-Table432[[#This Row],[RECIVED AMOUNT2]]</f>
        <v>1138.1291999999999</v>
      </c>
    </row>
    <row r="1066" spans="1:22" s="12" customFormat="1" ht="19.2" customHeight="1">
      <c r="A1066" s="128">
        <v>46265</v>
      </c>
      <c r="B1066" s="165" t="s">
        <v>1462</v>
      </c>
      <c r="C1066" s="131" t="s">
        <v>390</v>
      </c>
      <c r="D1066" s="131" t="s">
        <v>391</v>
      </c>
      <c r="E1066" s="131" t="s">
        <v>260</v>
      </c>
      <c r="F1066" s="136" t="s">
        <v>26</v>
      </c>
      <c r="G1066" s="136">
        <v>3808</v>
      </c>
      <c r="H1066" s="23">
        <v>0.18</v>
      </c>
      <c r="I1066" s="129">
        <v>930.43</v>
      </c>
      <c r="J1066" s="129">
        <f t="shared" si="77"/>
        <v>83.738699999999994</v>
      </c>
      <c r="K1066" s="129">
        <f t="shared" si="78"/>
        <v>83.738699999999994</v>
      </c>
      <c r="L1066" s="130"/>
      <c r="M1066" s="130">
        <f>Table432[[#This Row],[Taxable Amount]]+Table432[[#This Row],[SGST]]+Table432[[#This Row],[CGST]]</f>
        <v>1097.9074000000001</v>
      </c>
      <c r="N1066" s="161">
        <f>Table432[[#This Row],[Taxable Amount]]*1%</f>
        <v>9.3042999999999996</v>
      </c>
      <c r="O1066" s="132"/>
      <c r="P1066" s="135"/>
      <c r="Q1066" s="135"/>
      <c r="R1066" s="132"/>
      <c r="S1066" s="313">
        <f>Table432[[#This Row],[Invoice Amount]]-Table432[[#This Row],[TDS]]-Table432[[#This Row],[RECIVED AMOUNT]]</f>
        <v>1088.6031</v>
      </c>
      <c r="T1066" s="131"/>
      <c r="U1066" s="131"/>
      <c r="V1066" s="129">
        <f>Table432[[#This Row],[BALANCE]]-Table432[[#This Row],[RECIVED AMOUNT2]]</f>
        <v>1088.6031</v>
      </c>
    </row>
    <row r="1067" spans="1:22" s="12" customFormat="1" ht="19.2" customHeight="1">
      <c r="A1067" s="128">
        <v>46265</v>
      </c>
      <c r="B1067" s="165" t="s">
        <v>1463</v>
      </c>
      <c r="C1067" s="131" t="s">
        <v>390</v>
      </c>
      <c r="D1067" s="131" t="s">
        <v>391</v>
      </c>
      <c r="E1067" s="131" t="s">
        <v>260</v>
      </c>
      <c r="F1067" s="136" t="s">
        <v>26</v>
      </c>
      <c r="G1067" s="136">
        <v>3808</v>
      </c>
      <c r="H1067" s="23">
        <v>0.18</v>
      </c>
      <c r="I1067" s="129">
        <v>698.86</v>
      </c>
      <c r="J1067" s="129">
        <f t="shared" si="77"/>
        <v>62.897399999999998</v>
      </c>
      <c r="K1067" s="129">
        <f t="shared" si="78"/>
        <v>62.897399999999998</v>
      </c>
      <c r="L1067" s="130"/>
      <c r="M1067" s="130">
        <f>Table432[[#This Row],[Taxable Amount]]+Table432[[#This Row],[SGST]]+Table432[[#This Row],[CGST]]</f>
        <v>824.65479999999991</v>
      </c>
      <c r="N1067" s="161">
        <f>Table432[[#This Row],[Taxable Amount]]*1%</f>
        <v>6.9885999999999999</v>
      </c>
      <c r="O1067" s="132"/>
      <c r="P1067" s="135"/>
      <c r="Q1067" s="135"/>
      <c r="R1067" s="132"/>
      <c r="S1067" s="313">
        <f>Table432[[#This Row],[Invoice Amount]]-Table432[[#This Row],[TDS]]-Table432[[#This Row],[RECIVED AMOUNT]]</f>
        <v>817.66619999999989</v>
      </c>
      <c r="T1067" s="131"/>
      <c r="U1067" s="131"/>
      <c r="V1067" s="129">
        <f>Table432[[#This Row],[BALANCE]]-Table432[[#This Row],[RECIVED AMOUNT2]]</f>
        <v>817.66619999999989</v>
      </c>
    </row>
    <row r="1068" spans="1:22" s="12" customFormat="1" ht="19.2" customHeight="1">
      <c r="A1068" s="128">
        <v>46265</v>
      </c>
      <c r="B1068" s="165" t="s">
        <v>1464</v>
      </c>
      <c r="C1068" s="131" t="s">
        <v>372</v>
      </c>
      <c r="D1068" s="131" t="s">
        <v>794</v>
      </c>
      <c r="E1068" s="131" t="s">
        <v>374</v>
      </c>
      <c r="F1068" s="136" t="s">
        <v>26</v>
      </c>
      <c r="G1068" s="136">
        <v>3808</v>
      </c>
      <c r="H1068" s="23">
        <v>0.18</v>
      </c>
      <c r="I1068" s="129">
        <v>2500</v>
      </c>
      <c r="J1068" s="129">
        <f t="shared" si="77"/>
        <v>225</v>
      </c>
      <c r="K1068" s="129">
        <f t="shared" si="78"/>
        <v>225</v>
      </c>
      <c r="L1068" s="130"/>
      <c r="M1068" s="130">
        <f>Table432[[#This Row],[Taxable Amount]]+Table432[[#This Row],[SGST]]+Table432[[#This Row],[CGST]]</f>
        <v>2950</v>
      </c>
      <c r="N1068" s="161">
        <f>Table432[[#This Row],[Taxable Amount]]*1%</f>
        <v>25</v>
      </c>
      <c r="O1068" s="132"/>
      <c r="P1068" s="135"/>
      <c r="Q1068" s="135"/>
      <c r="R1068" s="132"/>
      <c r="S1068" s="313">
        <f>Table432[[#This Row],[Invoice Amount]]-Table432[[#This Row],[TDS]]-Table432[[#This Row],[RECIVED AMOUNT]]</f>
        <v>2925</v>
      </c>
      <c r="T1068" s="131"/>
      <c r="U1068" s="131"/>
      <c r="V1068" s="129">
        <f>Table432[[#This Row],[BALANCE]]-Table432[[#This Row],[RECIVED AMOUNT2]]</f>
        <v>2925</v>
      </c>
    </row>
    <row r="1069" spans="1:22" s="12" customFormat="1" ht="19.2" customHeight="1">
      <c r="A1069" s="128">
        <v>46265</v>
      </c>
      <c r="B1069" s="165" t="s">
        <v>1465</v>
      </c>
      <c r="C1069" s="131" t="s">
        <v>372</v>
      </c>
      <c r="D1069" s="131" t="s">
        <v>794</v>
      </c>
      <c r="E1069" s="131" t="s">
        <v>374</v>
      </c>
      <c r="F1069" s="136" t="s">
        <v>26</v>
      </c>
      <c r="G1069" s="136">
        <v>3808</v>
      </c>
      <c r="H1069" s="23">
        <v>0.18</v>
      </c>
      <c r="I1069" s="129">
        <v>2500</v>
      </c>
      <c r="J1069" s="129">
        <f t="shared" si="77"/>
        <v>225</v>
      </c>
      <c r="K1069" s="129">
        <f t="shared" si="78"/>
        <v>225</v>
      </c>
      <c r="L1069" s="130"/>
      <c r="M1069" s="130">
        <f>Table432[[#This Row],[Taxable Amount]]+Table432[[#This Row],[SGST]]+Table432[[#This Row],[CGST]]</f>
        <v>2950</v>
      </c>
      <c r="N1069" s="161">
        <f>Table432[[#This Row],[Taxable Amount]]*1%</f>
        <v>25</v>
      </c>
      <c r="O1069" s="132"/>
      <c r="P1069" s="135"/>
      <c r="Q1069" s="135"/>
      <c r="R1069" s="132"/>
      <c r="S1069" s="313">
        <f>Table432[[#This Row],[Invoice Amount]]-Table432[[#This Row],[TDS]]-Table432[[#This Row],[RECIVED AMOUNT]]</f>
        <v>2925</v>
      </c>
      <c r="T1069" s="131"/>
      <c r="U1069" s="131"/>
      <c r="V1069" s="129">
        <f>Table432[[#This Row],[BALANCE]]-Table432[[#This Row],[RECIVED AMOUNT2]]</f>
        <v>2925</v>
      </c>
    </row>
    <row r="1070" spans="1:22" s="12" customFormat="1" ht="19.2" customHeight="1">
      <c r="A1070" s="128">
        <v>46265</v>
      </c>
      <c r="B1070" s="165" t="s">
        <v>1466</v>
      </c>
      <c r="C1070" s="131" t="s">
        <v>981</v>
      </c>
      <c r="D1070" s="131" t="s">
        <v>982</v>
      </c>
      <c r="E1070" s="131" t="s">
        <v>1053</v>
      </c>
      <c r="F1070" s="136" t="s">
        <v>26</v>
      </c>
      <c r="G1070" s="136">
        <v>3808</v>
      </c>
      <c r="H1070" s="23">
        <v>0.18</v>
      </c>
      <c r="I1070" s="129">
        <v>14450</v>
      </c>
      <c r="J1070" s="129">
        <f t="shared" si="77"/>
        <v>1300.5</v>
      </c>
      <c r="K1070" s="129">
        <f t="shared" si="78"/>
        <v>1300.5</v>
      </c>
      <c r="L1070" s="130"/>
      <c r="M1070" s="130">
        <f>Table432[[#This Row],[Taxable Amount]]+Table432[[#This Row],[SGST]]+Table432[[#This Row],[CGST]]</f>
        <v>17051</v>
      </c>
      <c r="N1070" s="161">
        <f>Table432[[#This Row],[Taxable Amount]]*1%</f>
        <v>144.5</v>
      </c>
      <c r="O1070" s="132"/>
      <c r="P1070" s="135"/>
      <c r="Q1070" s="135"/>
      <c r="R1070" s="132"/>
      <c r="S1070" s="313">
        <f>Table432[[#This Row],[Invoice Amount]]-Table432[[#This Row],[TDS]]-Table432[[#This Row],[RECIVED AMOUNT]]</f>
        <v>16906.5</v>
      </c>
      <c r="T1070" s="131"/>
      <c r="U1070" s="131"/>
      <c r="V1070" s="129">
        <f>Table432[[#This Row],[BALANCE]]-Table432[[#This Row],[RECIVED AMOUNT2]]</f>
        <v>16906.5</v>
      </c>
    </row>
    <row r="1071" spans="1:22" s="12" customFormat="1" ht="19.2" customHeight="1">
      <c r="A1071" s="132"/>
      <c r="B1071" s="165" t="s">
        <v>1467</v>
      </c>
      <c r="C1071" s="131"/>
      <c r="D1071" s="131"/>
      <c r="E1071" s="131"/>
      <c r="F1071" s="136"/>
      <c r="G1071" s="136">
        <v>3808</v>
      </c>
      <c r="H1071" s="23">
        <v>0.18</v>
      </c>
      <c r="I1071" s="129"/>
      <c r="J1071" s="129">
        <f t="shared" si="77"/>
        <v>0</v>
      </c>
      <c r="K1071" s="129">
        <f t="shared" si="78"/>
        <v>0</v>
      </c>
      <c r="L1071" s="130"/>
      <c r="M1071" s="130">
        <f>Table432[[#This Row],[Taxable Amount]]+Table432[[#This Row],[SGST]]+Table432[[#This Row],[CGST]]</f>
        <v>0</v>
      </c>
      <c r="N1071" s="161">
        <f>Table432[[#This Row],[Taxable Amount]]*1%</f>
        <v>0</v>
      </c>
      <c r="O1071" s="132"/>
      <c r="P1071" s="135"/>
      <c r="Q1071" s="135"/>
      <c r="R1071" s="132"/>
      <c r="S1071" s="313">
        <f>Table432[[#This Row],[Invoice Amount]]-Table432[[#This Row],[TDS]]-Table432[[#This Row],[RECIVED AMOUNT]]</f>
        <v>0</v>
      </c>
      <c r="T1071" s="131"/>
      <c r="U1071" s="131"/>
      <c r="V1071" s="129">
        <f>Table432[[#This Row],[BALANCE]]-Table432[[#This Row],[RECIVED AMOUNT2]]</f>
        <v>0</v>
      </c>
    </row>
    <row r="1072" spans="1:22" s="12" customFormat="1" ht="19.2" customHeight="1">
      <c r="A1072" s="132"/>
      <c r="B1072" s="165" t="s">
        <v>1468</v>
      </c>
      <c r="C1072" s="131"/>
      <c r="D1072" s="131"/>
      <c r="E1072" s="131"/>
      <c r="F1072" s="136"/>
      <c r="G1072" s="136">
        <v>3808</v>
      </c>
      <c r="H1072" s="23">
        <v>0.18</v>
      </c>
      <c r="I1072" s="129"/>
      <c r="J1072" s="129">
        <f t="shared" si="77"/>
        <v>0</v>
      </c>
      <c r="K1072" s="129">
        <f t="shared" si="78"/>
        <v>0</v>
      </c>
      <c r="L1072" s="130"/>
      <c r="M1072" s="130">
        <f>Table432[[#This Row],[Taxable Amount]]+Table432[[#This Row],[SGST]]+Table432[[#This Row],[CGST]]</f>
        <v>0</v>
      </c>
      <c r="N1072" s="161">
        <f>Table432[[#This Row],[Taxable Amount]]*1%</f>
        <v>0</v>
      </c>
      <c r="O1072" s="132"/>
      <c r="P1072" s="135"/>
      <c r="Q1072" s="135"/>
      <c r="R1072" s="132"/>
      <c r="S1072" s="313">
        <f>Table432[[#This Row],[Invoice Amount]]-Table432[[#This Row],[TDS]]-Table432[[#This Row],[RECIVED AMOUNT]]</f>
        <v>0</v>
      </c>
      <c r="T1072" s="131"/>
      <c r="U1072" s="131"/>
      <c r="V1072" s="129">
        <f>Table432[[#This Row],[BALANCE]]-Table432[[#This Row],[RECIVED AMOUNT2]]</f>
        <v>0</v>
      </c>
    </row>
    <row r="1073" spans="1:22" s="12" customFormat="1" ht="19.2" customHeight="1">
      <c r="A1073" s="132"/>
      <c r="B1073" s="131"/>
      <c r="C1073" s="131"/>
      <c r="D1073" s="131"/>
      <c r="E1073" s="131"/>
      <c r="F1073" s="136"/>
      <c r="G1073" s="136">
        <v>3808</v>
      </c>
      <c r="H1073" s="23">
        <v>0.18</v>
      </c>
      <c r="I1073" s="129"/>
      <c r="J1073" s="129">
        <f t="shared" si="77"/>
        <v>0</v>
      </c>
      <c r="K1073" s="129">
        <f t="shared" si="78"/>
        <v>0</v>
      </c>
      <c r="L1073" s="130"/>
      <c r="M1073" s="130">
        <f>Table432[[#This Row],[Taxable Amount]]+Table432[[#This Row],[SGST]]+Table432[[#This Row],[CGST]]</f>
        <v>0</v>
      </c>
      <c r="N1073" s="161">
        <f>Table432[[#This Row],[Taxable Amount]]*1%</f>
        <v>0</v>
      </c>
      <c r="O1073" s="132"/>
      <c r="P1073" s="135"/>
      <c r="Q1073" s="135"/>
      <c r="R1073" s="132"/>
      <c r="S1073" s="313">
        <f>Table432[[#This Row],[Invoice Amount]]-Table432[[#This Row],[TDS]]-Table432[[#This Row],[RECIVED AMOUNT]]</f>
        <v>0</v>
      </c>
      <c r="T1073" s="131"/>
      <c r="U1073" s="131"/>
      <c r="V1073" s="129">
        <f>Table432[[#This Row],[BALANCE]]-Table432[[#This Row],[RECIVED AMOUNT2]]</f>
        <v>0</v>
      </c>
    </row>
    <row r="1074" spans="1:22" s="12" customFormat="1" ht="19.2" customHeight="1">
      <c r="A1074" s="132"/>
      <c r="B1074" s="131"/>
      <c r="C1074" s="131"/>
      <c r="D1074" s="131"/>
      <c r="E1074" s="131"/>
      <c r="F1074" s="136"/>
      <c r="G1074" s="136">
        <v>3808</v>
      </c>
      <c r="H1074" s="23">
        <v>0.18</v>
      </c>
      <c r="I1074" s="129"/>
      <c r="J1074" s="129">
        <f t="shared" si="77"/>
        <v>0</v>
      </c>
      <c r="K1074" s="129">
        <f t="shared" si="78"/>
        <v>0</v>
      </c>
      <c r="L1074" s="130"/>
      <c r="M1074" s="130">
        <f>Table432[[#This Row],[Taxable Amount]]+Table432[[#This Row],[SGST]]+Table432[[#This Row],[CGST]]</f>
        <v>0</v>
      </c>
      <c r="N1074" s="161">
        <f>Table432[[#This Row],[Taxable Amount]]*1%</f>
        <v>0</v>
      </c>
      <c r="O1074" s="132"/>
      <c r="P1074" s="135"/>
      <c r="Q1074" s="135"/>
      <c r="R1074" s="132"/>
      <c r="S1074" s="313">
        <f>Table432[[#This Row],[Invoice Amount]]-Table432[[#This Row],[TDS]]-Table432[[#This Row],[RECIVED AMOUNT]]</f>
        <v>0</v>
      </c>
      <c r="T1074" s="131"/>
      <c r="U1074" s="131"/>
      <c r="V1074" s="129">
        <f>Table432[[#This Row],[BALANCE]]-Table432[[#This Row],[RECIVED AMOUNT2]]</f>
        <v>0</v>
      </c>
    </row>
    <row r="1075" spans="1:22" s="12" customFormat="1" ht="19.2" customHeight="1">
      <c r="A1075" s="132"/>
      <c r="B1075" s="131"/>
      <c r="C1075" s="131"/>
      <c r="D1075" s="131"/>
      <c r="E1075" s="131"/>
      <c r="F1075" s="136"/>
      <c r="G1075" s="136">
        <v>3808</v>
      </c>
      <c r="H1075" s="23">
        <v>0.18</v>
      </c>
      <c r="I1075" s="129"/>
      <c r="J1075" s="129">
        <f t="shared" si="77"/>
        <v>0</v>
      </c>
      <c r="K1075" s="129">
        <f t="shared" si="78"/>
        <v>0</v>
      </c>
      <c r="L1075" s="130"/>
      <c r="M1075" s="130">
        <f>Table432[[#This Row],[Taxable Amount]]+Table432[[#This Row],[SGST]]+Table432[[#This Row],[CGST]]</f>
        <v>0</v>
      </c>
      <c r="N1075" s="161">
        <f>Table432[[#This Row],[Taxable Amount]]*1%</f>
        <v>0</v>
      </c>
      <c r="O1075" s="132"/>
      <c r="P1075" s="135"/>
      <c r="Q1075" s="135"/>
      <c r="R1075" s="132"/>
      <c r="S1075" s="313">
        <f>Table432[[#This Row],[Invoice Amount]]-Table432[[#This Row],[TDS]]-Table432[[#This Row],[RECIVED AMOUNT]]</f>
        <v>0</v>
      </c>
      <c r="T1075" s="131"/>
      <c r="U1075" s="131"/>
      <c r="V1075" s="129">
        <f>Table432[[#This Row],[BALANCE]]-Table432[[#This Row],[RECIVED AMOUNT2]]</f>
        <v>0</v>
      </c>
    </row>
    <row r="1076" spans="1:22" s="12" customFormat="1" ht="19.2" customHeight="1">
      <c r="A1076" s="132"/>
      <c r="B1076" s="131"/>
      <c r="C1076" s="131"/>
      <c r="D1076" s="131"/>
      <c r="E1076" s="131"/>
      <c r="F1076" s="136"/>
      <c r="G1076" s="136">
        <v>3808</v>
      </c>
      <c r="H1076" s="23">
        <v>0.18</v>
      </c>
      <c r="I1076" s="129"/>
      <c r="J1076" s="129">
        <f t="shared" si="77"/>
        <v>0</v>
      </c>
      <c r="K1076" s="129">
        <f t="shared" si="78"/>
        <v>0</v>
      </c>
      <c r="L1076" s="130"/>
      <c r="M1076" s="130">
        <f>Table432[[#This Row],[Taxable Amount]]+Table432[[#This Row],[SGST]]+Table432[[#This Row],[CGST]]</f>
        <v>0</v>
      </c>
      <c r="N1076" s="161">
        <f>Table432[[#This Row],[Taxable Amount]]*1%</f>
        <v>0</v>
      </c>
      <c r="O1076" s="132"/>
      <c r="P1076" s="135"/>
      <c r="Q1076" s="135"/>
      <c r="R1076" s="132"/>
      <c r="S1076" s="313">
        <f>Table432[[#This Row],[Invoice Amount]]-Table432[[#This Row],[TDS]]-Table432[[#This Row],[RECIVED AMOUNT]]</f>
        <v>0</v>
      </c>
      <c r="T1076" s="131"/>
      <c r="U1076" s="131"/>
      <c r="V1076" s="129">
        <f>Table432[[#This Row],[BALANCE]]-Table432[[#This Row],[RECIVED AMOUNT2]]</f>
        <v>0</v>
      </c>
    </row>
    <row r="1077" spans="1:22" s="12" customFormat="1" ht="19.2" customHeight="1">
      <c r="A1077" s="132"/>
      <c r="B1077" s="131"/>
      <c r="C1077" s="131"/>
      <c r="D1077" s="131"/>
      <c r="E1077" s="131"/>
      <c r="F1077" s="136"/>
      <c r="G1077" s="136">
        <v>3808</v>
      </c>
      <c r="H1077" s="23">
        <v>0.18</v>
      </c>
      <c r="I1077" s="129"/>
      <c r="J1077" s="129">
        <f t="shared" si="77"/>
        <v>0</v>
      </c>
      <c r="K1077" s="129">
        <f t="shared" si="78"/>
        <v>0</v>
      </c>
      <c r="L1077" s="130"/>
      <c r="M1077" s="130">
        <f>Table432[[#This Row],[Taxable Amount]]+Table432[[#This Row],[SGST]]+Table432[[#This Row],[CGST]]</f>
        <v>0</v>
      </c>
      <c r="N1077" s="161">
        <f>Table432[[#This Row],[Taxable Amount]]*1%</f>
        <v>0</v>
      </c>
      <c r="O1077" s="132"/>
      <c r="P1077" s="135"/>
      <c r="Q1077" s="135"/>
      <c r="R1077" s="132"/>
      <c r="S1077" s="313">
        <f>Table432[[#This Row],[Invoice Amount]]-Table432[[#This Row],[TDS]]-Table432[[#This Row],[RECIVED AMOUNT]]</f>
        <v>0</v>
      </c>
      <c r="T1077" s="131"/>
      <c r="U1077" s="131"/>
      <c r="V1077" s="129">
        <f>Table432[[#This Row],[BALANCE]]-Table432[[#This Row],[RECIVED AMOUNT2]]</f>
        <v>0</v>
      </c>
    </row>
    <row r="1078" spans="1:22" s="12" customFormat="1" ht="19.2" customHeight="1">
      <c r="A1078" s="132"/>
      <c r="B1078" s="131"/>
      <c r="C1078" s="131"/>
      <c r="D1078" s="131"/>
      <c r="E1078" s="131"/>
      <c r="F1078" s="136"/>
      <c r="G1078" s="136">
        <v>3808</v>
      </c>
      <c r="H1078" s="23">
        <v>0.18</v>
      </c>
      <c r="I1078" s="129"/>
      <c r="J1078" s="129">
        <f t="shared" si="77"/>
        <v>0</v>
      </c>
      <c r="K1078" s="129">
        <f t="shared" si="78"/>
        <v>0</v>
      </c>
      <c r="L1078" s="130"/>
      <c r="M1078" s="130">
        <f>Table432[[#This Row],[Taxable Amount]]+Table432[[#This Row],[SGST]]+Table432[[#This Row],[CGST]]</f>
        <v>0</v>
      </c>
      <c r="N1078" s="161">
        <f>Table432[[#This Row],[Taxable Amount]]*1%</f>
        <v>0</v>
      </c>
      <c r="O1078" s="132"/>
      <c r="P1078" s="135"/>
      <c r="Q1078" s="135"/>
      <c r="R1078" s="132"/>
      <c r="S1078" s="313">
        <f>Table432[[#This Row],[Invoice Amount]]-Table432[[#This Row],[TDS]]-Table432[[#This Row],[RECIVED AMOUNT]]</f>
        <v>0</v>
      </c>
      <c r="T1078" s="131"/>
      <c r="U1078" s="131"/>
      <c r="V1078" s="129">
        <f>Table432[[#This Row],[BALANCE]]-Table432[[#This Row],[RECIVED AMOUNT2]]</f>
        <v>0</v>
      </c>
    </row>
    <row r="1079" spans="1:22" s="12" customFormat="1" ht="19.2" customHeight="1">
      <c r="A1079" s="132"/>
      <c r="B1079" s="131"/>
      <c r="C1079" s="131"/>
      <c r="D1079" s="131"/>
      <c r="E1079" s="131"/>
      <c r="F1079" s="136"/>
      <c r="G1079" s="136">
        <v>3808</v>
      </c>
      <c r="H1079" s="23">
        <v>0.18</v>
      </c>
      <c r="I1079" s="129"/>
      <c r="J1079" s="129">
        <f t="shared" si="77"/>
        <v>0</v>
      </c>
      <c r="K1079" s="129">
        <f t="shared" si="78"/>
        <v>0</v>
      </c>
      <c r="L1079" s="130"/>
      <c r="M1079" s="130">
        <f>Table432[[#This Row],[Taxable Amount]]+Table432[[#This Row],[SGST]]+Table432[[#This Row],[CGST]]</f>
        <v>0</v>
      </c>
      <c r="N1079" s="161">
        <f>Table432[[#This Row],[Taxable Amount]]*1%</f>
        <v>0</v>
      </c>
      <c r="O1079" s="132"/>
      <c r="P1079" s="135"/>
      <c r="Q1079" s="135"/>
      <c r="R1079" s="132"/>
      <c r="S1079" s="313">
        <f>Table432[[#This Row],[Invoice Amount]]-Table432[[#This Row],[TDS]]-Table432[[#This Row],[RECIVED AMOUNT]]</f>
        <v>0</v>
      </c>
      <c r="T1079" s="131"/>
      <c r="U1079" s="131"/>
      <c r="V1079" s="129">
        <f>Table432[[#This Row],[BALANCE]]-Table432[[#This Row],[RECIVED AMOUNT2]]</f>
        <v>0</v>
      </c>
    </row>
    <row r="1080" spans="1:22" s="12" customFormat="1" ht="19.2" customHeight="1">
      <c r="A1080" s="132"/>
      <c r="B1080" s="131"/>
      <c r="C1080" s="131"/>
      <c r="D1080" s="131"/>
      <c r="E1080" s="131"/>
      <c r="F1080" s="136"/>
      <c r="G1080" s="136">
        <v>3808</v>
      </c>
      <c r="H1080" s="23">
        <v>0.18</v>
      </c>
      <c r="I1080" s="129"/>
      <c r="J1080" s="129">
        <f t="shared" si="77"/>
        <v>0</v>
      </c>
      <c r="K1080" s="129">
        <f t="shared" si="78"/>
        <v>0</v>
      </c>
      <c r="L1080" s="130"/>
      <c r="M1080" s="130">
        <f>Table432[[#This Row],[Taxable Amount]]+Table432[[#This Row],[SGST]]+Table432[[#This Row],[CGST]]</f>
        <v>0</v>
      </c>
      <c r="N1080" s="161">
        <f>Table432[[#This Row],[Taxable Amount]]*1%</f>
        <v>0</v>
      </c>
      <c r="O1080" s="132"/>
      <c r="P1080" s="135"/>
      <c r="Q1080" s="135"/>
      <c r="R1080" s="132"/>
      <c r="S1080" s="313">
        <f>Table432[[#This Row],[Invoice Amount]]-Table432[[#This Row],[TDS]]-Table432[[#This Row],[RECIVED AMOUNT]]</f>
        <v>0</v>
      </c>
      <c r="T1080" s="131"/>
      <c r="U1080" s="131"/>
      <c r="V1080" s="129">
        <f>Table432[[#This Row],[BALANCE]]-Table432[[#This Row],[RECIVED AMOUNT2]]</f>
        <v>0</v>
      </c>
    </row>
    <row r="1081" spans="1:22" s="12" customFormat="1" ht="19.2" customHeight="1">
      <c r="A1081" s="132"/>
      <c r="B1081" s="131"/>
      <c r="C1081" s="131"/>
      <c r="D1081" s="131"/>
      <c r="E1081" s="131"/>
      <c r="F1081" s="136"/>
      <c r="G1081" s="136">
        <v>3808</v>
      </c>
      <c r="H1081" s="23">
        <v>0.18</v>
      </c>
      <c r="I1081" s="129"/>
      <c r="J1081" s="129">
        <f t="shared" si="77"/>
        <v>0</v>
      </c>
      <c r="K1081" s="129">
        <f t="shared" si="78"/>
        <v>0</v>
      </c>
      <c r="L1081" s="130"/>
      <c r="M1081" s="130">
        <f>Table432[[#This Row],[Taxable Amount]]+Table432[[#This Row],[SGST]]+Table432[[#This Row],[CGST]]</f>
        <v>0</v>
      </c>
      <c r="N1081" s="161">
        <f>Table432[[#This Row],[Taxable Amount]]*1%</f>
        <v>0</v>
      </c>
      <c r="O1081" s="132"/>
      <c r="P1081" s="135"/>
      <c r="Q1081" s="135"/>
      <c r="R1081" s="132"/>
      <c r="S1081" s="313">
        <f>Table432[[#This Row],[Invoice Amount]]-Table432[[#This Row],[TDS]]-Table432[[#This Row],[RECIVED AMOUNT]]</f>
        <v>0</v>
      </c>
      <c r="T1081" s="131"/>
      <c r="U1081" s="131"/>
      <c r="V1081" s="129">
        <f>Table432[[#This Row],[BALANCE]]-Table432[[#This Row],[RECIVED AMOUNT2]]</f>
        <v>0</v>
      </c>
    </row>
    <row r="1082" spans="1:22" s="12" customFormat="1" ht="19.2" customHeight="1">
      <c r="A1082" s="132"/>
      <c r="B1082" s="131"/>
      <c r="C1082" s="131"/>
      <c r="D1082" s="131"/>
      <c r="E1082" s="131"/>
      <c r="F1082" s="136"/>
      <c r="G1082" s="136">
        <v>3808</v>
      </c>
      <c r="H1082" s="23">
        <v>0.18</v>
      </c>
      <c r="I1082" s="129"/>
      <c r="J1082" s="129">
        <f t="shared" si="77"/>
        <v>0</v>
      </c>
      <c r="K1082" s="129">
        <f t="shared" si="78"/>
        <v>0</v>
      </c>
      <c r="L1082" s="130"/>
      <c r="M1082" s="130">
        <f>Table432[[#This Row],[Taxable Amount]]+Table432[[#This Row],[SGST]]+Table432[[#This Row],[CGST]]</f>
        <v>0</v>
      </c>
      <c r="N1082" s="161">
        <f>Table432[[#This Row],[Taxable Amount]]*1%</f>
        <v>0</v>
      </c>
      <c r="O1082" s="132"/>
      <c r="P1082" s="135"/>
      <c r="Q1082" s="135"/>
      <c r="R1082" s="132"/>
      <c r="S1082" s="313">
        <f>Table432[[#This Row],[Invoice Amount]]-Table432[[#This Row],[TDS]]-Table432[[#This Row],[RECIVED AMOUNT]]</f>
        <v>0</v>
      </c>
      <c r="T1082" s="131"/>
      <c r="U1082" s="131"/>
      <c r="V1082" s="129">
        <f>Table432[[#This Row],[BALANCE]]-Table432[[#This Row],[RECIVED AMOUNT2]]</f>
        <v>0</v>
      </c>
    </row>
    <row r="1083" spans="1:22" s="12" customFormat="1" ht="19.2" customHeight="1">
      <c r="A1083" s="132"/>
      <c r="B1083" s="131"/>
      <c r="C1083" s="131"/>
      <c r="D1083" s="131"/>
      <c r="E1083" s="131"/>
      <c r="F1083" s="136"/>
      <c r="G1083" s="136">
        <v>3808</v>
      </c>
      <c r="H1083" s="23">
        <v>0.18</v>
      </c>
      <c r="I1083" s="129"/>
      <c r="J1083" s="129">
        <f t="shared" si="77"/>
        <v>0</v>
      </c>
      <c r="K1083" s="129">
        <f t="shared" si="78"/>
        <v>0</v>
      </c>
      <c r="L1083" s="130"/>
      <c r="M1083" s="130">
        <f>Table432[[#This Row],[Taxable Amount]]+Table432[[#This Row],[SGST]]+Table432[[#This Row],[CGST]]</f>
        <v>0</v>
      </c>
      <c r="N1083" s="161">
        <f>Table432[[#This Row],[Taxable Amount]]*1%</f>
        <v>0</v>
      </c>
      <c r="O1083" s="132"/>
      <c r="P1083" s="135"/>
      <c r="Q1083" s="135"/>
      <c r="R1083" s="132"/>
      <c r="S1083" s="313">
        <f>Table432[[#This Row],[Invoice Amount]]-Table432[[#This Row],[TDS]]-Table432[[#This Row],[RECIVED AMOUNT]]</f>
        <v>0</v>
      </c>
      <c r="T1083" s="131"/>
      <c r="U1083" s="131"/>
      <c r="V1083" s="129">
        <f>Table432[[#This Row],[BALANCE]]-Table432[[#This Row],[RECIVED AMOUNT2]]</f>
        <v>0</v>
      </c>
    </row>
    <row r="1084" spans="1:22" s="12" customFormat="1" ht="19.2" customHeight="1">
      <c r="A1084" s="132"/>
      <c r="B1084" s="131"/>
      <c r="C1084" s="131"/>
      <c r="D1084" s="131"/>
      <c r="E1084" s="131"/>
      <c r="F1084" s="136"/>
      <c r="G1084" s="136">
        <v>3808</v>
      </c>
      <c r="H1084" s="23">
        <v>0.18</v>
      </c>
      <c r="I1084" s="129"/>
      <c r="J1084" s="129">
        <f t="shared" si="77"/>
        <v>0</v>
      </c>
      <c r="K1084" s="129">
        <f t="shared" si="78"/>
        <v>0</v>
      </c>
      <c r="L1084" s="130"/>
      <c r="M1084" s="130">
        <f>Table432[[#This Row],[Taxable Amount]]+Table432[[#This Row],[SGST]]+Table432[[#This Row],[CGST]]</f>
        <v>0</v>
      </c>
      <c r="N1084" s="161">
        <f>Table432[[#This Row],[Taxable Amount]]*1%</f>
        <v>0</v>
      </c>
      <c r="O1084" s="132"/>
      <c r="P1084" s="135"/>
      <c r="Q1084" s="135"/>
      <c r="R1084" s="132"/>
      <c r="S1084" s="313">
        <f>Table432[[#This Row],[Invoice Amount]]-Table432[[#This Row],[TDS]]-Table432[[#This Row],[RECIVED AMOUNT]]</f>
        <v>0</v>
      </c>
      <c r="T1084" s="131"/>
      <c r="U1084" s="131"/>
      <c r="V1084" s="129">
        <f>Table432[[#This Row],[BALANCE]]-Table432[[#This Row],[RECIVED AMOUNT2]]</f>
        <v>0</v>
      </c>
    </row>
    <row r="1085" spans="1:22" s="12" customFormat="1" ht="19.2" customHeight="1">
      <c r="A1085" s="132"/>
      <c r="B1085" s="131"/>
      <c r="C1085" s="131"/>
      <c r="D1085" s="131"/>
      <c r="E1085" s="131"/>
      <c r="F1085" s="136"/>
      <c r="G1085" s="136">
        <v>3808</v>
      </c>
      <c r="H1085" s="23">
        <v>0.18</v>
      </c>
      <c r="I1085" s="129"/>
      <c r="J1085" s="129">
        <f t="shared" si="77"/>
        <v>0</v>
      </c>
      <c r="K1085" s="129">
        <f t="shared" si="78"/>
        <v>0</v>
      </c>
      <c r="L1085" s="130"/>
      <c r="M1085" s="130">
        <f>Table432[[#This Row],[Taxable Amount]]+Table432[[#This Row],[SGST]]+Table432[[#This Row],[CGST]]</f>
        <v>0</v>
      </c>
      <c r="N1085" s="161">
        <f>Table432[[#This Row],[Taxable Amount]]*1%</f>
        <v>0</v>
      </c>
      <c r="O1085" s="132"/>
      <c r="P1085" s="135"/>
      <c r="Q1085" s="135"/>
      <c r="R1085" s="132"/>
      <c r="S1085" s="313">
        <f>Table432[[#This Row],[Invoice Amount]]-Table432[[#This Row],[TDS]]-Table432[[#This Row],[RECIVED AMOUNT]]</f>
        <v>0</v>
      </c>
      <c r="T1085" s="131"/>
      <c r="U1085" s="131"/>
      <c r="V1085" s="129">
        <f>Table432[[#This Row],[BALANCE]]-Table432[[#This Row],[RECIVED AMOUNT2]]</f>
        <v>0</v>
      </c>
    </row>
    <row r="1086" spans="1:22" s="12" customFormat="1" ht="19.2" customHeight="1">
      <c r="A1086" s="132"/>
      <c r="B1086" s="131"/>
      <c r="C1086" s="131"/>
      <c r="D1086" s="131"/>
      <c r="E1086" s="131"/>
      <c r="F1086" s="136"/>
      <c r="G1086" s="136">
        <v>3808</v>
      </c>
      <c r="H1086" s="23">
        <v>0.18</v>
      </c>
      <c r="I1086" s="129"/>
      <c r="J1086" s="129">
        <f t="shared" si="77"/>
        <v>0</v>
      </c>
      <c r="K1086" s="129">
        <f t="shared" si="78"/>
        <v>0</v>
      </c>
      <c r="L1086" s="130"/>
      <c r="M1086" s="130">
        <f>Table432[[#This Row],[Taxable Amount]]+Table432[[#This Row],[SGST]]+Table432[[#This Row],[CGST]]</f>
        <v>0</v>
      </c>
      <c r="N1086" s="161">
        <f>Table432[[#This Row],[Taxable Amount]]*1%</f>
        <v>0</v>
      </c>
      <c r="O1086" s="132"/>
      <c r="P1086" s="135"/>
      <c r="Q1086" s="135"/>
      <c r="R1086" s="132"/>
      <c r="S1086" s="313">
        <f>Table432[[#This Row],[Invoice Amount]]-Table432[[#This Row],[TDS]]-Table432[[#This Row],[RECIVED AMOUNT]]</f>
        <v>0</v>
      </c>
      <c r="T1086" s="131"/>
      <c r="U1086" s="131"/>
      <c r="V1086" s="129">
        <f>Table432[[#This Row],[BALANCE]]-Table432[[#This Row],[RECIVED AMOUNT2]]</f>
        <v>0</v>
      </c>
    </row>
    <row r="1087" spans="1:22" s="12" customFormat="1" ht="19.2" customHeight="1">
      <c r="A1087" s="132"/>
      <c r="B1087" s="131"/>
      <c r="C1087" s="131"/>
      <c r="D1087" s="131"/>
      <c r="E1087" s="131"/>
      <c r="F1087" s="136"/>
      <c r="G1087" s="136">
        <v>3808</v>
      </c>
      <c r="H1087" s="23">
        <v>0.18</v>
      </c>
      <c r="I1087" s="129"/>
      <c r="J1087" s="129">
        <f t="shared" si="77"/>
        <v>0</v>
      </c>
      <c r="K1087" s="129">
        <f t="shared" si="78"/>
        <v>0</v>
      </c>
      <c r="L1087" s="130"/>
      <c r="M1087" s="130">
        <f>Table432[[#This Row],[Taxable Amount]]+Table432[[#This Row],[SGST]]+Table432[[#This Row],[CGST]]</f>
        <v>0</v>
      </c>
      <c r="N1087" s="161">
        <f>Table432[[#This Row],[Taxable Amount]]*1%</f>
        <v>0</v>
      </c>
      <c r="O1087" s="132"/>
      <c r="P1087" s="135"/>
      <c r="Q1087" s="135"/>
      <c r="R1087" s="132"/>
      <c r="S1087" s="313">
        <f>Table432[[#This Row],[Invoice Amount]]-Table432[[#This Row],[TDS]]-Table432[[#This Row],[RECIVED AMOUNT]]</f>
        <v>0</v>
      </c>
      <c r="T1087" s="131"/>
      <c r="U1087" s="131"/>
      <c r="V1087" s="129">
        <f>Table432[[#This Row],[BALANCE]]-Table432[[#This Row],[RECIVED AMOUNT2]]</f>
        <v>0</v>
      </c>
    </row>
    <row r="1088" spans="1:22" s="12" customFormat="1" ht="19.2" customHeight="1">
      <c r="A1088" s="132"/>
      <c r="B1088" s="131"/>
      <c r="C1088" s="131"/>
      <c r="D1088" s="131"/>
      <c r="E1088" s="131"/>
      <c r="F1088" s="136"/>
      <c r="G1088" s="136">
        <v>3808</v>
      </c>
      <c r="H1088" s="23">
        <v>0.18</v>
      </c>
      <c r="I1088" s="129"/>
      <c r="J1088" s="129">
        <f t="shared" si="77"/>
        <v>0</v>
      </c>
      <c r="K1088" s="129">
        <f t="shared" si="78"/>
        <v>0</v>
      </c>
      <c r="L1088" s="130"/>
      <c r="M1088" s="130">
        <f>Table432[[#This Row],[Taxable Amount]]+Table432[[#This Row],[SGST]]+Table432[[#This Row],[CGST]]</f>
        <v>0</v>
      </c>
      <c r="N1088" s="161">
        <f>Table432[[#This Row],[Taxable Amount]]*1%</f>
        <v>0</v>
      </c>
      <c r="O1088" s="132"/>
      <c r="P1088" s="135"/>
      <c r="Q1088" s="135"/>
      <c r="R1088" s="132"/>
      <c r="S1088" s="313">
        <f>Table432[[#This Row],[Invoice Amount]]-Table432[[#This Row],[TDS]]-Table432[[#This Row],[RECIVED AMOUNT]]</f>
        <v>0</v>
      </c>
      <c r="T1088" s="131"/>
      <c r="U1088" s="131"/>
      <c r="V1088" s="129">
        <f>Table432[[#This Row],[BALANCE]]-Table432[[#This Row],[RECIVED AMOUNT2]]</f>
        <v>0</v>
      </c>
    </row>
    <row r="1089" spans="1:22" s="12" customFormat="1" ht="19.2" customHeight="1">
      <c r="A1089" s="132"/>
      <c r="B1089" s="131"/>
      <c r="C1089" s="131"/>
      <c r="D1089" s="131"/>
      <c r="E1089" s="131"/>
      <c r="F1089" s="136"/>
      <c r="G1089" s="136">
        <v>3808</v>
      </c>
      <c r="H1089" s="23">
        <v>0.18</v>
      </c>
      <c r="I1089" s="129"/>
      <c r="J1089" s="129">
        <f t="shared" si="77"/>
        <v>0</v>
      </c>
      <c r="K1089" s="129">
        <f t="shared" si="78"/>
        <v>0</v>
      </c>
      <c r="L1089" s="130"/>
      <c r="M1089" s="130">
        <f>Table432[[#This Row],[Taxable Amount]]+Table432[[#This Row],[SGST]]+Table432[[#This Row],[CGST]]</f>
        <v>0</v>
      </c>
      <c r="N1089" s="161">
        <f>Table432[[#This Row],[Taxable Amount]]*1%</f>
        <v>0</v>
      </c>
      <c r="O1089" s="132"/>
      <c r="P1089" s="135"/>
      <c r="Q1089" s="135"/>
      <c r="R1089" s="132"/>
      <c r="S1089" s="313">
        <f>Table432[[#This Row],[Invoice Amount]]-Table432[[#This Row],[TDS]]-Table432[[#This Row],[RECIVED AMOUNT]]</f>
        <v>0</v>
      </c>
      <c r="T1089" s="131"/>
      <c r="U1089" s="131"/>
      <c r="V1089" s="129">
        <f>Table432[[#This Row],[BALANCE]]-Table432[[#This Row],[RECIVED AMOUNT2]]</f>
        <v>0</v>
      </c>
    </row>
    <row r="1090" spans="1:22" s="12" customFormat="1" ht="19.2" customHeight="1">
      <c r="A1090" s="132"/>
      <c r="B1090" s="131"/>
      <c r="C1090" s="131"/>
      <c r="D1090" s="131"/>
      <c r="E1090" s="131"/>
      <c r="F1090" s="136"/>
      <c r="G1090" s="136">
        <v>3808</v>
      </c>
      <c r="H1090" s="23">
        <v>0.18</v>
      </c>
      <c r="I1090" s="129"/>
      <c r="J1090" s="129">
        <f t="shared" si="77"/>
        <v>0</v>
      </c>
      <c r="K1090" s="129">
        <f t="shared" si="78"/>
        <v>0</v>
      </c>
      <c r="L1090" s="130"/>
      <c r="M1090" s="130">
        <f>Table432[[#This Row],[Taxable Amount]]+Table432[[#This Row],[SGST]]+Table432[[#This Row],[CGST]]</f>
        <v>0</v>
      </c>
      <c r="N1090" s="161">
        <f>Table432[[#This Row],[Taxable Amount]]*1%</f>
        <v>0</v>
      </c>
      <c r="O1090" s="132"/>
      <c r="P1090" s="135"/>
      <c r="Q1090" s="135"/>
      <c r="R1090" s="132"/>
      <c r="S1090" s="313">
        <f>Table432[[#This Row],[Invoice Amount]]-Table432[[#This Row],[TDS]]-Table432[[#This Row],[RECIVED AMOUNT]]</f>
        <v>0</v>
      </c>
      <c r="T1090" s="131"/>
      <c r="U1090" s="131"/>
      <c r="V1090" s="129">
        <f>Table432[[#This Row],[BALANCE]]-Table432[[#This Row],[RECIVED AMOUNT2]]</f>
        <v>0</v>
      </c>
    </row>
    <row r="1091" spans="1:22" s="12" customFormat="1" ht="19.2" customHeight="1">
      <c r="A1091" s="132"/>
      <c r="B1091" s="131"/>
      <c r="C1091" s="131"/>
      <c r="D1091" s="131"/>
      <c r="E1091" s="131"/>
      <c r="F1091" s="136"/>
      <c r="G1091" s="136">
        <v>3808</v>
      </c>
      <c r="H1091" s="23">
        <v>0.18</v>
      </c>
      <c r="I1091" s="129"/>
      <c r="J1091" s="129">
        <f t="shared" si="77"/>
        <v>0</v>
      </c>
      <c r="K1091" s="129">
        <f t="shared" si="78"/>
        <v>0</v>
      </c>
      <c r="L1091" s="130"/>
      <c r="M1091" s="130">
        <f>Table432[[#This Row],[Taxable Amount]]+Table432[[#This Row],[SGST]]+Table432[[#This Row],[CGST]]</f>
        <v>0</v>
      </c>
      <c r="N1091" s="161">
        <f>Table432[[#This Row],[Taxable Amount]]*1%</f>
        <v>0</v>
      </c>
      <c r="O1091" s="132"/>
      <c r="P1091" s="135"/>
      <c r="Q1091" s="135"/>
      <c r="R1091" s="132"/>
      <c r="S1091" s="313">
        <f>Table432[[#This Row],[Invoice Amount]]-Table432[[#This Row],[TDS]]-Table432[[#This Row],[RECIVED AMOUNT]]</f>
        <v>0</v>
      </c>
      <c r="T1091" s="131"/>
      <c r="U1091" s="131"/>
      <c r="V1091" s="129">
        <f>Table432[[#This Row],[BALANCE]]-Table432[[#This Row],[RECIVED AMOUNT2]]</f>
        <v>0</v>
      </c>
    </row>
    <row r="1092" spans="1:22" s="12" customFormat="1" ht="19.2" customHeight="1">
      <c r="A1092" s="132"/>
      <c r="B1092" s="131"/>
      <c r="C1092" s="131"/>
      <c r="D1092" s="131"/>
      <c r="E1092" s="131"/>
      <c r="F1092" s="136"/>
      <c r="G1092" s="136">
        <v>3808</v>
      </c>
      <c r="H1092" s="23">
        <v>0.18</v>
      </c>
      <c r="I1092" s="129"/>
      <c r="J1092" s="129">
        <f t="shared" si="77"/>
        <v>0</v>
      </c>
      <c r="K1092" s="129">
        <f t="shared" si="78"/>
        <v>0</v>
      </c>
      <c r="L1092" s="130"/>
      <c r="M1092" s="130">
        <f>Table432[[#This Row],[Taxable Amount]]+Table432[[#This Row],[SGST]]+Table432[[#This Row],[CGST]]</f>
        <v>0</v>
      </c>
      <c r="N1092" s="161">
        <f>Table432[[#This Row],[Taxable Amount]]*1%</f>
        <v>0</v>
      </c>
      <c r="O1092" s="132"/>
      <c r="P1092" s="135"/>
      <c r="Q1092" s="135"/>
      <c r="R1092" s="132"/>
      <c r="S1092" s="313">
        <f>Table432[[#This Row],[Invoice Amount]]-Table432[[#This Row],[TDS]]-Table432[[#This Row],[RECIVED AMOUNT]]</f>
        <v>0</v>
      </c>
      <c r="T1092" s="131"/>
      <c r="U1092" s="131"/>
      <c r="V1092" s="129">
        <f>Table432[[#This Row],[BALANCE]]-Table432[[#This Row],[RECIVED AMOUNT2]]</f>
        <v>0</v>
      </c>
    </row>
    <row r="1093" spans="1:22" s="12" customFormat="1" ht="19.2" customHeight="1">
      <c r="A1093" s="132"/>
      <c r="B1093" s="131"/>
      <c r="C1093" s="131"/>
      <c r="D1093" s="131"/>
      <c r="E1093" s="131"/>
      <c r="F1093" s="136"/>
      <c r="G1093" s="136">
        <v>3808</v>
      </c>
      <c r="H1093" s="23">
        <v>0.18</v>
      </c>
      <c r="I1093" s="129"/>
      <c r="J1093" s="129">
        <f t="shared" si="77"/>
        <v>0</v>
      </c>
      <c r="K1093" s="129">
        <f t="shared" si="78"/>
        <v>0</v>
      </c>
      <c r="L1093" s="130"/>
      <c r="M1093" s="130">
        <f>Table432[[#This Row],[Taxable Amount]]+Table432[[#This Row],[SGST]]+Table432[[#This Row],[CGST]]</f>
        <v>0</v>
      </c>
      <c r="N1093" s="161">
        <f>Table432[[#This Row],[Taxable Amount]]*1%</f>
        <v>0</v>
      </c>
      <c r="O1093" s="132"/>
      <c r="P1093" s="135"/>
      <c r="Q1093" s="135"/>
      <c r="R1093" s="132"/>
      <c r="S1093" s="313">
        <f>Table432[[#This Row],[Invoice Amount]]-Table432[[#This Row],[TDS]]-Table432[[#This Row],[RECIVED AMOUNT]]</f>
        <v>0</v>
      </c>
      <c r="T1093" s="131"/>
      <c r="U1093" s="131"/>
      <c r="V1093" s="129">
        <f>Table432[[#This Row],[BALANCE]]-Table432[[#This Row],[RECIVED AMOUNT2]]</f>
        <v>0</v>
      </c>
    </row>
    <row r="1094" spans="1:22" s="12" customFormat="1" ht="19.2" customHeight="1">
      <c r="A1094" s="132"/>
      <c r="B1094" s="131"/>
      <c r="C1094" s="131"/>
      <c r="D1094" s="131"/>
      <c r="E1094" s="131"/>
      <c r="F1094" s="136"/>
      <c r="G1094" s="136">
        <v>3808</v>
      </c>
      <c r="H1094" s="23">
        <v>0.18</v>
      </c>
      <c r="I1094" s="129"/>
      <c r="J1094" s="129">
        <f t="shared" si="77"/>
        <v>0</v>
      </c>
      <c r="K1094" s="129">
        <f t="shared" si="78"/>
        <v>0</v>
      </c>
      <c r="L1094" s="130"/>
      <c r="M1094" s="130">
        <f>Table432[[#This Row],[Taxable Amount]]+Table432[[#This Row],[SGST]]+Table432[[#This Row],[CGST]]</f>
        <v>0</v>
      </c>
      <c r="N1094" s="161">
        <f>Table432[[#This Row],[Taxable Amount]]*1%</f>
        <v>0</v>
      </c>
      <c r="O1094" s="132"/>
      <c r="P1094" s="135"/>
      <c r="Q1094" s="135"/>
      <c r="R1094" s="132"/>
      <c r="S1094" s="313">
        <f>Table432[[#This Row],[Invoice Amount]]-Table432[[#This Row],[TDS]]-Table432[[#This Row],[RECIVED AMOUNT]]</f>
        <v>0</v>
      </c>
      <c r="T1094" s="131"/>
      <c r="U1094" s="131"/>
      <c r="V1094" s="129">
        <f>Table432[[#This Row],[BALANCE]]-Table432[[#This Row],[RECIVED AMOUNT2]]</f>
        <v>0</v>
      </c>
    </row>
    <row r="1095" spans="1:22" s="12" customFormat="1" ht="19.2" customHeight="1">
      <c r="A1095" s="132"/>
      <c r="B1095" s="131"/>
      <c r="C1095" s="131"/>
      <c r="D1095" s="131"/>
      <c r="E1095" s="131"/>
      <c r="F1095" s="136"/>
      <c r="G1095" s="136">
        <v>3808</v>
      </c>
      <c r="H1095" s="23">
        <v>0.18</v>
      </c>
      <c r="I1095" s="129"/>
      <c r="J1095" s="129">
        <f t="shared" si="77"/>
        <v>0</v>
      </c>
      <c r="K1095" s="129">
        <f t="shared" si="78"/>
        <v>0</v>
      </c>
      <c r="L1095" s="130"/>
      <c r="M1095" s="130">
        <f>Table432[[#This Row],[Taxable Amount]]+Table432[[#This Row],[SGST]]+Table432[[#This Row],[CGST]]</f>
        <v>0</v>
      </c>
      <c r="N1095" s="161">
        <f>Table432[[#This Row],[Taxable Amount]]*1%</f>
        <v>0</v>
      </c>
      <c r="O1095" s="132"/>
      <c r="P1095" s="135"/>
      <c r="Q1095" s="135"/>
      <c r="R1095" s="132"/>
      <c r="S1095" s="313">
        <f>Table432[[#This Row],[Invoice Amount]]-Table432[[#This Row],[TDS]]-Table432[[#This Row],[RECIVED AMOUNT]]</f>
        <v>0</v>
      </c>
      <c r="T1095" s="131"/>
      <c r="U1095" s="131"/>
      <c r="V1095" s="129">
        <f>Table432[[#This Row],[BALANCE]]-Table432[[#This Row],[RECIVED AMOUNT2]]</f>
        <v>0</v>
      </c>
    </row>
    <row r="1096" spans="1:22" s="12" customFormat="1" ht="19.2" customHeight="1">
      <c r="A1096" s="132"/>
      <c r="B1096" s="131"/>
      <c r="C1096" s="131"/>
      <c r="D1096" s="131"/>
      <c r="E1096" s="131"/>
      <c r="F1096" s="136"/>
      <c r="G1096" s="136">
        <v>3808</v>
      </c>
      <c r="H1096" s="23">
        <v>0.18</v>
      </c>
      <c r="I1096" s="129"/>
      <c r="J1096" s="129">
        <f t="shared" si="77"/>
        <v>0</v>
      </c>
      <c r="K1096" s="129">
        <f t="shared" si="78"/>
        <v>0</v>
      </c>
      <c r="L1096" s="130"/>
      <c r="M1096" s="130">
        <f>Table432[[#This Row],[Taxable Amount]]+Table432[[#This Row],[SGST]]+Table432[[#This Row],[CGST]]</f>
        <v>0</v>
      </c>
      <c r="N1096" s="161">
        <f>Table432[[#This Row],[Taxable Amount]]*1%</f>
        <v>0</v>
      </c>
      <c r="O1096" s="132"/>
      <c r="P1096" s="135"/>
      <c r="Q1096" s="135"/>
      <c r="R1096" s="132"/>
      <c r="S1096" s="313">
        <f>Table432[[#This Row],[Invoice Amount]]-Table432[[#This Row],[TDS]]-Table432[[#This Row],[RECIVED AMOUNT]]</f>
        <v>0</v>
      </c>
      <c r="T1096" s="131"/>
      <c r="U1096" s="131"/>
      <c r="V1096" s="129">
        <f>Table432[[#This Row],[BALANCE]]-Table432[[#This Row],[RECIVED AMOUNT2]]</f>
        <v>0</v>
      </c>
    </row>
    <row r="1097" spans="1:22" s="12" customFormat="1" ht="19.2" customHeight="1">
      <c r="A1097" s="132"/>
      <c r="B1097" s="131"/>
      <c r="C1097" s="131"/>
      <c r="D1097" s="131"/>
      <c r="E1097" s="131"/>
      <c r="F1097" s="136"/>
      <c r="G1097" s="136">
        <v>3808</v>
      </c>
      <c r="H1097" s="23">
        <v>0.18</v>
      </c>
      <c r="I1097" s="129"/>
      <c r="J1097" s="129">
        <f t="shared" si="77"/>
        <v>0</v>
      </c>
      <c r="K1097" s="129">
        <f t="shared" si="78"/>
        <v>0</v>
      </c>
      <c r="L1097" s="130"/>
      <c r="M1097" s="130">
        <f>Table432[[#This Row],[Taxable Amount]]+Table432[[#This Row],[SGST]]+Table432[[#This Row],[CGST]]</f>
        <v>0</v>
      </c>
      <c r="N1097" s="161">
        <f>Table432[[#This Row],[Taxable Amount]]*1%</f>
        <v>0</v>
      </c>
      <c r="O1097" s="132"/>
      <c r="P1097" s="135"/>
      <c r="Q1097" s="135"/>
      <c r="R1097" s="132"/>
      <c r="S1097" s="313">
        <f>Table432[[#This Row],[Invoice Amount]]-Table432[[#This Row],[TDS]]-Table432[[#This Row],[RECIVED AMOUNT]]</f>
        <v>0</v>
      </c>
      <c r="T1097" s="131"/>
      <c r="U1097" s="131"/>
      <c r="V1097" s="129">
        <f>Table432[[#This Row],[BALANCE]]-Table432[[#This Row],[RECIVED AMOUNT2]]</f>
        <v>0</v>
      </c>
    </row>
    <row r="1098" spans="1:22" s="12" customFormat="1" ht="19.2" customHeight="1">
      <c r="A1098" s="132"/>
      <c r="B1098" s="131"/>
      <c r="C1098" s="131"/>
      <c r="D1098" s="131"/>
      <c r="E1098" s="131"/>
      <c r="F1098" s="136"/>
      <c r="G1098" s="136">
        <v>3808</v>
      </c>
      <c r="H1098" s="23">
        <v>0.18</v>
      </c>
      <c r="I1098" s="129"/>
      <c r="J1098" s="129">
        <f t="shared" si="77"/>
        <v>0</v>
      </c>
      <c r="K1098" s="129">
        <f t="shared" si="78"/>
        <v>0</v>
      </c>
      <c r="L1098" s="130"/>
      <c r="M1098" s="130">
        <f>Table432[[#This Row],[Taxable Amount]]+Table432[[#This Row],[SGST]]+Table432[[#This Row],[CGST]]</f>
        <v>0</v>
      </c>
      <c r="N1098" s="161">
        <f>Table432[[#This Row],[Taxable Amount]]*1%</f>
        <v>0</v>
      </c>
      <c r="O1098" s="132"/>
      <c r="P1098" s="135"/>
      <c r="Q1098" s="135"/>
      <c r="R1098" s="132"/>
      <c r="S1098" s="313">
        <f>Table432[[#This Row],[Invoice Amount]]-Table432[[#This Row],[TDS]]-Table432[[#This Row],[RECIVED AMOUNT]]</f>
        <v>0</v>
      </c>
      <c r="T1098" s="131"/>
      <c r="U1098" s="131"/>
      <c r="V1098" s="129">
        <f>Table432[[#This Row],[BALANCE]]-Table432[[#This Row],[RECIVED AMOUNT2]]</f>
        <v>0</v>
      </c>
    </row>
    <row r="1099" spans="1:22" s="12" customFormat="1" ht="19.2" customHeight="1">
      <c r="A1099" s="132"/>
      <c r="B1099" s="131"/>
      <c r="C1099" s="131"/>
      <c r="D1099" s="131"/>
      <c r="E1099" s="131"/>
      <c r="F1099" s="136"/>
      <c r="G1099" s="136">
        <v>3808</v>
      </c>
      <c r="H1099" s="23">
        <v>0.18</v>
      </c>
      <c r="I1099" s="129"/>
      <c r="J1099" s="129">
        <f t="shared" si="77"/>
        <v>0</v>
      </c>
      <c r="K1099" s="129">
        <f t="shared" si="78"/>
        <v>0</v>
      </c>
      <c r="L1099" s="130"/>
      <c r="M1099" s="130">
        <f>Table432[[#This Row],[Taxable Amount]]+Table432[[#This Row],[SGST]]+Table432[[#This Row],[CGST]]</f>
        <v>0</v>
      </c>
      <c r="N1099" s="161">
        <f>Table432[[#This Row],[Taxable Amount]]*1%</f>
        <v>0</v>
      </c>
      <c r="O1099" s="132"/>
      <c r="P1099" s="135"/>
      <c r="Q1099" s="135"/>
      <c r="R1099" s="132"/>
      <c r="S1099" s="313">
        <f>Table432[[#This Row],[Invoice Amount]]-Table432[[#This Row],[TDS]]-Table432[[#This Row],[RECIVED AMOUNT]]</f>
        <v>0</v>
      </c>
      <c r="T1099" s="131"/>
      <c r="U1099" s="131"/>
      <c r="V1099" s="129">
        <f>Table432[[#This Row],[BALANCE]]-Table432[[#This Row],[RECIVED AMOUNT2]]</f>
        <v>0</v>
      </c>
    </row>
    <row r="1100" spans="1:22" s="12" customFormat="1" ht="19.2" customHeight="1">
      <c r="A1100" s="132"/>
      <c r="B1100" s="131"/>
      <c r="C1100" s="131"/>
      <c r="D1100" s="131"/>
      <c r="E1100" s="131"/>
      <c r="F1100" s="136"/>
      <c r="G1100" s="136">
        <v>3808</v>
      </c>
      <c r="H1100" s="23">
        <v>0.18</v>
      </c>
      <c r="I1100" s="129"/>
      <c r="J1100" s="129">
        <f t="shared" si="77"/>
        <v>0</v>
      </c>
      <c r="K1100" s="129">
        <f t="shared" si="78"/>
        <v>0</v>
      </c>
      <c r="L1100" s="130"/>
      <c r="M1100" s="130">
        <f>Table432[[#This Row],[Taxable Amount]]+Table432[[#This Row],[SGST]]+Table432[[#This Row],[CGST]]</f>
        <v>0</v>
      </c>
      <c r="N1100" s="161">
        <f>Table432[[#This Row],[Taxable Amount]]*1%</f>
        <v>0</v>
      </c>
      <c r="O1100" s="132"/>
      <c r="P1100" s="135"/>
      <c r="Q1100" s="135"/>
      <c r="R1100" s="132"/>
      <c r="S1100" s="313">
        <f>Table432[[#This Row],[Invoice Amount]]-Table432[[#This Row],[TDS]]-Table432[[#This Row],[RECIVED AMOUNT]]</f>
        <v>0</v>
      </c>
      <c r="T1100" s="131"/>
      <c r="U1100" s="131"/>
      <c r="V1100" s="129">
        <f>Table432[[#This Row],[BALANCE]]-Table432[[#This Row],[RECIVED AMOUNT2]]</f>
        <v>0</v>
      </c>
    </row>
    <row r="1101" spans="1:22" s="12" customFormat="1" ht="19.2" customHeight="1">
      <c r="A1101" s="132"/>
      <c r="B1101" s="131"/>
      <c r="C1101" s="131"/>
      <c r="D1101" s="131"/>
      <c r="E1101" s="131"/>
      <c r="F1101" s="136"/>
      <c r="G1101" s="136">
        <v>3808</v>
      </c>
      <c r="H1101" s="23">
        <v>0.18</v>
      </c>
      <c r="I1101" s="129"/>
      <c r="J1101" s="129">
        <f t="shared" si="77"/>
        <v>0</v>
      </c>
      <c r="K1101" s="129">
        <f t="shared" si="78"/>
        <v>0</v>
      </c>
      <c r="L1101" s="130"/>
      <c r="M1101" s="130">
        <f>Table432[[#This Row],[Taxable Amount]]+Table432[[#This Row],[SGST]]+Table432[[#This Row],[CGST]]</f>
        <v>0</v>
      </c>
      <c r="N1101" s="161">
        <f>Table432[[#This Row],[Taxable Amount]]*1%</f>
        <v>0</v>
      </c>
      <c r="O1101" s="132"/>
      <c r="P1101" s="135"/>
      <c r="Q1101" s="135"/>
      <c r="R1101" s="132"/>
      <c r="S1101" s="313">
        <f>Table432[[#This Row],[Invoice Amount]]-Table432[[#This Row],[TDS]]-Table432[[#This Row],[RECIVED AMOUNT]]</f>
        <v>0</v>
      </c>
      <c r="T1101" s="131"/>
      <c r="U1101" s="131"/>
      <c r="V1101" s="129">
        <f>Table432[[#This Row],[BALANCE]]-Table432[[#This Row],[RECIVED AMOUNT2]]</f>
        <v>0</v>
      </c>
    </row>
    <row r="1102" spans="1:22" s="12" customFormat="1" ht="19.2" customHeight="1">
      <c r="A1102" s="132"/>
      <c r="B1102" s="131"/>
      <c r="C1102" s="131"/>
      <c r="D1102" s="131"/>
      <c r="E1102" s="131"/>
      <c r="F1102" s="136"/>
      <c r="G1102" s="136">
        <v>3808</v>
      </c>
      <c r="H1102" s="23">
        <v>0.18</v>
      </c>
      <c r="I1102" s="129"/>
      <c r="J1102" s="129">
        <f t="shared" si="77"/>
        <v>0</v>
      </c>
      <c r="K1102" s="129">
        <f t="shared" si="78"/>
        <v>0</v>
      </c>
      <c r="L1102" s="130"/>
      <c r="M1102" s="130">
        <f>Table432[[#This Row],[Taxable Amount]]+Table432[[#This Row],[SGST]]+Table432[[#This Row],[CGST]]</f>
        <v>0</v>
      </c>
      <c r="N1102" s="161">
        <f>Table432[[#This Row],[Taxable Amount]]*1%</f>
        <v>0</v>
      </c>
      <c r="O1102" s="132"/>
      <c r="P1102" s="135"/>
      <c r="Q1102" s="135"/>
      <c r="R1102" s="132"/>
      <c r="S1102" s="313">
        <f>Table432[[#This Row],[Invoice Amount]]-Table432[[#This Row],[TDS]]-Table432[[#This Row],[RECIVED AMOUNT]]</f>
        <v>0</v>
      </c>
      <c r="T1102" s="131"/>
      <c r="U1102" s="131"/>
      <c r="V1102" s="129">
        <f>Table432[[#This Row],[BALANCE]]-Table432[[#This Row],[RECIVED AMOUNT2]]</f>
        <v>0</v>
      </c>
    </row>
    <row r="1103" spans="1:22" s="12" customFormat="1" ht="19.2" customHeight="1">
      <c r="A1103" s="132"/>
      <c r="B1103" s="131"/>
      <c r="C1103" s="131"/>
      <c r="D1103" s="131"/>
      <c r="E1103" s="131"/>
      <c r="F1103" s="136"/>
      <c r="G1103" s="136">
        <v>3808</v>
      </c>
      <c r="H1103" s="23">
        <v>0.18</v>
      </c>
      <c r="I1103" s="129"/>
      <c r="J1103" s="129">
        <f t="shared" si="77"/>
        <v>0</v>
      </c>
      <c r="K1103" s="129">
        <f t="shared" si="78"/>
        <v>0</v>
      </c>
      <c r="L1103" s="130"/>
      <c r="M1103" s="130">
        <f>Table432[[#This Row],[Taxable Amount]]+Table432[[#This Row],[SGST]]+Table432[[#This Row],[CGST]]</f>
        <v>0</v>
      </c>
      <c r="N1103" s="161">
        <f>Table432[[#This Row],[Taxable Amount]]*1%</f>
        <v>0</v>
      </c>
      <c r="O1103" s="132"/>
      <c r="P1103" s="135"/>
      <c r="Q1103" s="135"/>
      <c r="R1103" s="132"/>
      <c r="S1103" s="313">
        <f>Table432[[#This Row],[Invoice Amount]]-Table432[[#This Row],[TDS]]-Table432[[#This Row],[RECIVED AMOUNT]]</f>
        <v>0</v>
      </c>
      <c r="T1103" s="131"/>
      <c r="U1103" s="131"/>
      <c r="V1103" s="129">
        <f>Table432[[#This Row],[BALANCE]]-Table432[[#This Row],[RECIVED AMOUNT2]]</f>
        <v>0</v>
      </c>
    </row>
    <row r="1104" spans="1:22" s="12" customFormat="1" ht="19.2" customHeight="1">
      <c r="A1104" s="132"/>
      <c r="B1104" s="131"/>
      <c r="C1104" s="131"/>
      <c r="D1104" s="131"/>
      <c r="E1104" s="131"/>
      <c r="F1104" s="136"/>
      <c r="G1104" s="136">
        <v>3808</v>
      </c>
      <c r="H1104" s="23">
        <v>0.18</v>
      </c>
      <c r="I1104" s="129"/>
      <c r="J1104" s="129">
        <f t="shared" si="77"/>
        <v>0</v>
      </c>
      <c r="K1104" s="129">
        <f t="shared" si="78"/>
        <v>0</v>
      </c>
      <c r="L1104" s="130"/>
      <c r="M1104" s="130">
        <f>Table432[[#This Row],[Taxable Amount]]+Table432[[#This Row],[SGST]]+Table432[[#This Row],[CGST]]</f>
        <v>0</v>
      </c>
      <c r="N1104" s="161">
        <f>Table432[[#This Row],[Taxable Amount]]*1%</f>
        <v>0</v>
      </c>
      <c r="O1104" s="132"/>
      <c r="P1104" s="135"/>
      <c r="Q1104" s="135"/>
      <c r="R1104" s="132"/>
      <c r="S1104" s="313">
        <f>Table432[[#This Row],[Invoice Amount]]-Table432[[#This Row],[TDS]]-Table432[[#This Row],[RECIVED AMOUNT]]</f>
        <v>0</v>
      </c>
      <c r="T1104" s="131"/>
      <c r="U1104" s="131"/>
      <c r="V1104" s="129">
        <f>Table432[[#This Row],[BALANCE]]-Table432[[#This Row],[RECIVED AMOUNT2]]</f>
        <v>0</v>
      </c>
    </row>
    <row r="1105" spans="1:22" s="12" customFormat="1" ht="19.2" customHeight="1">
      <c r="A1105" s="132"/>
      <c r="B1105" s="131"/>
      <c r="C1105" s="131"/>
      <c r="D1105" s="131"/>
      <c r="E1105" s="131"/>
      <c r="F1105" s="136"/>
      <c r="G1105" s="136">
        <v>3808</v>
      </c>
      <c r="H1105" s="23">
        <v>0.18</v>
      </c>
      <c r="I1105" s="129"/>
      <c r="J1105" s="129">
        <f t="shared" si="77"/>
        <v>0</v>
      </c>
      <c r="K1105" s="129">
        <f t="shared" si="78"/>
        <v>0</v>
      </c>
      <c r="L1105" s="130"/>
      <c r="M1105" s="130">
        <f>Table432[[#This Row],[Taxable Amount]]+Table432[[#This Row],[SGST]]+Table432[[#This Row],[CGST]]</f>
        <v>0</v>
      </c>
      <c r="N1105" s="161">
        <f>Table432[[#This Row],[Taxable Amount]]*1%</f>
        <v>0</v>
      </c>
      <c r="O1105" s="132"/>
      <c r="P1105" s="135"/>
      <c r="Q1105" s="135"/>
      <c r="R1105" s="132"/>
      <c r="S1105" s="313">
        <f>Table432[[#This Row],[Invoice Amount]]-Table432[[#This Row],[TDS]]-Table432[[#This Row],[RECIVED AMOUNT]]</f>
        <v>0</v>
      </c>
      <c r="T1105" s="131"/>
      <c r="U1105" s="131"/>
      <c r="V1105" s="129">
        <f>Table432[[#This Row],[BALANCE]]-Table432[[#This Row],[RECIVED AMOUNT2]]</f>
        <v>0</v>
      </c>
    </row>
    <row r="1106" spans="1:22" s="12" customFormat="1" ht="19.2" customHeight="1">
      <c r="A1106" s="132"/>
      <c r="B1106" s="131"/>
      <c r="C1106" s="131"/>
      <c r="D1106" s="131"/>
      <c r="E1106" s="131"/>
      <c r="F1106" s="136"/>
      <c r="G1106" s="136">
        <v>3808</v>
      </c>
      <c r="H1106" s="23">
        <v>0.18</v>
      </c>
      <c r="I1106" s="129"/>
      <c r="J1106" s="129">
        <f t="shared" si="77"/>
        <v>0</v>
      </c>
      <c r="K1106" s="129">
        <f t="shared" si="78"/>
        <v>0</v>
      </c>
      <c r="L1106" s="130"/>
      <c r="M1106" s="130">
        <f>Table432[[#This Row],[Taxable Amount]]+Table432[[#This Row],[SGST]]+Table432[[#This Row],[CGST]]</f>
        <v>0</v>
      </c>
      <c r="N1106" s="161">
        <f>Table432[[#This Row],[Taxable Amount]]*1%</f>
        <v>0</v>
      </c>
      <c r="O1106" s="132"/>
      <c r="P1106" s="135"/>
      <c r="Q1106" s="135"/>
      <c r="R1106" s="132"/>
      <c r="S1106" s="313">
        <f>Table432[[#This Row],[Invoice Amount]]-Table432[[#This Row],[TDS]]-Table432[[#This Row],[RECIVED AMOUNT]]</f>
        <v>0</v>
      </c>
      <c r="T1106" s="131"/>
      <c r="U1106" s="131"/>
      <c r="V1106" s="129">
        <f>Table432[[#This Row],[BALANCE]]-Table432[[#This Row],[RECIVED AMOUNT2]]</f>
        <v>0</v>
      </c>
    </row>
    <row r="1107" spans="1:22" s="12" customFormat="1" ht="19.2" customHeight="1">
      <c r="A1107" s="132"/>
      <c r="B1107" s="131"/>
      <c r="C1107" s="131"/>
      <c r="D1107" s="131"/>
      <c r="E1107" s="131"/>
      <c r="F1107" s="136"/>
      <c r="G1107" s="136">
        <v>3808</v>
      </c>
      <c r="H1107" s="23">
        <v>0.18</v>
      </c>
      <c r="I1107" s="129"/>
      <c r="J1107" s="129">
        <f t="shared" si="77"/>
        <v>0</v>
      </c>
      <c r="K1107" s="129">
        <f t="shared" si="78"/>
        <v>0</v>
      </c>
      <c r="L1107" s="130"/>
      <c r="M1107" s="130">
        <f>Table432[[#This Row],[Taxable Amount]]+Table432[[#This Row],[SGST]]+Table432[[#This Row],[CGST]]</f>
        <v>0</v>
      </c>
      <c r="N1107" s="161">
        <f>Table432[[#This Row],[Taxable Amount]]*1%</f>
        <v>0</v>
      </c>
      <c r="O1107" s="132"/>
      <c r="P1107" s="135"/>
      <c r="Q1107" s="135"/>
      <c r="R1107" s="132"/>
      <c r="S1107" s="313">
        <f>Table432[[#This Row],[Invoice Amount]]-Table432[[#This Row],[TDS]]-Table432[[#This Row],[RECIVED AMOUNT]]</f>
        <v>0</v>
      </c>
      <c r="T1107" s="131"/>
      <c r="U1107" s="131"/>
      <c r="V1107" s="129">
        <f>Table432[[#This Row],[BALANCE]]-Table432[[#This Row],[RECIVED AMOUNT2]]</f>
        <v>0</v>
      </c>
    </row>
    <row r="1108" spans="1:22" s="12" customFormat="1" ht="19.2" customHeight="1">
      <c r="A1108" s="132"/>
      <c r="B1108" s="131"/>
      <c r="C1108" s="131"/>
      <c r="D1108" s="131"/>
      <c r="E1108" s="131"/>
      <c r="F1108" s="136"/>
      <c r="G1108" s="136">
        <v>3808</v>
      </c>
      <c r="H1108" s="23">
        <v>0.18</v>
      </c>
      <c r="I1108" s="129"/>
      <c r="J1108" s="129">
        <f t="shared" ref="J1108:J1171" si="85">I1108*9/100</f>
        <v>0</v>
      </c>
      <c r="K1108" s="129">
        <f t="shared" ref="K1108:K1171" si="86">I1108*9/100</f>
        <v>0</v>
      </c>
      <c r="L1108" s="130"/>
      <c r="M1108" s="130">
        <f>Table432[[#This Row],[Taxable Amount]]+Table432[[#This Row],[SGST]]+Table432[[#This Row],[CGST]]</f>
        <v>0</v>
      </c>
      <c r="N1108" s="161">
        <f>Table432[[#This Row],[Taxable Amount]]*1%</f>
        <v>0</v>
      </c>
      <c r="O1108" s="132"/>
      <c r="P1108" s="135"/>
      <c r="Q1108" s="135"/>
      <c r="R1108" s="132"/>
      <c r="S1108" s="313">
        <f>Table432[[#This Row],[Invoice Amount]]-Table432[[#This Row],[TDS]]-Table432[[#This Row],[RECIVED AMOUNT]]</f>
        <v>0</v>
      </c>
      <c r="T1108" s="131"/>
      <c r="U1108" s="131"/>
      <c r="V1108" s="129">
        <f>Table432[[#This Row],[BALANCE]]-Table432[[#This Row],[RECIVED AMOUNT2]]</f>
        <v>0</v>
      </c>
    </row>
    <row r="1109" spans="1:22" s="12" customFormat="1" ht="19.2" customHeight="1">
      <c r="A1109" s="132"/>
      <c r="B1109" s="131"/>
      <c r="C1109" s="131"/>
      <c r="D1109" s="131"/>
      <c r="E1109" s="131"/>
      <c r="F1109" s="136"/>
      <c r="G1109" s="136">
        <v>3808</v>
      </c>
      <c r="H1109" s="23">
        <v>0.18</v>
      </c>
      <c r="I1109" s="129"/>
      <c r="J1109" s="129">
        <f t="shared" si="85"/>
        <v>0</v>
      </c>
      <c r="K1109" s="129">
        <f t="shared" si="86"/>
        <v>0</v>
      </c>
      <c r="L1109" s="130"/>
      <c r="M1109" s="130">
        <f>Table432[[#This Row],[Taxable Amount]]+Table432[[#This Row],[SGST]]+Table432[[#This Row],[CGST]]</f>
        <v>0</v>
      </c>
      <c r="N1109" s="161">
        <f>Table432[[#This Row],[Taxable Amount]]*1%</f>
        <v>0</v>
      </c>
      <c r="O1109" s="132"/>
      <c r="P1109" s="135"/>
      <c r="Q1109" s="135"/>
      <c r="R1109" s="132"/>
      <c r="S1109" s="313">
        <f>Table432[[#This Row],[Invoice Amount]]-Table432[[#This Row],[TDS]]-Table432[[#This Row],[RECIVED AMOUNT]]</f>
        <v>0</v>
      </c>
      <c r="T1109" s="131"/>
      <c r="U1109" s="131"/>
      <c r="V1109" s="129">
        <f>Table432[[#This Row],[BALANCE]]-Table432[[#This Row],[RECIVED AMOUNT2]]</f>
        <v>0</v>
      </c>
    </row>
    <row r="1110" spans="1:22" s="12" customFormat="1" ht="19.2" customHeight="1">
      <c r="A1110" s="132"/>
      <c r="B1110" s="131"/>
      <c r="C1110" s="131"/>
      <c r="D1110" s="131"/>
      <c r="E1110" s="131"/>
      <c r="F1110" s="136"/>
      <c r="G1110" s="136">
        <v>3808</v>
      </c>
      <c r="H1110" s="23">
        <v>0.18</v>
      </c>
      <c r="I1110" s="129"/>
      <c r="J1110" s="129">
        <f t="shared" si="85"/>
        <v>0</v>
      </c>
      <c r="K1110" s="129">
        <f t="shared" si="86"/>
        <v>0</v>
      </c>
      <c r="L1110" s="130"/>
      <c r="M1110" s="130">
        <f>Table432[[#This Row],[Taxable Amount]]+Table432[[#This Row],[SGST]]+Table432[[#This Row],[CGST]]</f>
        <v>0</v>
      </c>
      <c r="N1110" s="161">
        <f>Table432[[#This Row],[Taxable Amount]]*1%</f>
        <v>0</v>
      </c>
      <c r="O1110" s="132"/>
      <c r="P1110" s="135"/>
      <c r="Q1110" s="135"/>
      <c r="R1110" s="132"/>
      <c r="S1110" s="313">
        <f>Table432[[#This Row],[Invoice Amount]]-Table432[[#This Row],[TDS]]-Table432[[#This Row],[RECIVED AMOUNT]]</f>
        <v>0</v>
      </c>
      <c r="T1110" s="131"/>
      <c r="U1110" s="131"/>
      <c r="V1110" s="129">
        <f>Table432[[#This Row],[BALANCE]]-Table432[[#This Row],[RECIVED AMOUNT2]]</f>
        <v>0</v>
      </c>
    </row>
    <row r="1111" spans="1:22" s="12" customFormat="1" ht="19.2" customHeight="1">
      <c r="A1111" s="132"/>
      <c r="B1111" s="131"/>
      <c r="C1111" s="131"/>
      <c r="D1111" s="131"/>
      <c r="E1111" s="131"/>
      <c r="F1111" s="136"/>
      <c r="G1111" s="136">
        <v>3808</v>
      </c>
      <c r="H1111" s="23">
        <v>0.18</v>
      </c>
      <c r="I1111" s="129"/>
      <c r="J1111" s="129">
        <f t="shared" si="85"/>
        <v>0</v>
      </c>
      <c r="K1111" s="129">
        <f t="shared" si="86"/>
        <v>0</v>
      </c>
      <c r="L1111" s="130"/>
      <c r="M1111" s="130">
        <f>Table432[[#This Row],[Taxable Amount]]+Table432[[#This Row],[SGST]]+Table432[[#This Row],[CGST]]</f>
        <v>0</v>
      </c>
      <c r="N1111" s="161">
        <f>Table432[[#This Row],[Taxable Amount]]*1%</f>
        <v>0</v>
      </c>
      <c r="O1111" s="132"/>
      <c r="P1111" s="135"/>
      <c r="Q1111" s="135"/>
      <c r="R1111" s="132"/>
      <c r="S1111" s="313">
        <f>Table432[[#This Row],[Invoice Amount]]-Table432[[#This Row],[TDS]]-Table432[[#This Row],[RECIVED AMOUNT]]</f>
        <v>0</v>
      </c>
      <c r="T1111" s="131"/>
      <c r="U1111" s="131"/>
      <c r="V1111" s="129">
        <f>Table432[[#This Row],[BALANCE]]-Table432[[#This Row],[RECIVED AMOUNT2]]</f>
        <v>0</v>
      </c>
    </row>
    <row r="1112" spans="1:22" s="12" customFormat="1" ht="19.2" customHeight="1">
      <c r="A1112" s="132"/>
      <c r="B1112" s="131"/>
      <c r="C1112" s="131"/>
      <c r="D1112" s="131"/>
      <c r="E1112" s="131"/>
      <c r="F1112" s="136"/>
      <c r="G1112" s="136">
        <v>3808</v>
      </c>
      <c r="H1112" s="23">
        <v>0.18</v>
      </c>
      <c r="I1112" s="129"/>
      <c r="J1112" s="129">
        <f t="shared" si="85"/>
        <v>0</v>
      </c>
      <c r="K1112" s="129">
        <f t="shared" si="86"/>
        <v>0</v>
      </c>
      <c r="L1112" s="130"/>
      <c r="M1112" s="130">
        <f>Table432[[#This Row],[Taxable Amount]]+Table432[[#This Row],[SGST]]+Table432[[#This Row],[CGST]]</f>
        <v>0</v>
      </c>
      <c r="N1112" s="161">
        <f>Table432[[#This Row],[Taxable Amount]]*1%</f>
        <v>0</v>
      </c>
      <c r="O1112" s="132"/>
      <c r="P1112" s="135"/>
      <c r="Q1112" s="135"/>
      <c r="R1112" s="132"/>
      <c r="S1112" s="313">
        <f>Table432[[#This Row],[Invoice Amount]]-Table432[[#This Row],[TDS]]-Table432[[#This Row],[RECIVED AMOUNT]]</f>
        <v>0</v>
      </c>
      <c r="T1112" s="131"/>
      <c r="U1112" s="131"/>
      <c r="V1112" s="129">
        <f>Table432[[#This Row],[BALANCE]]-Table432[[#This Row],[RECIVED AMOUNT2]]</f>
        <v>0</v>
      </c>
    </row>
    <row r="1113" spans="1:22" s="12" customFormat="1" ht="19.2" customHeight="1">
      <c r="A1113" s="132"/>
      <c r="B1113" s="131"/>
      <c r="C1113" s="131"/>
      <c r="D1113" s="131"/>
      <c r="E1113" s="131"/>
      <c r="F1113" s="136"/>
      <c r="G1113" s="136">
        <v>3808</v>
      </c>
      <c r="H1113" s="23">
        <v>0.18</v>
      </c>
      <c r="I1113" s="129"/>
      <c r="J1113" s="129">
        <f t="shared" si="85"/>
        <v>0</v>
      </c>
      <c r="K1113" s="129">
        <f t="shared" si="86"/>
        <v>0</v>
      </c>
      <c r="L1113" s="130"/>
      <c r="M1113" s="130">
        <f>Table432[[#This Row],[Taxable Amount]]+Table432[[#This Row],[SGST]]+Table432[[#This Row],[CGST]]</f>
        <v>0</v>
      </c>
      <c r="N1113" s="161">
        <f>Table432[[#This Row],[Taxable Amount]]*1%</f>
        <v>0</v>
      </c>
      <c r="O1113" s="132"/>
      <c r="P1113" s="135"/>
      <c r="Q1113" s="135"/>
      <c r="R1113" s="132"/>
      <c r="S1113" s="313">
        <f>Table432[[#This Row],[Invoice Amount]]-Table432[[#This Row],[TDS]]-Table432[[#This Row],[RECIVED AMOUNT]]</f>
        <v>0</v>
      </c>
      <c r="T1113" s="131"/>
      <c r="U1113" s="131"/>
      <c r="V1113" s="129">
        <f>Table432[[#This Row],[BALANCE]]-Table432[[#This Row],[RECIVED AMOUNT2]]</f>
        <v>0</v>
      </c>
    </row>
    <row r="1114" spans="1:22" s="12" customFormat="1" ht="19.2" customHeight="1">
      <c r="A1114" s="132"/>
      <c r="B1114" s="131"/>
      <c r="C1114" s="131"/>
      <c r="D1114" s="131"/>
      <c r="E1114" s="131"/>
      <c r="F1114" s="136"/>
      <c r="G1114" s="136">
        <v>3808</v>
      </c>
      <c r="H1114" s="23">
        <v>0.18</v>
      </c>
      <c r="I1114" s="129"/>
      <c r="J1114" s="129">
        <f t="shared" si="85"/>
        <v>0</v>
      </c>
      <c r="K1114" s="129">
        <f t="shared" si="86"/>
        <v>0</v>
      </c>
      <c r="L1114" s="130"/>
      <c r="M1114" s="130">
        <f>Table432[[#This Row],[Taxable Amount]]+Table432[[#This Row],[SGST]]+Table432[[#This Row],[CGST]]</f>
        <v>0</v>
      </c>
      <c r="N1114" s="161">
        <f>Table432[[#This Row],[Taxable Amount]]*1%</f>
        <v>0</v>
      </c>
      <c r="O1114" s="132"/>
      <c r="P1114" s="135"/>
      <c r="Q1114" s="135"/>
      <c r="R1114" s="132"/>
      <c r="S1114" s="313">
        <f>Table432[[#This Row],[Invoice Amount]]-Table432[[#This Row],[TDS]]-Table432[[#This Row],[RECIVED AMOUNT]]</f>
        <v>0</v>
      </c>
      <c r="T1114" s="131"/>
      <c r="U1114" s="131"/>
      <c r="V1114" s="129">
        <f>Table432[[#This Row],[BALANCE]]-Table432[[#This Row],[RECIVED AMOUNT2]]</f>
        <v>0</v>
      </c>
    </row>
    <row r="1115" spans="1:22" s="12" customFormat="1" ht="19.2" customHeight="1">
      <c r="A1115" s="132"/>
      <c r="B1115" s="131"/>
      <c r="C1115" s="131"/>
      <c r="D1115" s="131"/>
      <c r="E1115" s="131"/>
      <c r="F1115" s="136"/>
      <c r="G1115" s="136">
        <v>3808</v>
      </c>
      <c r="H1115" s="23">
        <v>0.18</v>
      </c>
      <c r="I1115" s="129"/>
      <c r="J1115" s="129">
        <f t="shared" si="85"/>
        <v>0</v>
      </c>
      <c r="K1115" s="129">
        <f t="shared" si="86"/>
        <v>0</v>
      </c>
      <c r="L1115" s="130"/>
      <c r="M1115" s="130">
        <f>Table432[[#This Row],[Taxable Amount]]+Table432[[#This Row],[SGST]]+Table432[[#This Row],[CGST]]</f>
        <v>0</v>
      </c>
      <c r="N1115" s="161">
        <f>Table432[[#This Row],[Taxable Amount]]*1%</f>
        <v>0</v>
      </c>
      <c r="O1115" s="132"/>
      <c r="P1115" s="135"/>
      <c r="Q1115" s="135"/>
      <c r="R1115" s="132"/>
      <c r="S1115" s="313">
        <f>Table432[[#This Row],[Invoice Amount]]-Table432[[#This Row],[TDS]]-Table432[[#This Row],[RECIVED AMOUNT]]</f>
        <v>0</v>
      </c>
      <c r="T1115" s="131"/>
      <c r="U1115" s="131"/>
      <c r="V1115" s="129">
        <f>Table432[[#This Row],[BALANCE]]-Table432[[#This Row],[RECIVED AMOUNT2]]</f>
        <v>0</v>
      </c>
    </row>
    <row r="1116" spans="1:22" s="12" customFormat="1" ht="19.2" customHeight="1">
      <c r="A1116" s="132"/>
      <c r="B1116" s="131"/>
      <c r="C1116" s="131"/>
      <c r="D1116" s="131"/>
      <c r="E1116" s="131"/>
      <c r="F1116" s="136"/>
      <c r="G1116" s="136">
        <v>3808</v>
      </c>
      <c r="H1116" s="23">
        <v>0.18</v>
      </c>
      <c r="I1116" s="129"/>
      <c r="J1116" s="129">
        <f t="shared" si="85"/>
        <v>0</v>
      </c>
      <c r="K1116" s="129">
        <f t="shared" si="86"/>
        <v>0</v>
      </c>
      <c r="L1116" s="130"/>
      <c r="M1116" s="130">
        <f>Table432[[#This Row],[Taxable Amount]]+Table432[[#This Row],[SGST]]+Table432[[#This Row],[CGST]]</f>
        <v>0</v>
      </c>
      <c r="N1116" s="161">
        <f>Table432[[#This Row],[Taxable Amount]]*1%</f>
        <v>0</v>
      </c>
      <c r="O1116" s="132"/>
      <c r="P1116" s="135"/>
      <c r="Q1116" s="135"/>
      <c r="R1116" s="132"/>
      <c r="S1116" s="313">
        <f>Table432[[#This Row],[Invoice Amount]]-Table432[[#This Row],[TDS]]-Table432[[#This Row],[RECIVED AMOUNT]]</f>
        <v>0</v>
      </c>
      <c r="T1116" s="131"/>
      <c r="U1116" s="131"/>
      <c r="V1116" s="129">
        <f>Table432[[#This Row],[BALANCE]]-Table432[[#This Row],[RECIVED AMOUNT2]]</f>
        <v>0</v>
      </c>
    </row>
    <row r="1117" spans="1:22" s="12" customFormat="1" ht="19.2" customHeight="1">
      <c r="A1117" s="132"/>
      <c r="B1117" s="131"/>
      <c r="C1117" s="131"/>
      <c r="D1117" s="131"/>
      <c r="E1117" s="131"/>
      <c r="F1117" s="136"/>
      <c r="G1117" s="136">
        <v>3808</v>
      </c>
      <c r="H1117" s="23">
        <v>0.18</v>
      </c>
      <c r="I1117" s="129"/>
      <c r="J1117" s="129">
        <f t="shared" si="85"/>
        <v>0</v>
      </c>
      <c r="K1117" s="129">
        <f t="shared" si="86"/>
        <v>0</v>
      </c>
      <c r="L1117" s="130"/>
      <c r="M1117" s="130">
        <f>Table432[[#This Row],[Taxable Amount]]+Table432[[#This Row],[SGST]]+Table432[[#This Row],[CGST]]</f>
        <v>0</v>
      </c>
      <c r="N1117" s="161">
        <f>Table432[[#This Row],[Taxable Amount]]*1%</f>
        <v>0</v>
      </c>
      <c r="O1117" s="132"/>
      <c r="P1117" s="135"/>
      <c r="Q1117" s="135"/>
      <c r="R1117" s="132"/>
      <c r="S1117" s="313">
        <f>Table432[[#This Row],[Invoice Amount]]-Table432[[#This Row],[TDS]]-Table432[[#This Row],[RECIVED AMOUNT]]</f>
        <v>0</v>
      </c>
      <c r="T1117" s="131"/>
      <c r="U1117" s="131"/>
      <c r="V1117" s="129">
        <f>Table432[[#This Row],[BALANCE]]-Table432[[#This Row],[RECIVED AMOUNT2]]</f>
        <v>0</v>
      </c>
    </row>
    <row r="1118" spans="1:22" s="12" customFormat="1" ht="19.2" customHeight="1">
      <c r="A1118" s="132"/>
      <c r="B1118" s="131"/>
      <c r="C1118" s="131"/>
      <c r="D1118" s="131"/>
      <c r="E1118" s="131"/>
      <c r="F1118" s="136"/>
      <c r="G1118" s="136">
        <v>3808</v>
      </c>
      <c r="H1118" s="23">
        <v>0.18</v>
      </c>
      <c r="I1118" s="129"/>
      <c r="J1118" s="129">
        <f t="shared" si="85"/>
        <v>0</v>
      </c>
      <c r="K1118" s="129">
        <f t="shared" si="86"/>
        <v>0</v>
      </c>
      <c r="L1118" s="130"/>
      <c r="M1118" s="130">
        <f>Table432[[#This Row],[Taxable Amount]]+Table432[[#This Row],[SGST]]+Table432[[#This Row],[CGST]]</f>
        <v>0</v>
      </c>
      <c r="N1118" s="161">
        <f>Table432[[#This Row],[Taxable Amount]]*1%</f>
        <v>0</v>
      </c>
      <c r="O1118" s="132"/>
      <c r="P1118" s="135"/>
      <c r="Q1118" s="135"/>
      <c r="R1118" s="132"/>
      <c r="S1118" s="313">
        <f>Table432[[#This Row],[Invoice Amount]]-Table432[[#This Row],[TDS]]-Table432[[#This Row],[RECIVED AMOUNT]]</f>
        <v>0</v>
      </c>
      <c r="T1118" s="131"/>
      <c r="U1118" s="131"/>
      <c r="V1118" s="129">
        <f>Table432[[#This Row],[BALANCE]]-Table432[[#This Row],[RECIVED AMOUNT2]]</f>
        <v>0</v>
      </c>
    </row>
    <row r="1119" spans="1:22" s="12" customFormat="1" ht="19.2" customHeight="1">
      <c r="A1119" s="132"/>
      <c r="B1119" s="131"/>
      <c r="C1119" s="131"/>
      <c r="D1119" s="131"/>
      <c r="E1119" s="131"/>
      <c r="F1119" s="136"/>
      <c r="G1119" s="136">
        <v>3808</v>
      </c>
      <c r="H1119" s="23">
        <v>0.18</v>
      </c>
      <c r="I1119" s="129"/>
      <c r="J1119" s="129">
        <f t="shared" si="85"/>
        <v>0</v>
      </c>
      <c r="K1119" s="129">
        <f t="shared" si="86"/>
        <v>0</v>
      </c>
      <c r="L1119" s="130"/>
      <c r="M1119" s="130">
        <f>Table432[[#This Row],[Taxable Amount]]+Table432[[#This Row],[SGST]]+Table432[[#This Row],[CGST]]</f>
        <v>0</v>
      </c>
      <c r="N1119" s="161">
        <f>Table432[[#This Row],[Taxable Amount]]*1%</f>
        <v>0</v>
      </c>
      <c r="O1119" s="132"/>
      <c r="P1119" s="135"/>
      <c r="Q1119" s="135"/>
      <c r="R1119" s="132"/>
      <c r="S1119" s="313">
        <f>Table432[[#This Row],[Invoice Amount]]-Table432[[#This Row],[TDS]]-Table432[[#This Row],[RECIVED AMOUNT]]</f>
        <v>0</v>
      </c>
      <c r="T1119" s="131"/>
      <c r="U1119" s="131"/>
      <c r="V1119" s="129">
        <f>Table432[[#This Row],[BALANCE]]-Table432[[#This Row],[RECIVED AMOUNT2]]</f>
        <v>0</v>
      </c>
    </row>
    <row r="1120" spans="1:22" s="12" customFormat="1" ht="19.2" customHeight="1">
      <c r="A1120" s="132"/>
      <c r="B1120" s="131"/>
      <c r="C1120" s="131"/>
      <c r="D1120" s="131"/>
      <c r="E1120" s="131"/>
      <c r="F1120" s="136"/>
      <c r="G1120" s="136">
        <v>3808</v>
      </c>
      <c r="H1120" s="23">
        <v>0.18</v>
      </c>
      <c r="I1120" s="129"/>
      <c r="J1120" s="129">
        <f t="shared" si="85"/>
        <v>0</v>
      </c>
      <c r="K1120" s="129">
        <f t="shared" si="86"/>
        <v>0</v>
      </c>
      <c r="L1120" s="130"/>
      <c r="M1120" s="130">
        <f>Table432[[#This Row],[Taxable Amount]]+Table432[[#This Row],[SGST]]+Table432[[#This Row],[CGST]]</f>
        <v>0</v>
      </c>
      <c r="N1120" s="161">
        <f>Table432[[#This Row],[Taxable Amount]]*1%</f>
        <v>0</v>
      </c>
      <c r="O1120" s="132"/>
      <c r="P1120" s="135"/>
      <c r="Q1120" s="135"/>
      <c r="R1120" s="132"/>
      <c r="S1120" s="313">
        <f>Table432[[#This Row],[Invoice Amount]]-Table432[[#This Row],[TDS]]-Table432[[#This Row],[RECIVED AMOUNT]]</f>
        <v>0</v>
      </c>
      <c r="T1120" s="131"/>
      <c r="U1120" s="131"/>
      <c r="V1120" s="129">
        <f>Table432[[#This Row],[BALANCE]]-Table432[[#This Row],[RECIVED AMOUNT2]]</f>
        <v>0</v>
      </c>
    </row>
    <row r="1121" spans="1:22" s="12" customFormat="1" ht="19.2" customHeight="1">
      <c r="A1121" s="132"/>
      <c r="B1121" s="131"/>
      <c r="C1121" s="131"/>
      <c r="D1121" s="131"/>
      <c r="E1121" s="131"/>
      <c r="F1121" s="136"/>
      <c r="G1121" s="136">
        <v>3808</v>
      </c>
      <c r="H1121" s="23">
        <v>0.18</v>
      </c>
      <c r="I1121" s="129"/>
      <c r="J1121" s="129">
        <f t="shared" si="85"/>
        <v>0</v>
      </c>
      <c r="K1121" s="129">
        <f t="shared" si="86"/>
        <v>0</v>
      </c>
      <c r="L1121" s="130"/>
      <c r="M1121" s="130">
        <f>Table432[[#This Row],[Taxable Amount]]+Table432[[#This Row],[SGST]]+Table432[[#This Row],[CGST]]</f>
        <v>0</v>
      </c>
      <c r="N1121" s="161">
        <f>Table432[[#This Row],[Taxable Amount]]*1%</f>
        <v>0</v>
      </c>
      <c r="O1121" s="132"/>
      <c r="P1121" s="135"/>
      <c r="Q1121" s="135"/>
      <c r="R1121" s="132"/>
      <c r="S1121" s="313">
        <f>Table432[[#This Row],[Invoice Amount]]-Table432[[#This Row],[TDS]]-Table432[[#This Row],[RECIVED AMOUNT]]</f>
        <v>0</v>
      </c>
      <c r="T1121" s="131"/>
      <c r="U1121" s="131"/>
      <c r="V1121" s="129">
        <f>Table432[[#This Row],[BALANCE]]-Table432[[#This Row],[RECIVED AMOUNT2]]</f>
        <v>0</v>
      </c>
    </row>
    <row r="1122" spans="1:22" s="12" customFormat="1" ht="19.2" customHeight="1">
      <c r="A1122" s="132"/>
      <c r="B1122" s="131"/>
      <c r="C1122" s="131"/>
      <c r="D1122" s="131"/>
      <c r="E1122" s="131"/>
      <c r="F1122" s="136"/>
      <c r="G1122" s="136">
        <v>3808</v>
      </c>
      <c r="H1122" s="23">
        <v>0.18</v>
      </c>
      <c r="I1122" s="129"/>
      <c r="J1122" s="129">
        <f t="shared" si="85"/>
        <v>0</v>
      </c>
      <c r="K1122" s="129">
        <f t="shared" si="86"/>
        <v>0</v>
      </c>
      <c r="L1122" s="130"/>
      <c r="M1122" s="130">
        <f>Table432[[#This Row],[Taxable Amount]]+Table432[[#This Row],[SGST]]+Table432[[#This Row],[CGST]]</f>
        <v>0</v>
      </c>
      <c r="N1122" s="161">
        <f>Table432[[#This Row],[Taxable Amount]]*1%</f>
        <v>0</v>
      </c>
      <c r="O1122" s="132"/>
      <c r="P1122" s="135"/>
      <c r="Q1122" s="135"/>
      <c r="R1122" s="132"/>
      <c r="S1122" s="313">
        <f>Table432[[#This Row],[Invoice Amount]]-Table432[[#This Row],[TDS]]-Table432[[#This Row],[RECIVED AMOUNT]]</f>
        <v>0</v>
      </c>
      <c r="T1122" s="131"/>
      <c r="U1122" s="131"/>
      <c r="V1122" s="129">
        <f>Table432[[#This Row],[BALANCE]]-Table432[[#This Row],[RECIVED AMOUNT2]]</f>
        <v>0</v>
      </c>
    </row>
    <row r="1123" spans="1:22" s="12" customFormat="1" ht="19.2" customHeight="1">
      <c r="A1123" s="132"/>
      <c r="B1123" s="131"/>
      <c r="C1123" s="131"/>
      <c r="D1123" s="131"/>
      <c r="E1123" s="131"/>
      <c r="F1123" s="136"/>
      <c r="G1123" s="136">
        <v>3808</v>
      </c>
      <c r="H1123" s="23">
        <v>0.18</v>
      </c>
      <c r="I1123" s="129"/>
      <c r="J1123" s="129">
        <f t="shared" si="85"/>
        <v>0</v>
      </c>
      <c r="K1123" s="129">
        <f t="shared" si="86"/>
        <v>0</v>
      </c>
      <c r="L1123" s="130"/>
      <c r="M1123" s="130">
        <f>Table432[[#This Row],[Taxable Amount]]+Table432[[#This Row],[SGST]]+Table432[[#This Row],[CGST]]</f>
        <v>0</v>
      </c>
      <c r="N1123" s="161">
        <f>Table432[[#This Row],[Taxable Amount]]*1%</f>
        <v>0</v>
      </c>
      <c r="O1123" s="132"/>
      <c r="P1123" s="135"/>
      <c r="Q1123" s="135"/>
      <c r="R1123" s="132"/>
      <c r="S1123" s="313">
        <f>Table432[[#This Row],[Invoice Amount]]-Table432[[#This Row],[TDS]]-Table432[[#This Row],[RECIVED AMOUNT]]</f>
        <v>0</v>
      </c>
      <c r="T1123" s="131"/>
      <c r="U1123" s="131"/>
      <c r="V1123" s="129">
        <f>Table432[[#This Row],[BALANCE]]-Table432[[#This Row],[RECIVED AMOUNT2]]</f>
        <v>0</v>
      </c>
    </row>
    <row r="1124" spans="1:22" s="12" customFormat="1" ht="19.2" customHeight="1">
      <c r="A1124" s="132"/>
      <c r="B1124" s="131"/>
      <c r="C1124" s="131"/>
      <c r="D1124" s="131"/>
      <c r="E1124" s="131"/>
      <c r="F1124" s="136"/>
      <c r="G1124" s="136">
        <v>3808</v>
      </c>
      <c r="H1124" s="23">
        <v>0.18</v>
      </c>
      <c r="I1124" s="129"/>
      <c r="J1124" s="129">
        <f t="shared" si="85"/>
        <v>0</v>
      </c>
      <c r="K1124" s="129">
        <f t="shared" si="86"/>
        <v>0</v>
      </c>
      <c r="L1124" s="130"/>
      <c r="M1124" s="130">
        <f>Table432[[#This Row],[Taxable Amount]]+Table432[[#This Row],[SGST]]+Table432[[#This Row],[CGST]]</f>
        <v>0</v>
      </c>
      <c r="N1124" s="161">
        <f>Table432[[#This Row],[Taxable Amount]]*1%</f>
        <v>0</v>
      </c>
      <c r="O1124" s="132"/>
      <c r="P1124" s="135"/>
      <c r="Q1124" s="135"/>
      <c r="R1124" s="132"/>
      <c r="S1124" s="313">
        <f>Table432[[#This Row],[Invoice Amount]]-Table432[[#This Row],[TDS]]-Table432[[#This Row],[RECIVED AMOUNT]]</f>
        <v>0</v>
      </c>
      <c r="T1124" s="131"/>
      <c r="U1124" s="131"/>
      <c r="V1124" s="129">
        <f>Table432[[#This Row],[BALANCE]]-Table432[[#This Row],[RECIVED AMOUNT2]]</f>
        <v>0</v>
      </c>
    </row>
    <row r="1125" spans="1:22" s="12" customFormat="1" ht="19.2" customHeight="1">
      <c r="A1125" s="132"/>
      <c r="B1125" s="131"/>
      <c r="C1125" s="131"/>
      <c r="D1125" s="131"/>
      <c r="E1125" s="131"/>
      <c r="F1125" s="136"/>
      <c r="G1125" s="136">
        <v>3808</v>
      </c>
      <c r="H1125" s="23">
        <v>0.18</v>
      </c>
      <c r="I1125" s="129"/>
      <c r="J1125" s="129">
        <f t="shared" si="85"/>
        <v>0</v>
      </c>
      <c r="K1125" s="129">
        <f t="shared" si="86"/>
        <v>0</v>
      </c>
      <c r="L1125" s="130"/>
      <c r="M1125" s="130">
        <f>Table432[[#This Row],[Taxable Amount]]+Table432[[#This Row],[SGST]]+Table432[[#This Row],[CGST]]</f>
        <v>0</v>
      </c>
      <c r="N1125" s="161">
        <f>Table432[[#This Row],[Taxable Amount]]*1%</f>
        <v>0</v>
      </c>
      <c r="O1125" s="132"/>
      <c r="P1125" s="135"/>
      <c r="Q1125" s="135"/>
      <c r="R1125" s="132"/>
      <c r="S1125" s="313">
        <f>Table432[[#This Row],[Invoice Amount]]-Table432[[#This Row],[TDS]]-Table432[[#This Row],[RECIVED AMOUNT]]</f>
        <v>0</v>
      </c>
      <c r="T1125" s="131"/>
      <c r="U1125" s="131"/>
      <c r="V1125" s="129">
        <f>Table432[[#This Row],[BALANCE]]-Table432[[#This Row],[RECIVED AMOUNT2]]</f>
        <v>0</v>
      </c>
    </row>
    <row r="1126" spans="1:22" s="12" customFormat="1" ht="19.2" customHeight="1">
      <c r="A1126" s="132"/>
      <c r="B1126" s="131"/>
      <c r="C1126" s="131"/>
      <c r="D1126" s="131"/>
      <c r="E1126" s="131"/>
      <c r="F1126" s="136"/>
      <c r="G1126" s="136">
        <v>3808</v>
      </c>
      <c r="H1126" s="23">
        <v>0.18</v>
      </c>
      <c r="I1126" s="129"/>
      <c r="J1126" s="129">
        <f t="shared" si="85"/>
        <v>0</v>
      </c>
      <c r="K1126" s="129">
        <f t="shared" si="86"/>
        <v>0</v>
      </c>
      <c r="L1126" s="130"/>
      <c r="M1126" s="130">
        <f>Table432[[#This Row],[Taxable Amount]]+Table432[[#This Row],[SGST]]+Table432[[#This Row],[CGST]]</f>
        <v>0</v>
      </c>
      <c r="N1126" s="161">
        <f>Table432[[#This Row],[Taxable Amount]]*1%</f>
        <v>0</v>
      </c>
      <c r="O1126" s="132"/>
      <c r="P1126" s="135"/>
      <c r="Q1126" s="135"/>
      <c r="R1126" s="132"/>
      <c r="S1126" s="313">
        <f>Table432[[#This Row],[Invoice Amount]]-Table432[[#This Row],[TDS]]-Table432[[#This Row],[RECIVED AMOUNT]]</f>
        <v>0</v>
      </c>
      <c r="T1126" s="131"/>
      <c r="U1126" s="131"/>
      <c r="V1126" s="129">
        <f>Table432[[#This Row],[BALANCE]]-Table432[[#This Row],[RECIVED AMOUNT2]]</f>
        <v>0</v>
      </c>
    </row>
    <row r="1127" spans="1:22" s="12" customFormat="1" ht="19.2" customHeight="1">
      <c r="A1127" s="132"/>
      <c r="B1127" s="131"/>
      <c r="C1127" s="131"/>
      <c r="D1127" s="131"/>
      <c r="E1127" s="131"/>
      <c r="F1127" s="136"/>
      <c r="G1127" s="136">
        <v>3808</v>
      </c>
      <c r="H1127" s="23">
        <v>0.18</v>
      </c>
      <c r="I1127" s="129"/>
      <c r="J1127" s="129">
        <f t="shared" si="85"/>
        <v>0</v>
      </c>
      <c r="K1127" s="129">
        <f t="shared" si="86"/>
        <v>0</v>
      </c>
      <c r="L1127" s="130"/>
      <c r="M1127" s="130">
        <f>Table432[[#This Row],[Taxable Amount]]+Table432[[#This Row],[SGST]]+Table432[[#This Row],[CGST]]</f>
        <v>0</v>
      </c>
      <c r="N1127" s="161">
        <f>Table432[[#This Row],[Taxable Amount]]*1%</f>
        <v>0</v>
      </c>
      <c r="O1127" s="132"/>
      <c r="P1127" s="135"/>
      <c r="Q1127" s="135"/>
      <c r="R1127" s="132"/>
      <c r="S1127" s="313">
        <f>Table432[[#This Row],[Invoice Amount]]-Table432[[#This Row],[TDS]]-Table432[[#This Row],[RECIVED AMOUNT]]</f>
        <v>0</v>
      </c>
      <c r="T1127" s="131"/>
      <c r="U1127" s="131"/>
      <c r="V1127" s="129">
        <f>Table432[[#This Row],[BALANCE]]-Table432[[#This Row],[RECIVED AMOUNT2]]</f>
        <v>0</v>
      </c>
    </row>
    <row r="1128" spans="1:22" s="12" customFormat="1" ht="19.2" customHeight="1">
      <c r="A1128" s="132"/>
      <c r="B1128" s="131"/>
      <c r="C1128" s="131"/>
      <c r="D1128" s="131"/>
      <c r="E1128" s="131"/>
      <c r="F1128" s="136"/>
      <c r="G1128" s="136">
        <v>3808</v>
      </c>
      <c r="H1128" s="23">
        <v>0.18</v>
      </c>
      <c r="I1128" s="129"/>
      <c r="J1128" s="129">
        <f t="shared" si="85"/>
        <v>0</v>
      </c>
      <c r="K1128" s="129">
        <f t="shared" si="86"/>
        <v>0</v>
      </c>
      <c r="L1128" s="130"/>
      <c r="M1128" s="130">
        <f>Table432[[#This Row],[Taxable Amount]]+Table432[[#This Row],[SGST]]+Table432[[#This Row],[CGST]]</f>
        <v>0</v>
      </c>
      <c r="N1128" s="161">
        <f>Table432[[#This Row],[Taxable Amount]]*1%</f>
        <v>0</v>
      </c>
      <c r="O1128" s="132"/>
      <c r="P1128" s="135"/>
      <c r="Q1128" s="135"/>
      <c r="R1128" s="132"/>
      <c r="S1128" s="313">
        <f>Table432[[#This Row],[Invoice Amount]]-Table432[[#This Row],[TDS]]-Table432[[#This Row],[RECIVED AMOUNT]]</f>
        <v>0</v>
      </c>
      <c r="T1128" s="131"/>
      <c r="U1128" s="131"/>
      <c r="V1128" s="129">
        <f>Table432[[#This Row],[BALANCE]]-Table432[[#This Row],[RECIVED AMOUNT2]]</f>
        <v>0</v>
      </c>
    </row>
    <row r="1129" spans="1:22" s="12" customFormat="1" ht="19.2" customHeight="1">
      <c r="A1129" s="132"/>
      <c r="B1129" s="131"/>
      <c r="C1129" s="131"/>
      <c r="D1129" s="131"/>
      <c r="E1129" s="131"/>
      <c r="F1129" s="136"/>
      <c r="G1129" s="136">
        <v>3808</v>
      </c>
      <c r="H1129" s="23">
        <v>0.18</v>
      </c>
      <c r="I1129" s="129"/>
      <c r="J1129" s="129">
        <f t="shared" si="85"/>
        <v>0</v>
      </c>
      <c r="K1129" s="129">
        <f t="shared" si="86"/>
        <v>0</v>
      </c>
      <c r="L1129" s="130"/>
      <c r="M1129" s="130">
        <f>Table432[[#This Row],[Taxable Amount]]+Table432[[#This Row],[SGST]]+Table432[[#This Row],[CGST]]</f>
        <v>0</v>
      </c>
      <c r="N1129" s="161">
        <f>Table432[[#This Row],[Taxable Amount]]*1%</f>
        <v>0</v>
      </c>
      <c r="O1129" s="132"/>
      <c r="P1129" s="135"/>
      <c r="Q1129" s="135"/>
      <c r="R1129" s="132"/>
      <c r="S1129" s="313">
        <f>Table432[[#This Row],[Invoice Amount]]-Table432[[#This Row],[TDS]]-Table432[[#This Row],[RECIVED AMOUNT]]</f>
        <v>0</v>
      </c>
      <c r="T1129" s="131"/>
      <c r="U1129" s="131"/>
      <c r="V1129" s="129">
        <f>Table432[[#This Row],[BALANCE]]-Table432[[#This Row],[RECIVED AMOUNT2]]</f>
        <v>0</v>
      </c>
    </row>
    <row r="1130" spans="1:22" s="12" customFormat="1" ht="19.2" customHeight="1">
      <c r="A1130" s="132"/>
      <c r="B1130" s="131"/>
      <c r="C1130" s="131"/>
      <c r="D1130" s="131"/>
      <c r="E1130" s="131"/>
      <c r="F1130" s="136"/>
      <c r="G1130" s="136">
        <v>3808</v>
      </c>
      <c r="H1130" s="23">
        <v>0.18</v>
      </c>
      <c r="I1130" s="129"/>
      <c r="J1130" s="129">
        <f t="shared" si="85"/>
        <v>0</v>
      </c>
      <c r="K1130" s="129">
        <f t="shared" si="86"/>
        <v>0</v>
      </c>
      <c r="L1130" s="130"/>
      <c r="M1130" s="130">
        <f>Table432[[#This Row],[Taxable Amount]]+Table432[[#This Row],[SGST]]+Table432[[#This Row],[CGST]]</f>
        <v>0</v>
      </c>
      <c r="N1130" s="161">
        <f>Table432[[#This Row],[Taxable Amount]]*1%</f>
        <v>0</v>
      </c>
      <c r="O1130" s="132"/>
      <c r="P1130" s="135"/>
      <c r="Q1130" s="135"/>
      <c r="R1130" s="132"/>
      <c r="S1130" s="313">
        <f>Table432[[#This Row],[Invoice Amount]]-Table432[[#This Row],[TDS]]-Table432[[#This Row],[RECIVED AMOUNT]]</f>
        <v>0</v>
      </c>
      <c r="T1130" s="131"/>
      <c r="U1130" s="131"/>
      <c r="V1130" s="129">
        <f>Table432[[#This Row],[BALANCE]]-Table432[[#This Row],[RECIVED AMOUNT2]]</f>
        <v>0</v>
      </c>
    </row>
    <row r="1131" spans="1:22" s="12" customFormat="1" ht="19.2" customHeight="1">
      <c r="A1131" s="132"/>
      <c r="B1131" s="131"/>
      <c r="C1131" s="131"/>
      <c r="D1131" s="131"/>
      <c r="E1131" s="131"/>
      <c r="F1131" s="136"/>
      <c r="G1131" s="136">
        <v>3808</v>
      </c>
      <c r="H1131" s="23">
        <v>0.18</v>
      </c>
      <c r="I1131" s="129"/>
      <c r="J1131" s="129">
        <f t="shared" si="85"/>
        <v>0</v>
      </c>
      <c r="K1131" s="129">
        <f t="shared" si="86"/>
        <v>0</v>
      </c>
      <c r="L1131" s="130"/>
      <c r="M1131" s="130">
        <f>Table432[[#This Row],[Taxable Amount]]+Table432[[#This Row],[SGST]]+Table432[[#This Row],[CGST]]</f>
        <v>0</v>
      </c>
      <c r="N1131" s="161">
        <f>Table432[[#This Row],[Taxable Amount]]*1%</f>
        <v>0</v>
      </c>
      <c r="O1131" s="132"/>
      <c r="P1131" s="135"/>
      <c r="Q1131" s="135"/>
      <c r="R1131" s="132"/>
      <c r="S1131" s="313">
        <f>Table432[[#This Row],[Invoice Amount]]-Table432[[#This Row],[TDS]]-Table432[[#This Row],[RECIVED AMOUNT]]</f>
        <v>0</v>
      </c>
      <c r="T1131" s="131"/>
      <c r="U1131" s="131"/>
      <c r="V1131" s="129">
        <f>Table432[[#This Row],[BALANCE]]-Table432[[#This Row],[RECIVED AMOUNT2]]</f>
        <v>0</v>
      </c>
    </row>
    <row r="1132" spans="1:22" s="12" customFormat="1" ht="19.2" customHeight="1">
      <c r="A1132" s="132"/>
      <c r="B1132" s="131"/>
      <c r="C1132" s="131"/>
      <c r="D1132" s="131"/>
      <c r="E1132" s="131"/>
      <c r="F1132" s="136"/>
      <c r="G1132" s="136">
        <v>3808</v>
      </c>
      <c r="H1132" s="23">
        <v>0.18</v>
      </c>
      <c r="I1132" s="129"/>
      <c r="J1132" s="129">
        <f t="shared" si="85"/>
        <v>0</v>
      </c>
      <c r="K1132" s="129">
        <f t="shared" si="86"/>
        <v>0</v>
      </c>
      <c r="L1132" s="130"/>
      <c r="M1132" s="130">
        <f>Table432[[#This Row],[Taxable Amount]]+Table432[[#This Row],[SGST]]+Table432[[#This Row],[CGST]]</f>
        <v>0</v>
      </c>
      <c r="N1132" s="161">
        <f>Table432[[#This Row],[Taxable Amount]]*1%</f>
        <v>0</v>
      </c>
      <c r="O1132" s="132"/>
      <c r="P1132" s="135"/>
      <c r="Q1132" s="135"/>
      <c r="R1132" s="132"/>
      <c r="S1132" s="313">
        <f>Table432[[#This Row],[Invoice Amount]]-Table432[[#This Row],[TDS]]-Table432[[#This Row],[RECIVED AMOUNT]]</f>
        <v>0</v>
      </c>
      <c r="T1132" s="131"/>
      <c r="U1132" s="131"/>
      <c r="V1132" s="129">
        <f>Table432[[#This Row],[BALANCE]]-Table432[[#This Row],[RECIVED AMOUNT2]]</f>
        <v>0</v>
      </c>
    </row>
    <row r="1133" spans="1:22" s="12" customFormat="1" ht="19.2" customHeight="1">
      <c r="A1133" s="132"/>
      <c r="B1133" s="131"/>
      <c r="C1133" s="131"/>
      <c r="D1133" s="131"/>
      <c r="E1133" s="131"/>
      <c r="F1133" s="136"/>
      <c r="G1133" s="136">
        <v>3808</v>
      </c>
      <c r="H1133" s="23">
        <v>0.18</v>
      </c>
      <c r="I1133" s="129"/>
      <c r="J1133" s="129">
        <f t="shared" si="85"/>
        <v>0</v>
      </c>
      <c r="K1133" s="129">
        <f t="shared" si="86"/>
        <v>0</v>
      </c>
      <c r="L1133" s="130"/>
      <c r="M1133" s="130">
        <f>Table432[[#This Row],[Taxable Amount]]+Table432[[#This Row],[SGST]]+Table432[[#This Row],[CGST]]</f>
        <v>0</v>
      </c>
      <c r="N1133" s="161">
        <f>Table432[[#This Row],[Taxable Amount]]*1%</f>
        <v>0</v>
      </c>
      <c r="O1133" s="132"/>
      <c r="P1133" s="135"/>
      <c r="Q1133" s="135"/>
      <c r="R1133" s="132"/>
      <c r="S1133" s="313">
        <f>Table432[[#This Row],[Invoice Amount]]-Table432[[#This Row],[TDS]]-Table432[[#This Row],[RECIVED AMOUNT]]</f>
        <v>0</v>
      </c>
      <c r="T1133" s="131"/>
      <c r="U1133" s="131"/>
      <c r="V1133" s="129">
        <f>Table432[[#This Row],[BALANCE]]-Table432[[#This Row],[RECIVED AMOUNT2]]</f>
        <v>0</v>
      </c>
    </row>
    <row r="1134" spans="1:22" s="12" customFormat="1" ht="19.2" customHeight="1">
      <c r="A1134" s="132"/>
      <c r="B1134" s="131"/>
      <c r="C1134" s="131"/>
      <c r="D1134" s="131"/>
      <c r="E1134" s="131"/>
      <c r="F1134" s="136"/>
      <c r="G1134" s="136">
        <v>3808</v>
      </c>
      <c r="H1134" s="23">
        <v>0.18</v>
      </c>
      <c r="I1134" s="129"/>
      <c r="J1134" s="129">
        <f t="shared" si="85"/>
        <v>0</v>
      </c>
      <c r="K1134" s="129">
        <f t="shared" si="86"/>
        <v>0</v>
      </c>
      <c r="L1134" s="130"/>
      <c r="M1134" s="130">
        <f>Table432[[#This Row],[Taxable Amount]]+Table432[[#This Row],[SGST]]+Table432[[#This Row],[CGST]]</f>
        <v>0</v>
      </c>
      <c r="N1134" s="161">
        <f>Table432[[#This Row],[Taxable Amount]]*1%</f>
        <v>0</v>
      </c>
      <c r="O1134" s="132"/>
      <c r="P1134" s="135"/>
      <c r="Q1134" s="135"/>
      <c r="R1134" s="132"/>
      <c r="S1134" s="313">
        <f>Table432[[#This Row],[Invoice Amount]]-Table432[[#This Row],[TDS]]-Table432[[#This Row],[RECIVED AMOUNT]]</f>
        <v>0</v>
      </c>
      <c r="T1134" s="131"/>
      <c r="U1134" s="131"/>
      <c r="V1134" s="129">
        <f>Table432[[#This Row],[BALANCE]]-Table432[[#This Row],[RECIVED AMOUNT2]]</f>
        <v>0</v>
      </c>
    </row>
    <row r="1135" spans="1:22" s="12" customFormat="1" ht="19.2" customHeight="1">
      <c r="A1135" s="132"/>
      <c r="B1135" s="131"/>
      <c r="C1135" s="131"/>
      <c r="D1135" s="131"/>
      <c r="E1135" s="131"/>
      <c r="F1135" s="136"/>
      <c r="G1135" s="136">
        <v>3808</v>
      </c>
      <c r="H1135" s="23">
        <v>0.18</v>
      </c>
      <c r="I1135" s="129"/>
      <c r="J1135" s="129">
        <f t="shared" si="85"/>
        <v>0</v>
      </c>
      <c r="K1135" s="129">
        <f t="shared" si="86"/>
        <v>0</v>
      </c>
      <c r="L1135" s="130"/>
      <c r="M1135" s="130">
        <f>Table432[[#This Row],[Taxable Amount]]+Table432[[#This Row],[SGST]]+Table432[[#This Row],[CGST]]</f>
        <v>0</v>
      </c>
      <c r="N1135" s="161">
        <f>Table432[[#This Row],[Taxable Amount]]*1%</f>
        <v>0</v>
      </c>
      <c r="O1135" s="132"/>
      <c r="P1135" s="135"/>
      <c r="Q1135" s="135"/>
      <c r="R1135" s="132"/>
      <c r="S1135" s="313">
        <f>Table432[[#This Row],[Invoice Amount]]-Table432[[#This Row],[TDS]]-Table432[[#This Row],[RECIVED AMOUNT]]</f>
        <v>0</v>
      </c>
      <c r="T1135" s="131"/>
      <c r="U1135" s="131"/>
      <c r="V1135" s="129">
        <f>Table432[[#This Row],[BALANCE]]-Table432[[#This Row],[RECIVED AMOUNT2]]</f>
        <v>0</v>
      </c>
    </row>
    <row r="1136" spans="1:22" s="12" customFormat="1" ht="19.2" customHeight="1">
      <c r="A1136" s="132"/>
      <c r="B1136" s="131"/>
      <c r="C1136" s="131"/>
      <c r="D1136" s="131"/>
      <c r="E1136" s="131"/>
      <c r="F1136" s="136"/>
      <c r="G1136" s="136">
        <v>3808</v>
      </c>
      <c r="H1136" s="23">
        <v>0.18</v>
      </c>
      <c r="I1136" s="129"/>
      <c r="J1136" s="129">
        <f t="shared" si="85"/>
        <v>0</v>
      </c>
      <c r="K1136" s="129">
        <f t="shared" si="86"/>
        <v>0</v>
      </c>
      <c r="L1136" s="130"/>
      <c r="M1136" s="130">
        <f>Table432[[#This Row],[Taxable Amount]]+Table432[[#This Row],[SGST]]+Table432[[#This Row],[CGST]]</f>
        <v>0</v>
      </c>
      <c r="N1136" s="161">
        <f>Table432[[#This Row],[Taxable Amount]]*1%</f>
        <v>0</v>
      </c>
      <c r="O1136" s="132"/>
      <c r="P1136" s="135"/>
      <c r="Q1136" s="135"/>
      <c r="R1136" s="132"/>
      <c r="S1136" s="313">
        <f>Table432[[#This Row],[Invoice Amount]]-Table432[[#This Row],[TDS]]-Table432[[#This Row],[RECIVED AMOUNT]]</f>
        <v>0</v>
      </c>
      <c r="T1136" s="131"/>
      <c r="U1136" s="131"/>
      <c r="V1136" s="129">
        <f>Table432[[#This Row],[BALANCE]]-Table432[[#This Row],[RECIVED AMOUNT2]]</f>
        <v>0</v>
      </c>
    </row>
    <row r="1137" spans="1:22" s="12" customFormat="1" ht="19.2" customHeight="1">
      <c r="A1137" s="132"/>
      <c r="B1137" s="131"/>
      <c r="C1137" s="131"/>
      <c r="D1137" s="131"/>
      <c r="E1137" s="131"/>
      <c r="F1137" s="136"/>
      <c r="G1137" s="136">
        <v>3808</v>
      </c>
      <c r="H1137" s="23">
        <v>0.18</v>
      </c>
      <c r="I1137" s="129"/>
      <c r="J1137" s="129">
        <f t="shared" si="85"/>
        <v>0</v>
      </c>
      <c r="K1137" s="129">
        <f t="shared" si="86"/>
        <v>0</v>
      </c>
      <c r="L1137" s="130"/>
      <c r="M1137" s="130">
        <f>Table432[[#This Row],[Taxable Amount]]+Table432[[#This Row],[SGST]]+Table432[[#This Row],[CGST]]</f>
        <v>0</v>
      </c>
      <c r="N1137" s="161">
        <f>Table432[[#This Row],[Taxable Amount]]*1%</f>
        <v>0</v>
      </c>
      <c r="O1137" s="132"/>
      <c r="P1137" s="135"/>
      <c r="Q1137" s="135"/>
      <c r="R1137" s="132"/>
      <c r="S1137" s="313">
        <f>Table432[[#This Row],[Invoice Amount]]-Table432[[#This Row],[TDS]]-Table432[[#This Row],[RECIVED AMOUNT]]</f>
        <v>0</v>
      </c>
      <c r="T1137" s="131"/>
      <c r="U1137" s="131"/>
      <c r="V1137" s="129">
        <f>Table432[[#This Row],[BALANCE]]-Table432[[#This Row],[RECIVED AMOUNT2]]</f>
        <v>0</v>
      </c>
    </row>
    <row r="1138" spans="1:22" s="12" customFormat="1" ht="19.2" customHeight="1">
      <c r="A1138" s="132"/>
      <c r="B1138" s="131"/>
      <c r="C1138" s="131"/>
      <c r="D1138" s="131"/>
      <c r="E1138" s="131"/>
      <c r="F1138" s="136"/>
      <c r="G1138" s="136">
        <v>3808</v>
      </c>
      <c r="H1138" s="23">
        <v>0.18</v>
      </c>
      <c r="I1138" s="129"/>
      <c r="J1138" s="129">
        <f t="shared" si="85"/>
        <v>0</v>
      </c>
      <c r="K1138" s="129">
        <f t="shared" si="86"/>
        <v>0</v>
      </c>
      <c r="L1138" s="130"/>
      <c r="M1138" s="130">
        <f>Table432[[#This Row],[Taxable Amount]]+Table432[[#This Row],[SGST]]+Table432[[#This Row],[CGST]]</f>
        <v>0</v>
      </c>
      <c r="N1138" s="161">
        <f>Table432[[#This Row],[Taxable Amount]]*1%</f>
        <v>0</v>
      </c>
      <c r="O1138" s="132"/>
      <c r="P1138" s="135"/>
      <c r="Q1138" s="135"/>
      <c r="R1138" s="132"/>
      <c r="S1138" s="313">
        <f>Table432[[#This Row],[Invoice Amount]]-Table432[[#This Row],[TDS]]-Table432[[#This Row],[RECIVED AMOUNT]]</f>
        <v>0</v>
      </c>
      <c r="T1138" s="131"/>
      <c r="U1138" s="131"/>
      <c r="V1138" s="129">
        <f>Table432[[#This Row],[BALANCE]]-Table432[[#This Row],[RECIVED AMOUNT2]]</f>
        <v>0</v>
      </c>
    </row>
    <row r="1139" spans="1:22" s="12" customFormat="1" ht="19.2" customHeight="1">
      <c r="A1139" s="132"/>
      <c r="B1139" s="131"/>
      <c r="C1139" s="131"/>
      <c r="D1139" s="131"/>
      <c r="E1139" s="131"/>
      <c r="F1139" s="136"/>
      <c r="G1139" s="136">
        <v>3808</v>
      </c>
      <c r="H1139" s="23">
        <v>0.18</v>
      </c>
      <c r="I1139" s="129"/>
      <c r="J1139" s="129">
        <f t="shared" si="85"/>
        <v>0</v>
      </c>
      <c r="K1139" s="129">
        <f t="shared" si="86"/>
        <v>0</v>
      </c>
      <c r="L1139" s="130"/>
      <c r="M1139" s="130">
        <f>Table432[[#This Row],[Taxable Amount]]+Table432[[#This Row],[SGST]]+Table432[[#This Row],[CGST]]</f>
        <v>0</v>
      </c>
      <c r="N1139" s="161">
        <f>Table432[[#This Row],[Taxable Amount]]*1%</f>
        <v>0</v>
      </c>
      <c r="O1139" s="132"/>
      <c r="P1139" s="135"/>
      <c r="Q1139" s="135"/>
      <c r="R1139" s="132"/>
      <c r="S1139" s="313">
        <f>Table432[[#This Row],[Invoice Amount]]-Table432[[#This Row],[TDS]]-Table432[[#This Row],[RECIVED AMOUNT]]</f>
        <v>0</v>
      </c>
      <c r="T1139" s="131"/>
      <c r="U1139" s="131"/>
      <c r="V1139" s="129">
        <f>Table432[[#This Row],[BALANCE]]-Table432[[#This Row],[RECIVED AMOUNT2]]</f>
        <v>0</v>
      </c>
    </row>
    <row r="1140" spans="1:22" s="12" customFormat="1" ht="19.2" customHeight="1">
      <c r="A1140" s="132"/>
      <c r="B1140" s="131"/>
      <c r="C1140" s="131"/>
      <c r="D1140" s="131"/>
      <c r="E1140" s="131"/>
      <c r="F1140" s="136"/>
      <c r="G1140" s="136">
        <v>3808</v>
      </c>
      <c r="H1140" s="23">
        <v>0.18</v>
      </c>
      <c r="I1140" s="129"/>
      <c r="J1140" s="129">
        <f t="shared" si="85"/>
        <v>0</v>
      </c>
      <c r="K1140" s="129">
        <f t="shared" si="86"/>
        <v>0</v>
      </c>
      <c r="L1140" s="130"/>
      <c r="M1140" s="130">
        <f>Table432[[#This Row],[Taxable Amount]]+Table432[[#This Row],[SGST]]+Table432[[#This Row],[CGST]]</f>
        <v>0</v>
      </c>
      <c r="N1140" s="161">
        <f>Table432[[#This Row],[Taxable Amount]]*1%</f>
        <v>0</v>
      </c>
      <c r="O1140" s="132"/>
      <c r="P1140" s="135"/>
      <c r="Q1140" s="135"/>
      <c r="R1140" s="132"/>
      <c r="S1140" s="313">
        <f>Table432[[#This Row],[Invoice Amount]]-Table432[[#This Row],[TDS]]-Table432[[#This Row],[RECIVED AMOUNT]]</f>
        <v>0</v>
      </c>
      <c r="T1140" s="131"/>
      <c r="U1140" s="131"/>
      <c r="V1140" s="129">
        <f>Table432[[#This Row],[BALANCE]]-Table432[[#This Row],[RECIVED AMOUNT2]]</f>
        <v>0</v>
      </c>
    </row>
    <row r="1141" spans="1:22" s="12" customFormat="1" ht="19.2" customHeight="1">
      <c r="A1141" s="132"/>
      <c r="B1141" s="131"/>
      <c r="C1141" s="131"/>
      <c r="D1141" s="131"/>
      <c r="E1141" s="131"/>
      <c r="F1141" s="136"/>
      <c r="G1141" s="136">
        <v>3808</v>
      </c>
      <c r="H1141" s="23">
        <v>0.18</v>
      </c>
      <c r="I1141" s="129"/>
      <c r="J1141" s="129">
        <f t="shared" si="85"/>
        <v>0</v>
      </c>
      <c r="K1141" s="129">
        <f t="shared" si="86"/>
        <v>0</v>
      </c>
      <c r="L1141" s="130"/>
      <c r="M1141" s="130">
        <f>Table432[[#This Row],[Taxable Amount]]+Table432[[#This Row],[SGST]]+Table432[[#This Row],[CGST]]</f>
        <v>0</v>
      </c>
      <c r="N1141" s="161">
        <f>Table432[[#This Row],[Taxable Amount]]*1%</f>
        <v>0</v>
      </c>
      <c r="O1141" s="132"/>
      <c r="P1141" s="135"/>
      <c r="Q1141" s="135"/>
      <c r="R1141" s="132"/>
      <c r="S1141" s="313">
        <f>Table432[[#This Row],[Invoice Amount]]-Table432[[#This Row],[TDS]]-Table432[[#This Row],[RECIVED AMOUNT]]</f>
        <v>0</v>
      </c>
      <c r="T1141" s="131"/>
      <c r="U1141" s="131"/>
      <c r="V1141" s="129">
        <f>Table432[[#This Row],[BALANCE]]-Table432[[#This Row],[RECIVED AMOUNT2]]</f>
        <v>0</v>
      </c>
    </row>
    <row r="1142" spans="1:22" s="12" customFormat="1" ht="19.2" customHeight="1">
      <c r="A1142" s="132"/>
      <c r="B1142" s="131"/>
      <c r="C1142" s="131"/>
      <c r="D1142" s="131"/>
      <c r="E1142" s="131"/>
      <c r="F1142" s="136"/>
      <c r="G1142" s="136">
        <v>3808</v>
      </c>
      <c r="H1142" s="23">
        <v>0.18</v>
      </c>
      <c r="I1142" s="129"/>
      <c r="J1142" s="129">
        <f t="shared" si="85"/>
        <v>0</v>
      </c>
      <c r="K1142" s="129">
        <f t="shared" si="86"/>
        <v>0</v>
      </c>
      <c r="L1142" s="130"/>
      <c r="M1142" s="130">
        <f>Table432[[#This Row],[Taxable Amount]]+Table432[[#This Row],[SGST]]+Table432[[#This Row],[CGST]]</f>
        <v>0</v>
      </c>
      <c r="N1142" s="161">
        <f>Table432[[#This Row],[Taxable Amount]]*1%</f>
        <v>0</v>
      </c>
      <c r="O1142" s="132"/>
      <c r="P1142" s="135"/>
      <c r="Q1142" s="135"/>
      <c r="R1142" s="132"/>
      <c r="S1142" s="313">
        <f>Table432[[#This Row],[Invoice Amount]]-Table432[[#This Row],[TDS]]-Table432[[#This Row],[RECIVED AMOUNT]]</f>
        <v>0</v>
      </c>
      <c r="T1142" s="131"/>
      <c r="U1142" s="131"/>
      <c r="V1142" s="129">
        <f>Table432[[#This Row],[BALANCE]]-Table432[[#This Row],[RECIVED AMOUNT2]]</f>
        <v>0</v>
      </c>
    </row>
    <row r="1143" spans="1:22" s="12" customFormat="1" ht="19.2" customHeight="1">
      <c r="A1143" s="132"/>
      <c r="B1143" s="131"/>
      <c r="C1143" s="131"/>
      <c r="D1143" s="131"/>
      <c r="E1143" s="131"/>
      <c r="F1143" s="136"/>
      <c r="G1143" s="136">
        <v>3808</v>
      </c>
      <c r="H1143" s="23">
        <v>0.18</v>
      </c>
      <c r="I1143" s="129"/>
      <c r="J1143" s="129">
        <f t="shared" si="85"/>
        <v>0</v>
      </c>
      <c r="K1143" s="129">
        <f t="shared" si="86"/>
        <v>0</v>
      </c>
      <c r="L1143" s="130"/>
      <c r="M1143" s="130">
        <f>Table432[[#This Row],[Taxable Amount]]+Table432[[#This Row],[SGST]]+Table432[[#This Row],[CGST]]</f>
        <v>0</v>
      </c>
      <c r="N1143" s="161">
        <f>Table432[[#This Row],[Taxable Amount]]*1%</f>
        <v>0</v>
      </c>
      <c r="O1143" s="132"/>
      <c r="P1143" s="135"/>
      <c r="Q1143" s="135"/>
      <c r="R1143" s="132"/>
      <c r="S1143" s="313">
        <f>Table432[[#This Row],[Invoice Amount]]-Table432[[#This Row],[TDS]]-Table432[[#This Row],[RECIVED AMOUNT]]</f>
        <v>0</v>
      </c>
      <c r="T1143" s="131"/>
      <c r="U1143" s="131"/>
      <c r="V1143" s="129">
        <f>Table432[[#This Row],[BALANCE]]-Table432[[#This Row],[RECIVED AMOUNT2]]</f>
        <v>0</v>
      </c>
    </row>
    <row r="1144" spans="1:22" s="12" customFormat="1" ht="19.2" customHeight="1">
      <c r="A1144" s="132"/>
      <c r="B1144" s="131"/>
      <c r="C1144" s="131"/>
      <c r="D1144" s="131"/>
      <c r="E1144" s="131"/>
      <c r="F1144" s="136"/>
      <c r="G1144" s="136">
        <v>3808</v>
      </c>
      <c r="H1144" s="23">
        <v>0.18</v>
      </c>
      <c r="I1144" s="129"/>
      <c r="J1144" s="129">
        <f t="shared" si="85"/>
        <v>0</v>
      </c>
      <c r="K1144" s="129">
        <f t="shared" si="86"/>
        <v>0</v>
      </c>
      <c r="L1144" s="130"/>
      <c r="M1144" s="130">
        <f>Table432[[#This Row],[Taxable Amount]]+Table432[[#This Row],[SGST]]+Table432[[#This Row],[CGST]]</f>
        <v>0</v>
      </c>
      <c r="N1144" s="161">
        <f>Table432[[#This Row],[Taxable Amount]]*1%</f>
        <v>0</v>
      </c>
      <c r="O1144" s="132"/>
      <c r="P1144" s="135"/>
      <c r="Q1144" s="135"/>
      <c r="R1144" s="132"/>
      <c r="S1144" s="313">
        <f>Table432[[#This Row],[Invoice Amount]]-Table432[[#This Row],[TDS]]-Table432[[#This Row],[RECIVED AMOUNT]]</f>
        <v>0</v>
      </c>
      <c r="T1144" s="131"/>
      <c r="U1144" s="131"/>
      <c r="V1144" s="129">
        <f>Table432[[#This Row],[BALANCE]]-Table432[[#This Row],[RECIVED AMOUNT2]]</f>
        <v>0</v>
      </c>
    </row>
    <row r="1145" spans="1:22" s="12" customFormat="1" ht="19.2" customHeight="1">
      <c r="A1145" s="132"/>
      <c r="B1145" s="131"/>
      <c r="C1145" s="131"/>
      <c r="D1145" s="131"/>
      <c r="E1145" s="131"/>
      <c r="F1145" s="136"/>
      <c r="G1145" s="136">
        <v>3808</v>
      </c>
      <c r="H1145" s="23">
        <v>0.18</v>
      </c>
      <c r="I1145" s="129"/>
      <c r="J1145" s="129">
        <f t="shared" si="85"/>
        <v>0</v>
      </c>
      <c r="K1145" s="129">
        <f t="shared" si="86"/>
        <v>0</v>
      </c>
      <c r="L1145" s="130"/>
      <c r="M1145" s="130">
        <f>Table432[[#This Row],[Taxable Amount]]+Table432[[#This Row],[SGST]]+Table432[[#This Row],[CGST]]</f>
        <v>0</v>
      </c>
      <c r="N1145" s="161">
        <f>Table432[[#This Row],[Taxable Amount]]*1%</f>
        <v>0</v>
      </c>
      <c r="O1145" s="132"/>
      <c r="P1145" s="135"/>
      <c r="Q1145" s="135"/>
      <c r="R1145" s="132"/>
      <c r="S1145" s="313">
        <f>Table432[[#This Row],[Invoice Amount]]-Table432[[#This Row],[TDS]]-Table432[[#This Row],[RECIVED AMOUNT]]</f>
        <v>0</v>
      </c>
      <c r="T1145" s="131"/>
      <c r="U1145" s="131"/>
      <c r="V1145" s="129">
        <f>Table432[[#This Row],[BALANCE]]-Table432[[#This Row],[RECIVED AMOUNT2]]</f>
        <v>0</v>
      </c>
    </row>
    <row r="1146" spans="1:22" s="12" customFormat="1" ht="19.2" customHeight="1">
      <c r="A1146" s="132"/>
      <c r="B1146" s="131"/>
      <c r="C1146" s="131"/>
      <c r="D1146" s="131"/>
      <c r="E1146" s="131"/>
      <c r="F1146" s="136"/>
      <c r="G1146" s="136">
        <v>3808</v>
      </c>
      <c r="H1146" s="23">
        <v>0.18</v>
      </c>
      <c r="I1146" s="129"/>
      <c r="J1146" s="129">
        <f t="shared" si="85"/>
        <v>0</v>
      </c>
      <c r="K1146" s="129">
        <f t="shared" si="86"/>
        <v>0</v>
      </c>
      <c r="L1146" s="130"/>
      <c r="M1146" s="130">
        <f>Table432[[#This Row],[Taxable Amount]]+Table432[[#This Row],[SGST]]+Table432[[#This Row],[CGST]]</f>
        <v>0</v>
      </c>
      <c r="N1146" s="161">
        <f>Table432[[#This Row],[Taxable Amount]]*1%</f>
        <v>0</v>
      </c>
      <c r="O1146" s="132"/>
      <c r="P1146" s="135"/>
      <c r="Q1146" s="135"/>
      <c r="R1146" s="132"/>
      <c r="S1146" s="313">
        <f>Table432[[#This Row],[Invoice Amount]]-Table432[[#This Row],[TDS]]-Table432[[#This Row],[RECIVED AMOUNT]]</f>
        <v>0</v>
      </c>
      <c r="T1146" s="131"/>
      <c r="U1146" s="131"/>
      <c r="V1146" s="129">
        <f>Table432[[#This Row],[BALANCE]]-Table432[[#This Row],[RECIVED AMOUNT2]]</f>
        <v>0</v>
      </c>
    </row>
    <row r="1147" spans="1:22" s="12" customFormat="1" ht="19.2" customHeight="1">
      <c r="A1147" s="132"/>
      <c r="B1147" s="131"/>
      <c r="C1147" s="131"/>
      <c r="D1147" s="131"/>
      <c r="E1147" s="131"/>
      <c r="F1147" s="136"/>
      <c r="G1147" s="136">
        <v>3808</v>
      </c>
      <c r="H1147" s="23">
        <v>0.18</v>
      </c>
      <c r="I1147" s="129"/>
      <c r="J1147" s="129">
        <f t="shared" si="85"/>
        <v>0</v>
      </c>
      <c r="K1147" s="129">
        <f t="shared" si="86"/>
        <v>0</v>
      </c>
      <c r="L1147" s="130"/>
      <c r="M1147" s="130">
        <f>Table432[[#This Row],[Taxable Amount]]+Table432[[#This Row],[SGST]]+Table432[[#This Row],[CGST]]</f>
        <v>0</v>
      </c>
      <c r="N1147" s="161">
        <f>Table432[[#This Row],[Taxable Amount]]*1%</f>
        <v>0</v>
      </c>
      <c r="O1147" s="132"/>
      <c r="P1147" s="135"/>
      <c r="Q1147" s="135"/>
      <c r="R1147" s="132"/>
      <c r="S1147" s="313">
        <f>Table432[[#This Row],[Invoice Amount]]-Table432[[#This Row],[TDS]]-Table432[[#This Row],[RECIVED AMOUNT]]</f>
        <v>0</v>
      </c>
      <c r="T1147" s="131"/>
      <c r="U1147" s="131"/>
      <c r="V1147" s="129">
        <f>Table432[[#This Row],[BALANCE]]-Table432[[#This Row],[RECIVED AMOUNT2]]</f>
        <v>0</v>
      </c>
    </row>
    <row r="1148" spans="1:22" s="12" customFormat="1" ht="19.2" customHeight="1">
      <c r="A1148" s="132"/>
      <c r="B1148" s="131"/>
      <c r="C1148" s="131"/>
      <c r="D1148" s="131"/>
      <c r="E1148" s="131"/>
      <c r="F1148" s="136"/>
      <c r="G1148" s="136">
        <v>3808</v>
      </c>
      <c r="H1148" s="23">
        <v>0.18</v>
      </c>
      <c r="I1148" s="129"/>
      <c r="J1148" s="129">
        <f t="shared" si="85"/>
        <v>0</v>
      </c>
      <c r="K1148" s="129">
        <f t="shared" si="86"/>
        <v>0</v>
      </c>
      <c r="L1148" s="130"/>
      <c r="M1148" s="130">
        <f>Table432[[#This Row],[Taxable Amount]]+Table432[[#This Row],[SGST]]+Table432[[#This Row],[CGST]]</f>
        <v>0</v>
      </c>
      <c r="N1148" s="161">
        <f>Table432[[#This Row],[Taxable Amount]]*1%</f>
        <v>0</v>
      </c>
      <c r="O1148" s="132"/>
      <c r="P1148" s="135"/>
      <c r="Q1148" s="135"/>
      <c r="R1148" s="132"/>
      <c r="S1148" s="313">
        <f>Table432[[#This Row],[Invoice Amount]]-Table432[[#This Row],[TDS]]-Table432[[#This Row],[RECIVED AMOUNT]]</f>
        <v>0</v>
      </c>
      <c r="T1148" s="131"/>
      <c r="U1148" s="131"/>
      <c r="V1148" s="129">
        <f>Table432[[#This Row],[BALANCE]]-Table432[[#This Row],[RECIVED AMOUNT2]]</f>
        <v>0</v>
      </c>
    </row>
    <row r="1149" spans="1:22" s="12" customFormat="1" ht="19.2" customHeight="1">
      <c r="A1149" s="132"/>
      <c r="B1149" s="131"/>
      <c r="C1149" s="131"/>
      <c r="D1149" s="131"/>
      <c r="E1149" s="131"/>
      <c r="F1149" s="136"/>
      <c r="G1149" s="136">
        <v>3808</v>
      </c>
      <c r="H1149" s="23">
        <v>0.18</v>
      </c>
      <c r="I1149" s="129"/>
      <c r="J1149" s="129">
        <f t="shared" si="85"/>
        <v>0</v>
      </c>
      <c r="K1149" s="129">
        <f t="shared" si="86"/>
        <v>0</v>
      </c>
      <c r="L1149" s="130"/>
      <c r="M1149" s="130">
        <f>Table432[[#This Row],[Taxable Amount]]+Table432[[#This Row],[SGST]]+Table432[[#This Row],[CGST]]</f>
        <v>0</v>
      </c>
      <c r="N1149" s="161">
        <f>Table432[[#This Row],[Taxable Amount]]*1%</f>
        <v>0</v>
      </c>
      <c r="O1149" s="132"/>
      <c r="P1149" s="135"/>
      <c r="Q1149" s="135"/>
      <c r="R1149" s="132"/>
      <c r="S1149" s="313">
        <f>Table432[[#This Row],[Invoice Amount]]-Table432[[#This Row],[TDS]]-Table432[[#This Row],[RECIVED AMOUNT]]</f>
        <v>0</v>
      </c>
      <c r="T1149" s="131"/>
      <c r="U1149" s="131"/>
      <c r="V1149" s="129">
        <f>Table432[[#This Row],[BALANCE]]-Table432[[#This Row],[RECIVED AMOUNT2]]</f>
        <v>0</v>
      </c>
    </row>
    <row r="1150" spans="1:22" s="12" customFormat="1" ht="19.2" customHeight="1">
      <c r="A1150" s="132"/>
      <c r="B1150" s="131"/>
      <c r="C1150" s="131"/>
      <c r="D1150" s="131"/>
      <c r="E1150" s="131"/>
      <c r="F1150" s="136"/>
      <c r="G1150" s="136">
        <v>3808</v>
      </c>
      <c r="H1150" s="23">
        <v>0.18</v>
      </c>
      <c r="I1150" s="129"/>
      <c r="J1150" s="129">
        <f t="shared" si="85"/>
        <v>0</v>
      </c>
      <c r="K1150" s="129">
        <f t="shared" si="86"/>
        <v>0</v>
      </c>
      <c r="L1150" s="130"/>
      <c r="M1150" s="130">
        <f>Table432[[#This Row],[Taxable Amount]]+Table432[[#This Row],[SGST]]+Table432[[#This Row],[CGST]]</f>
        <v>0</v>
      </c>
      <c r="N1150" s="161">
        <f>Table432[[#This Row],[Taxable Amount]]*1%</f>
        <v>0</v>
      </c>
      <c r="O1150" s="132"/>
      <c r="P1150" s="135"/>
      <c r="Q1150" s="135"/>
      <c r="R1150" s="132"/>
      <c r="S1150" s="313">
        <f>Table432[[#This Row],[Invoice Amount]]-Table432[[#This Row],[TDS]]-Table432[[#This Row],[RECIVED AMOUNT]]</f>
        <v>0</v>
      </c>
      <c r="T1150" s="131"/>
      <c r="U1150" s="131"/>
      <c r="V1150" s="129">
        <f>Table432[[#This Row],[BALANCE]]-Table432[[#This Row],[RECIVED AMOUNT2]]</f>
        <v>0</v>
      </c>
    </row>
    <row r="1151" spans="1:22" s="12" customFormat="1" ht="19.2" customHeight="1">
      <c r="A1151" s="132"/>
      <c r="B1151" s="131"/>
      <c r="C1151" s="131"/>
      <c r="D1151" s="131"/>
      <c r="E1151" s="131"/>
      <c r="F1151" s="136"/>
      <c r="G1151" s="136">
        <v>3808</v>
      </c>
      <c r="H1151" s="23">
        <v>0.18</v>
      </c>
      <c r="I1151" s="129"/>
      <c r="J1151" s="129">
        <f t="shared" si="85"/>
        <v>0</v>
      </c>
      <c r="K1151" s="129">
        <f t="shared" si="86"/>
        <v>0</v>
      </c>
      <c r="L1151" s="130"/>
      <c r="M1151" s="130">
        <f>Table432[[#This Row],[Taxable Amount]]+Table432[[#This Row],[SGST]]+Table432[[#This Row],[CGST]]</f>
        <v>0</v>
      </c>
      <c r="N1151" s="161">
        <f>Table432[[#This Row],[Taxable Amount]]*1%</f>
        <v>0</v>
      </c>
      <c r="O1151" s="132"/>
      <c r="P1151" s="135"/>
      <c r="Q1151" s="135"/>
      <c r="R1151" s="132"/>
      <c r="S1151" s="313">
        <f>Table432[[#This Row],[Invoice Amount]]-Table432[[#This Row],[TDS]]-Table432[[#This Row],[RECIVED AMOUNT]]</f>
        <v>0</v>
      </c>
      <c r="T1151" s="131"/>
      <c r="U1151" s="131"/>
      <c r="V1151" s="129">
        <f>Table432[[#This Row],[BALANCE]]-Table432[[#This Row],[RECIVED AMOUNT2]]</f>
        <v>0</v>
      </c>
    </row>
    <row r="1152" spans="1:22" s="12" customFormat="1" ht="19.2" customHeight="1">
      <c r="A1152" s="132"/>
      <c r="B1152" s="131"/>
      <c r="C1152" s="131"/>
      <c r="D1152" s="131"/>
      <c r="E1152" s="131"/>
      <c r="F1152" s="136"/>
      <c r="G1152" s="136">
        <v>3808</v>
      </c>
      <c r="H1152" s="23">
        <v>0.18</v>
      </c>
      <c r="I1152" s="129"/>
      <c r="J1152" s="129">
        <f t="shared" si="85"/>
        <v>0</v>
      </c>
      <c r="K1152" s="129">
        <f t="shared" si="86"/>
        <v>0</v>
      </c>
      <c r="L1152" s="130"/>
      <c r="M1152" s="130">
        <f>Table432[[#This Row],[Taxable Amount]]+Table432[[#This Row],[SGST]]+Table432[[#This Row],[CGST]]</f>
        <v>0</v>
      </c>
      <c r="N1152" s="161">
        <f>Table432[[#This Row],[Taxable Amount]]*1%</f>
        <v>0</v>
      </c>
      <c r="O1152" s="132"/>
      <c r="P1152" s="135"/>
      <c r="Q1152" s="135"/>
      <c r="R1152" s="132"/>
      <c r="S1152" s="313">
        <f>Table432[[#This Row],[Invoice Amount]]-Table432[[#This Row],[TDS]]-Table432[[#This Row],[RECIVED AMOUNT]]</f>
        <v>0</v>
      </c>
      <c r="T1152" s="131"/>
      <c r="U1152" s="131"/>
      <c r="V1152" s="129">
        <f>Table432[[#This Row],[BALANCE]]-Table432[[#This Row],[RECIVED AMOUNT2]]</f>
        <v>0</v>
      </c>
    </row>
    <row r="1153" spans="1:22" s="12" customFormat="1" ht="19.2" customHeight="1">
      <c r="A1153" s="132"/>
      <c r="B1153" s="131"/>
      <c r="C1153" s="131"/>
      <c r="D1153" s="131"/>
      <c r="E1153" s="131"/>
      <c r="F1153" s="136"/>
      <c r="G1153" s="136">
        <v>3808</v>
      </c>
      <c r="H1153" s="23">
        <v>0.18</v>
      </c>
      <c r="I1153" s="129"/>
      <c r="J1153" s="129">
        <f t="shared" si="85"/>
        <v>0</v>
      </c>
      <c r="K1153" s="129">
        <f t="shared" si="86"/>
        <v>0</v>
      </c>
      <c r="L1153" s="130"/>
      <c r="M1153" s="130">
        <f>Table432[[#This Row],[Taxable Amount]]+Table432[[#This Row],[SGST]]+Table432[[#This Row],[CGST]]</f>
        <v>0</v>
      </c>
      <c r="N1153" s="161">
        <f>Table432[[#This Row],[Taxable Amount]]*1%</f>
        <v>0</v>
      </c>
      <c r="O1153" s="132"/>
      <c r="P1153" s="135"/>
      <c r="Q1153" s="135"/>
      <c r="R1153" s="132"/>
      <c r="S1153" s="313">
        <f>Table432[[#This Row],[Invoice Amount]]-Table432[[#This Row],[TDS]]-Table432[[#This Row],[RECIVED AMOUNT]]</f>
        <v>0</v>
      </c>
      <c r="T1153" s="131"/>
      <c r="U1153" s="131"/>
      <c r="V1153" s="129">
        <f>Table432[[#This Row],[BALANCE]]-Table432[[#This Row],[RECIVED AMOUNT2]]</f>
        <v>0</v>
      </c>
    </row>
    <row r="1154" spans="1:22" s="12" customFormat="1" ht="19.2" customHeight="1">
      <c r="A1154" s="132"/>
      <c r="B1154" s="131"/>
      <c r="C1154" s="131"/>
      <c r="D1154" s="131"/>
      <c r="E1154" s="131"/>
      <c r="F1154" s="136"/>
      <c r="G1154" s="136">
        <v>3808</v>
      </c>
      <c r="H1154" s="23">
        <v>0.18</v>
      </c>
      <c r="I1154" s="129"/>
      <c r="J1154" s="129">
        <f t="shared" si="85"/>
        <v>0</v>
      </c>
      <c r="K1154" s="129">
        <f t="shared" si="86"/>
        <v>0</v>
      </c>
      <c r="L1154" s="130"/>
      <c r="M1154" s="130">
        <f>Table432[[#This Row],[Taxable Amount]]+Table432[[#This Row],[SGST]]+Table432[[#This Row],[CGST]]</f>
        <v>0</v>
      </c>
      <c r="N1154" s="161">
        <f>Table432[[#This Row],[Taxable Amount]]*1%</f>
        <v>0</v>
      </c>
      <c r="O1154" s="132"/>
      <c r="P1154" s="135"/>
      <c r="Q1154" s="135"/>
      <c r="R1154" s="132"/>
      <c r="S1154" s="313">
        <f>Table432[[#This Row],[Invoice Amount]]-Table432[[#This Row],[TDS]]-Table432[[#This Row],[RECIVED AMOUNT]]</f>
        <v>0</v>
      </c>
      <c r="T1154" s="131"/>
      <c r="U1154" s="131"/>
      <c r="V1154" s="129">
        <f>Table432[[#This Row],[BALANCE]]-Table432[[#This Row],[RECIVED AMOUNT2]]</f>
        <v>0</v>
      </c>
    </row>
    <row r="1155" spans="1:22" s="12" customFormat="1" ht="19.2" customHeight="1">
      <c r="A1155" s="132"/>
      <c r="B1155" s="131"/>
      <c r="C1155" s="131"/>
      <c r="D1155" s="131"/>
      <c r="E1155" s="131"/>
      <c r="F1155" s="136"/>
      <c r="G1155" s="136">
        <v>3808</v>
      </c>
      <c r="H1155" s="23">
        <v>0.18</v>
      </c>
      <c r="I1155" s="129"/>
      <c r="J1155" s="129">
        <f t="shared" si="85"/>
        <v>0</v>
      </c>
      <c r="K1155" s="129">
        <f t="shared" si="86"/>
        <v>0</v>
      </c>
      <c r="L1155" s="130"/>
      <c r="M1155" s="130">
        <f>Table432[[#This Row],[Taxable Amount]]+Table432[[#This Row],[SGST]]+Table432[[#This Row],[CGST]]</f>
        <v>0</v>
      </c>
      <c r="N1155" s="161">
        <f>Table432[[#This Row],[Taxable Amount]]*1%</f>
        <v>0</v>
      </c>
      <c r="O1155" s="132"/>
      <c r="P1155" s="135"/>
      <c r="Q1155" s="135"/>
      <c r="R1155" s="132"/>
      <c r="S1155" s="313">
        <f>Table432[[#This Row],[Invoice Amount]]-Table432[[#This Row],[TDS]]-Table432[[#This Row],[RECIVED AMOUNT]]</f>
        <v>0</v>
      </c>
      <c r="T1155" s="131"/>
      <c r="U1155" s="131"/>
      <c r="V1155" s="129">
        <f>Table432[[#This Row],[BALANCE]]-Table432[[#This Row],[RECIVED AMOUNT2]]</f>
        <v>0</v>
      </c>
    </row>
    <row r="1156" spans="1:22" s="12" customFormat="1" ht="19.2" customHeight="1">
      <c r="A1156" s="132"/>
      <c r="B1156" s="131"/>
      <c r="C1156" s="131"/>
      <c r="D1156" s="131"/>
      <c r="E1156" s="131"/>
      <c r="F1156" s="136"/>
      <c r="G1156" s="136">
        <v>3808</v>
      </c>
      <c r="H1156" s="23">
        <v>0.18</v>
      </c>
      <c r="I1156" s="129"/>
      <c r="J1156" s="129">
        <f t="shared" si="85"/>
        <v>0</v>
      </c>
      <c r="K1156" s="129">
        <f t="shared" si="86"/>
        <v>0</v>
      </c>
      <c r="L1156" s="130"/>
      <c r="M1156" s="130">
        <f>Table432[[#This Row],[Taxable Amount]]+Table432[[#This Row],[SGST]]+Table432[[#This Row],[CGST]]</f>
        <v>0</v>
      </c>
      <c r="N1156" s="161">
        <f>Table432[[#This Row],[Taxable Amount]]*1%</f>
        <v>0</v>
      </c>
      <c r="O1156" s="132"/>
      <c r="P1156" s="135"/>
      <c r="Q1156" s="135"/>
      <c r="R1156" s="132"/>
      <c r="S1156" s="313">
        <f>Table432[[#This Row],[Invoice Amount]]-Table432[[#This Row],[TDS]]-Table432[[#This Row],[RECIVED AMOUNT]]</f>
        <v>0</v>
      </c>
      <c r="T1156" s="131"/>
      <c r="U1156" s="131"/>
      <c r="V1156" s="129">
        <f>Table432[[#This Row],[BALANCE]]-Table432[[#This Row],[RECIVED AMOUNT2]]</f>
        <v>0</v>
      </c>
    </row>
    <row r="1157" spans="1:22" s="12" customFormat="1" ht="19.2" customHeight="1">
      <c r="A1157" s="132"/>
      <c r="B1157" s="131"/>
      <c r="C1157" s="131"/>
      <c r="D1157" s="131"/>
      <c r="E1157" s="131"/>
      <c r="F1157" s="136"/>
      <c r="G1157" s="136">
        <v>3808</v>
      </c>
      <c r="H1157" s="23">
        <v>0.18</v>
      </c>
      <c r="I1157" s="129"/>
      <c r="J1157" s="129">
        <f t="shared" si="85"/>
        <v>0</v>
      </c>
      <c r="K1157" s="129">
        <f t="shared" si="86"/>
        <v>0</v>
      </c>
      <c r="L1157" s="130"/>
      <c r="M1157" s="130">
        <f>Table432[[#This Row],[Taxable Amount]]+Table432[[#This Row],[SGST]]+Table432[[#This Row],[CGST]]</f>
        <v>0</v>
      </c>
      <c r="N1157" s="161">
        <f>Table432[[#This Row],[Taxable Amount]]*1%</f>
        <v>0</v>
      </c>
      <c r="O1157" s="132"/>
      <c r="P1157" s="135"/>
      <c r="Q1157" s="135"/>
      <c r="R1157" s="132"/>
      <c r="S1157" s="313">
        <f>Table432[[#This Row],[Invoice Amount]]-Table432[[#This Row],[TDS]]-Table432[[#This Row],[RECIVED AMOUNT]]</f>
        <v>0</v>
      </c>
      <c r="T1157" s="131"/>
      <c r="U1157" s="131"/>
      <c r="V1157" s="129">
        <f>Table432[[#This Row],[BALANCE]]-Table432[[#This Row],[RECIVED AMOUNT2]]</f>
        <v>0</v>
      </c>
    </row>
    <row r="1158" spans="1:22" s="12" customFormat="1" ht="19.2" customHeight="1">
      <c r="A1158" s="132"/>
      <c r="B1158" s="131"/>
      <c r="C1158" s="131"/>
      <c r="D1158" s="131"/>
      <c r="E1158" s="131"/>
      <c r="F1158" s="136"/>
      <c r="G1158" s="136">
        <v>3808</v>
      </c>
      <c r="H1158" s="23">
        <v>0.18</v>
      </c>
      <c r="I1158" s="129"/>
      <c r="J1158" s="129">
        <f t="shared" si="85"/>
        <v>0</v>
      </c>
      <c r="K1158" s="129">
        <f t="shared" si="86"/>
        <v>0</v>
      </c>
      <c r="L1158" s="130"/>
      <c r="M1158" s="130">
        <f>Table432[[#This Row],[Taxable Amount]]+Table432[[#This Row],[SGST]]+Table432[[#This Row],[CGST]]</f>
        <v>0</v>
      </c>
      <c r="N1158" s="161">
        <f>Table432[[#This Row],[Taxable Amount]]*1%</f>
        <v>0</v>
      </c>
      <c r="O1158" s="132"/>
      <c r="P1158" s="135"/>
      <c r="Q1158" s="135"/>
      <c r="R1158" s="132"/>
      <c r="S1158" s="313">
        <f>Table432[[#This Row],[Invoice Amount]]-Table432[[#This Row],[TDS]]-Table432[[#This Row],[RECIVED AMOUNT]]</f>
        <v>0</v>
      </c>
      <c r="T1158" s="131"/>
      <c r="U1158" s="131"/>
      <c r="V1158" s="129">
        <f>Table432[[#This Row],[BALANCE]]-Table432[[#This Row],[RECIVED AMOUNT2]]</f>
        <v>0</v>
      </c>
    </row>
    <row r="1159" spans="1:22" s="12" customFormat="1" ht="19.2" customHeight="1">
      <c r="A1159" s="132"/>
      <c r="B1159" s="131"/>
      <c r="C1159" s="131"/>
      <c r="D1159" s="131"/>
      <c r="E1159" s="131"/>
      <c r="F1159" s="136"/>
      <c r="G1159" s="136">
        <v>3808</v>
      </c>
      <c r="H1159" s="23">
        <v>0.18</v>
      </c>
      <c r="I1159" s="129"/>
      <c r="J1159" s="129">
        <f t="shared" si="85"/>
        <v>0</v>
      </c>
      <c r="K1159" s="129">
        <f t="shared" si="86"/>
        <v>0</v>
      </c>
      <c r="L1159" s="130"/>
      <c r="M1159" s="130">
        <f>Table432[[#This Row],[Taxable Amount]]+Table432[[#This Row],[SGST]]+Table432[[#This Row],[CGST]]</f>
        <v>0</v>
      </c>
      <c r="N1159" s="161">
        <f>Table432[[#This Row],[Taxable Amount]]*1%</f>
        <v>0</v>
      </c>
      <c r="O1159" s="132"/>
      <c r="P1159" s="135"/>
      <c r="Q1159" s="135"/>
      <c r="R1159" s="132"/>
      <c r="S1159" s="313">
        <f>Table432[[#This Row],[Invoice Amount]]-Table432[[#This Row],[TDS]]-Table432[[#This Row],[RECIVED AMOUNT]]</f>
        <v>0</v>
      </c>
      <c r="T1159" s="131"/>
      <c r="U1159" s="131"/>
      <c r="V1159" s="129">
        <f>Table432[[#This Row],[BALANCE]]-Table432[[#This Row],[RECIVED AMOUNT2]]</f>
        <v>0</v>
      </c>
    </row>
    <row r="1160" spans="1:22" s="12" customFormat="1" ht="19.2" customHeight="1">
      <c r="A1160" s="132"/>
      <c r="B1160" s="131"/>
      <c r="C1160" s="131"/>
      <c r="D1160" s="131"/>
      <c r="E1160" s="131"/>
      <c r="F1160" s="136"/>
      <c r="G1160" s="136">
        <v>3808</v>
      </c>
      <c r="H1160" s="23">
        <v>0.18</v>
      </c>
      <c r="I1160" s="129"/>
      <c r="J1160" s="129">
        <f t="shared" si="85"/>
        <v>0</v>
      </c>
      <c r="K1160" s="129">
        <f t="shared" si="86"/>
        <v>0</v>
      </c>
      <c r="L1160" s="130"/>
      <c r="M1160" s="130">
        <f>Table432[[#This Row],[Taxable Amount]]+Table432[[#This Row],[SGST]]+Table432[[#This Row],[CGST]]</f>
        <v>0</v>
      </c>
      <c r="N1160" s="161">
        <f>Table432[[#This Row],[Taxable Amount]]*1%</f>
        <v>0</v>
      </c>
      <c r="O1160" s="132"/>
      <c r="P1160" s="135"/>
      <c r="Q1160" s="135"/>
      <c r="R1160" s="132"/>
      <c r="S1160" s="313">
        <f>Table432[[#This Row],[Invoice Amount]]-Table432[[#This Row],[TDS]]-Table432[[#This Row],[RECIVED AMOUNT]]</f>
        <v>0</v>
      </c>
      <c r="T1160" s="131"/>
      <c r="U1160" s="131"/>
      <c r="V1160" s="129">
        <f>Table432[[#This Row],[BALANCE]]-Table432[[#This Row],[RECIVED AMOUNT2]]</f>
        <v>0</v>
      </c>
    </row>
    <row r="1161" spans="1:22" s="12" customFormat="1" ht="19.2" customHeight="1">
      <c r="A1161" s="132"/>
      <c r="B1161" s="131"/>
      <c r="C1161" s="131"/>
      <c r="D1161" s="131"/>
      <c r="E1161" s="131"/>
      <c r="F1161" s="136"/>
      <c r="G1161" s="136">
        <v>3808</v>
      </c>
      <c r="H1161" s="23">
        <v>0.18</v>
      </c>
      <c r="I1161" s="129"/>
      <c r="J1161" s="129">
        <f t="shared" si="85"/>
        <v>0</v>
      </c>
      <c r="K1161" s="129">
        <f t="shared" si="86"/>
        <v>0</v>
      </c>
      <c r="L1161" s="130"/>
      <c r="M1161" s="130">
        <f>Table432[[#This Row],[Taxable Amount]]+Table432[[#This Row],[SGST]]+Table432[[#This Row],[CGST]]</f>
        <v>0</v>
      </c>
      <c r="N1161" s="161">
        <f>Table432[[#This Row],[Taxable Amount]]*1%</f>
        <v>0</v>
      </c>
      <c r="O1161" s="132"/>
      <c r="P1161" s="135"/>
      <c r="Q1161" s="135"/>
      <c r="R1161" s="132"/>
      <c r="S1161" s="313">
        <f>Table432[[#This Row],[Invoice Amount]]-Table432[[#This Row],[TDS]]-Table432[[#This Row],[RECIVED AMOUNT]]</f>
        <v>0</v>
      </c>
      <c r="T1161" s="131"/>
      <c r="U1161" s="131"/>
      <c r="V1161" s="129">
        <f>Table432[[#This Row],[BALANCE]]-Table432[[#This Row],[RECIVED AMOUNT2]]</f>
        <v>0</v>
      </c>
    </row>
    <row r="1162" spans="1:22" s="12" customFormat="1" ht="19.2" customHeight="1">
      <c r="A1162" s="132"/>
      <c r="B1162" s="131"/>
      <c r="C1162" s="131"/>
      <c r="D1162" s="131"/>
      <c r="E1162" s="131"/>
      <c r="F1162" s="136"/>
      <c r="G1162" s="136">
        <v>3808</v>
      </c>
      <c r="H1162" s="23">
        <v>0.18</v>
      </c>
      <c r="I1162" s="129"/>
      <c r="J1162" s="129">
        <f t="shared" si="85"/>
        <v>0</v>
      </c>
      <c r="K1162" s="129">
        <f t="shared" si="86"/>
        <v>0</v>
      </c>
      <c r="L1162" s="130"/>
      <c r="M1162" s="130">
        <f>Table432[[#This Row],[Taxable Amount]]+Table432[[#This Row],[SGST]]+Table432[[#This Row],[CGST]]</f>
        <v>0</v>
      </c>
      <c r="N1162" s="161">
        <f>Table432[[#This Row],[Taxable Amount]]*1%</f>
        <v>0</v>
      </c>
      <c r="O1162" s="132"/>
      <c r="P1162" s="135"/>
      <c r="Q1162" s="135"/>
      <c r="R1162" s="132"/>
      <c r="S1162" s="313">
        <f>Table432[[#This Row],[Invoice Amount]]-Table432[[#This Row],[TDS]]-Table432[[#This Row],[RECIVED AMOUNT]]</f>
        <v>0</v>
      </c>
      <c r="T1162" s="131"/>
      <c r="U1162" s="131"/>
      <c r="V1162" s="129">
        <f>Table432[[#This Row],[BALANCE]]-Table432[[#This Row],[RECIVED AMOUNT2]]</f>
        <v>0</v>
      </c>
    </row>
    <row r="1163" spans="1:22" s="12" customFormat="1" ht="19.2" customHeight="1">
      <c r="A1163" s="132"/>
      <c r="B1163" s="131"/>
      <c r="C1163" s="131"/>
      <c r="D1163" s="131"/>
      <c r="E1163" s="131"/>
      <c r="F1163" s="136"/>
      <c r="G1163" s="136">
        <v>3808</v>
      </c>
      <c r="H1163" s="23">
        <v>0.18</v>
      </c>
      <c r="I1163" s="129"/>
      <c r="J1163" s="129">
        <f t="shared" si="85"/>
        <v>0</v>
      </c>
      <c r="K1163" s="129">
        <f t="shared" si="86"/>
        <v>0</v>
      </c>
      <c r="L1163" s="130"/>
      <c r="M1163" s="130">
        <f>Table432[[#This Row],[Taxable Amount]]+Table432[[#This Row],[SGST]]+Table432[[#This Row],[CGST]]</f>
        <v>0</v>
      </c>
      <c r="N1163" s="161">
        <f>Table432[[#This Row],[Taxable Amount]]*1%</f>
        <v>0</v>
      </c>
      <c r="O1163" s="132"/>
      <c r="P1163" s="135"/>
      <c r="Q1163" s="135"/>
      <c r="R1163" s="132"/>
      <c r="S1163" s="313">
        <f>Table432[[#This Row],[Invoice Amount]]-Table432[[#This Row],[TDS]]-Table432[[#This Row],[RECIVED AMOUNT]]</f>
        <v>0</v>
      </c>
      <c r="T1163" s="131"/>
      <c r="U1163" s="131"/>
      <c r="V1163" s="129">
        <f>Table432[[#This Row],[BALANCE]]-Table432[[#This Row],[RECIVED AMOUNT2]]</f>
        <v>0</v>
      </c>
    </row>
    <row r="1164" spans="1:22" s="12" customFormat="1" ht="19.2" customHeight="1">
      <c r="A1164" s="132"/>
      <c r="B1164" s="131"/>
      <c r="C1164" s="131"/>
      <c r="D1164" s="131"/>
      <c r="E1164" s="131"/>
      <c r="F1164" s="136"/>
      <c r="G1164" s="136">
        <v>3808</v>
      </c>
      <c r="H1164" s="23">
        <v>0.18</v>
      </c>
      <c r="I1164" s="129"/>
      <c r="J1164" s="129">
        <f t="shared" si="85"/>
        <v>0</v>
      </c>
      <c r="K1164" s="129">
        <f t="shared" si="86"/>
        <v>0</v>
      </c>
      <c r="L1164" s="130"/>
      <c r="M1164" s="130">
        <f>Table432[[#This Row],[Taxable Amount]]+Table432[[#This Row],[SGST]]+Table432[[#This Row],[CGST]]</f>
        <v>0</v>
      </c>
      <c r="N1164" s="161">
        <f>Table432[[#This Row],[Taxable Amount]]*1%</f>
        <v>0</v>
      </c>
      <c r="O1164" s="132"/>
      <c r="P1164" s="135"/>
      <c r="Q1164" s="135"/>
      <c r="R1164" s="132"/>
      <c r="S1164" s="313">
        <f>Table432[[#This Row],[Invoice Amount]]-Table432[[#This Row],[TDS]]-Table432[[#This Row],[RECIVED AMOUNT]]</f>
        <v>0</v>
      </c>
      <c r="T1164" s="131"/>
      <c r="U1164" s="131"/>
      <c r="V1164" s="129">
        <f>Table432[[#This Row],[BALANCE]]-Table432[[#This Row],[RECIVED AMOUNT2]]</f>
        <v>0</v>
      </c>
    </row>
    <row r="1165" spans="1:22" s="12" customFormat="1" ht="19.2" customHeight="1">
      <c r="A1165" s="132"/>
      <c r="B1165" s="131"/>
      <c r="C1165" s="131"/>
      <c r="D1165" s="131"/>
      <c r="E1165" s="131"/>
      <c r="F1165" s="136"/>
      <c r="G1165" s="136">
        <v>3808</v>
      </c>
      <c r="H1165" s="23">
        <v>0.18</v>
      </c>
      <c r="I1165" s="129"/>
      <c r="J1165" s="129">
        <f t="shared" si="85"/>
        <v>0</v>
      </c>
      <c r="K1165" s="129">
        <f t="shared" si="86"/>
        <v>0</v>
      </c>
      <c r="L1165" s="130"/>
      <c r="M1165" s="130">
        <f>Table432[[#This Row],[Taxable Amount]]+Table432[[#This Row],[SGST]]+Table432[[#This Row],[CGST]]</f>
        <v>0</v>
      </c>
      <c r="N1165" s="161">
        <f>Table432[[#This Row],[Taxable Amount]]*1%</f>
        <v>0</v>
      </c>
      <c r="O1165" s="132"/>
      <c r="P1165" s="135"/>
      <c r="Q1165" s="135"/>
      <c r="R1165" s="132"/>
      <c r="S1165" s="313">
        <f>Table432[[#This Row],[Invoice Amount]]-Table432[[#This Row],[TDS]]-Table432[[#This Row],[RECIVED AMOUNT]]</f>
        <v>0</v>
      </c>
      <c r="T1165" s="131"/>
      <c r="U1165" s="131"/>
      <c r="V1165" s="129">
        <f>Table432[[#This Row],[BALANCE]]-Table432[[#This Row],[RECIVED AMOUNT2]]</f>
        <v>0</v>
      </c>
    </row>
    <row r="1166" spans="1:22" s="12" customFormat="1" ht="19.2" customHeight="1">
      <c r="A1166" s="132"/>
      <c r="B1166" s="131"/>
      <c r="C1166" s="131"/>
      <c r="D1166" s="131"/>
      <c r="E1166" s="131"/>
      <c r="F1166" s="136"/>
      <c r="G1166" s="136">
        <v>3808</v>
      </c>
      <c r="H1166" s="23">
        <v>0.18</v>
      </c>
      <c r="I1166" s="129"/>
      <c r="J1166" s="129">
        <f t="shared" si="85"/>
        <v>0</v>
      </c>
      <c r="K1166" s="129">
        <f t="shared" si="86"/>
        <v>0</v>
      </c>
      <c r="L1166" s="130"/>
      <c r="M1166" s="130">
        <f>Table432[[#This Row],[Taxable Amount]]+Table432[[#This Row],[SGST]]+Table432[[#This Row],[CGST]]</f>
        <v>0</v>
      </c>
      <c r="N1166" s="161">
        <f>Table432[[#This Row],[Taxable Amount]]*1%</f>
        <v>0</v>
      </c>
      <c r="O1166" s="132"/>
      <c r="P1166" s="135"/>
      <c r="Q1166" s="135"/>
      <c r="R1166" s="132"/>
      <c r="S1166" s="313">
        <f>Table432[[#This Row],[Invoice Amount]]-Table432[[#This Row],[TDS]]-Table432[[#This Row],[RECIVED AMOUNT]]</f>
        <v>0</v>
      </c>
      <c r="T1166" s="131"/>
      <c r="U1166" s="131"/>
      <c r="V1166" s="129">
        <f>Table432[[#This Row],[BALANCE]]-Table432[[#This Row],[RECIVED AMOUNT2]]</f>
        <v>0</v>
      </c>
    </row>
    <row r="1167" spans="1:22" s="12" customFormat="1" ht="19.2" customHeight="1">
      <c r="A1167" s="132"/>
      <c r="B1167" s="131"/>
      <c r="C1167" s="131"/>
      <c r="D1167" s="131"/>
      <c r="E1167" s="131"/>
      <c r="F1167" s="136"/>
      <c r="G1167" s="136">
        <v>3808</v>
      </c>
      <c r="H1167" s="23">
        <v>0.18</v>
      </c>
      <c r="I1167" s="129"/>
      <c r="J1167" s="129">
        <f t="shared" si="85"/>
        <v>0</v>
      </c>
      <c r="K1167" s="129">
        <f t="shared" si="86"/>
        <v>0</v>
      </c>
      <c r="L1167" s="130"/>
      <c r="M1167" s="130">
        <f>Table432[[#This Row],[Taxable Amount]]+Table432[[#This Row],[SGST]]+Table432[[#This Row],[CGST]]</f>
        <v>0</v>
      </c>
      <c r="N1167" s="161">
        <f>Table432[[#This Row],[Taxable Amount]]*1%</f>
        <v>0</v>
      </c>
      <c r="O1167" s="132"/>
      <c r="P1167" s="135"/>
      <c r="Q1167" s="135"/>
      <c r="R1167" s="132"/>
      <c r="S1167" s="313">
        <f>Table432[[#This Row],[Invoice Amount]]-Table432[[#This Row],[TDS]]-Table432[[#This Row],[RECIVED AMOUNT]]</f>
        <v>0</v>
      </c>
      <c r="T1167" s="131"/>
      <c r="U1167" s="131"/>
      <c r="V1167" s="129">
        <f>Table432[[#This Row],[BALANCE]]-Table432[[#This Row],[RECIVED AMOUNT2]]</f>
        <v>0</v>
      </c>
    </row>
    <row r="1168" spans="1:22" s="12" customFormat="1" ht="19.2" customHeight="1">
      <c r="A1168" s="132"/>
      <c r="B1168" s="131"/>
      <c r="C1168" s="131"/>
      <c r="D1168" s="131"/>
      <c r="E1168" s="131"/>
      <c r="F1168" s="136"/>
      <c r="G1168" s="136">
        <v>3808</v>
      </c>
      <c r="H1168" s="23">
        <v>0.18</v>
      </c>
      <c r="I1168" s="129"/>
      <c r="J1168" s="129">
        <f t="shared" si="85"/>
        <v>0</v>
      </c>
      <c r="K1168" s="129">
        <f t="shared" si="86"/>
        <v>0</v>
      </c>
      <c r="L1168" s="130"/>
      <c r="M1168" s="130">
        <f>Table432[[#This Row],[Taxable Amount]]+Table432[[#This Row],[SGST]]+Table432[[#This Row],[CGST]]</f>
        <v>0</v>
      </c>
      <c r="N1168" s="161">
        <f>Table432[[#This Row],[Taxable Amount]]*1%</f>
        <v>0</v>
      </c>
      <c r="O1168" s="132"/>
      <c r="P1168" s="135"/>
      <c r="Q1168" s="135"/>
      <c r="R1168" s="132"/>
      <c r="S1168" s="313">
        <f>Table432[[#This Row],[Invoice Amount]]-Table432[[#This Row],[TDS]]-Table432[[#This Row],[RECIVED AMOUNT]]</f>
        <v>0</v>
      </c>
      <c r="T1168" s="131"/>
      <c r="U1168" s="131"/>
      <c r="V1168" s="129">
        <f>Table432[[#This Row],[BALANCE]]-Table432[[#This Row],[RECIVED AMOUNT2]]</f>
        <v>0</v>
      </c>
    </row>
    <row r="1169" spans="1:22" s="12" customFormat="1" ht="19.2" customHeight="1">
      <c r="A1169" s="132"/>
      <c r="B1169" s="131"/>
      <c r="C1169" s="131"/>
      <c r="D1169" s="131"/>
      <c r="E1169" s="131"/>
      <c r="F1169" s="136"/>
      <c r="G1169" s="136">
        <v>3808</v>
      </c>
      <c r="H1169" s="23">
        <v>0.18</v>
      </c>
      <c r="I1169" s="129"/>
      <c r="J1169" s="129">
        <f t="shared" si="85"/>
        <v>0</v>
      </c>
      <c r="K1169" s="129">
        <f t="shared" si="86"/>
        <v>0</v>
      </c>
      <c r="L1169" s="130"/>
      <c r="M1169" s="130">
        <f>Table432[[#This Row],[Taxable Amount]]+Table432[[#This Row],[SGST]]+Table432[[#This Row],[CGST]]</f>
        <v>0</v>
      </c>
      <c r="N1169" s="161">
        <f>Table432[[#This Row],[Taxable Amount]]*1%</f>
        <v>0</v>
      </c>
      <c r="O1169" s="132"/>
      <c r="P1169" s="135"/>
      <c r="Q1169" s="135"/>
      <c r="R1169" s="132"/>
      <c r="S1169" s="313">
        <f>Table432[[#This Row],[Invoice Amount]]-Table432[[#This Row],[TDS]]-Table432[[#This Row],[RECIVED AMOUNT]]</f>
        <v>0</v>
      </c>
      <c r="T1169" s="131"/>
      <c r="U1169" s="131"/>
      <c r="V1169" s="129">
        <f>Table432[[#This Row],[BALANCE]]-Table432[[#This Row],[RECIVED AMOUNT2]]</f>
        <v>0</v>
      </c>
    </row>
    <row r="1170" spans="1:22" s="12" customFormat="1" ht="19.2" customHeight="1">
      <c r="A1170" s="132"/>
      <c r="B1170" s="131"/>
      <c r="C1170" s="131"/>
      <c r="D1170" s="131"/>
      <c r="E1170" s="131"/>
      <c r="F1170" s="136"/>
      <c r="G1170" s="136">
        <v>3808</v>
      </c>
      <c r="H1170" s="23">
        <v>0.18</v>
      </c>
      <c r="I1170" s="129"/>
      <c r="J1170" s="129">
        <f t="shared" si="85"/>
        <v>0</v>
      </c>
      <c r="K1170" s="129">
        <f t="shared" si="86"/>
        <v>0</v>
      </c>
      <c r="L1170" s="130"/>
      <c r="M1170" s="130">
        <f>Table432[[#This Row],[Taxable Amount]]+Table432[[#This Row],[SGST]]+Table432[[#This Row],[CGST]]</f>
        <v>0</v>
      </c>
      <c r="N1170" s="161">
        <f>Table432[[#This Row],[Taxable Amount]]*1%</f>
        <v>0</v>
      </c>
      <c r="O1170" s="132"/>
      <c r="P1170" s="135"/>
      <c r="Q1170" s="135"/>
      <c r="R1170" s="132"/>
      <c r="S1170" s="313">
        <f>Table432[[#This Row],[Invoice Amount]]-Table432[[#This Row],[TDS]]-Table432[[#This Row],[RECIVED AMOUNT]]</f>
        <v>0</v>
      </c>
      <c r="T1170" s="131"/>
      <c r="U1170" s="131"/>
      <c r="V1170" s="129">
        <f>Table432[[#This Row],[BALANCE]]-Table432[[#This Row],[RECIVED AMOUNT2]]</f>
        <v>0</v>
      </c>
    </row>
    <row r="1171" spans="1:22" s="12" customFormat="1" ht="19.2" customHeight="1">
      <c r="A1171" s="132"/>
      <c r="B1171" s="131"/>
      <c r="C1171" s="131"/>
      <c r="D1171" s="131"/>
      <c r="E1171" s="131"/>
      <c r="F1171" s="136"/>
      <c r="G1171" s="136">
        <v>3808</v>
      </c>
      <c r="H1171" s="23">
        <v>0.18</v>
      </c>
      <c r="I1171" s="129"/>
      <c r="J1171" s="129">
        <f t="shared" si="85"/>
        <v>0</v>
      </c>
      <c r="K1171" s="129">
        <f t="shared" si="86"/>
        <v>0</v>
      </c>
      <c r="L1171" s="130"/>
      <c r="M1171" s="130">
        <f>Table432[[#This Row],[Taxable Amount]]+Table432[[#This Row],[SGST]]+Table432[[#This Row],[CGST]]</f>
        <v>0</v>
      </c>
      <c r="N1171" s="161">
        <f>Table432[[#This Row],[Taxable Amount]]*1%</f>
        <v>0</v>
      </c>
      <c r="O1171" s="132"/>
      <c r="P1171" s="135"/>
      <c r="Q1171" s="135"/>
      <c r="R1171" s="132"/>
      <c r="S1171" s="313">
        <f>Table432[[#This Row],[Invoice Amount]]-Table432[[#This Row],[TDS]]-Table432[[#This Row],[RECIVED AMOUNT]]</f>
        <v>0</v>
      </c>
      <c r="T1171" s="131"/>
      <c r="U1171" s="131"/>
      <c r="V1171" s="129">
        <f>Table432[[#This Row],[BALANCE]]-Table432[[#This Row],[RECIVED AMOUNT2]]</f>
        <v>0</v>
      </c>
    </row>
    <row r="1172" spans="1:22" s="12" customFormat="1" ht="19.2" customHeight="1">
      <c r="A1172" s="132"/>
      <c r="B1172" s="131"/>
      <c r="C1172" s="131"/>
      <c r="D1172" s="131"/>
      <c r="E1172" s="131"/>
      <c r="F1172" s="136"/>
      <c r="G1172" s="136">
        <v>3808</v>
      </c>
      <c r="H1172" s="23">
        <v>0.18</v>
      </c>
      <c r="I1172" s="129"/>
      <c r="J1172" s="129">
        <f t="shared" ref="J1172:J1200" si="87">I1172*9/100</f>
        <v>0</v>
      </c>
      <c r="K1172" s="129">
        <f t="shared" ref="K1172:K1200" si="88">I1172*9/100</f>
        <v>0</v>
      </c>
      <c r="L1172" s="130"/>
      <c r="M1172" s="130">
        <f>Table432[[#This Row],[Taxable Amount]]+Table432[[#This Row],[SGST]]+Table432[[#This Row],[CGST]]</f>
        <v>0</v>
      </c>
      <c r="N1172" s="161">
        <f>Table432[[#This Row],[Taxable Amount]]*1%</f>
        <v>0</v>
      </c>
      <c r="O1172" s="132"/>
      <c r="P1172" s="135"/>
      <c r="Q1172" s="135"/>
      <c r="R1172" s="132"/>
      <c r="S1172" s="313">
        <f>Table432[[#This Row],[Invoice Amount]]-Table432[[#This Row],[TDS]]-Table432[[#This Row],[RECIVED AMOUNT]]</f>
        <v>0</v>
      </c>
      <c r="T1172" s="131"/>
      <c r="U1172" s="131"/>
      <c r="V1172" s="129">
        <f>Table432[[#This Row],[BALANCE]]-Table432[[#This Row],[RECIVED AMOUNT2]]</f>
        <v>0</v>
      </c>
    </row>
    <row r="1173" spans="1:22" s="12" customFormat="1" ht="19.2" customHeight="1">
      <c r="A1173" s="132"/>
      <c r="B1173" s="131"/>
      <c r="C1173" s="131"/>
      <c r="D1173" s="131"/>
      <c r="E1173" s="131"/>
      <c r="F1173" s="136"/>
      <c r="G1173" s="136">
        <v>3808</v>
      </c>
      <c r="H1173" s="23">
        <v>0.18</v>
      </c>
      <c r="I1173" s="129"/>
      <c r="J1173" s="129">
        <f t="shared" si="87"/>
        <v>0</v>
      </c>
      <c r="K1173" s="129">
        <f t="shared" si="88"/>
        <v>0</v>
      </c>
      <c r="L1173" s="130"/>
      <c r="M1173" s="130">
        <f>Table432[[#This Row],[Taxable Amount]]+Table432[[#This Row],[SGST]]+Table432[[#This Row],[CGST]]</f>
        <v>0</v>
      </c>
      <c r="N1173" s="161">
        <f>Table432[[#This Row],[Taxable Amount]]*1%</f>
        <v>0</v>
      </c>
      <c r="O1173" s="132"/>
      <c r="P1173" s="135"/>
      <c r="Q1173" s="135"/>
      <c r="R1173" s="132"/>
      <c r="S1173" s="313">
        <f>Table432[[#This Row],[Invoice Amount]]-Table432[[#This Row],[TDS]]-Table432[[#This Row],[RECIVED AMOUNT]]</f>
        <v>0</v>
      </c>
      <c r="T1173" s="131"/>
      <c r="U1173" s="131"/>
      <c r="V1173" s="129">
        <f>Table432[[#This Row],[BALANCE]]-Table432[[#This Row],[RECIVED AMOUNT2]]</f>
        <v>0</v>
      </c>
    </row>
    <row r="1174" spans="1:22" s="12" customFormat="1" ht="19.2" customHeight="1">
      <c r="A1174" s="132"/>
      <c r="B1174" s="131"/>
      <c r="C1174" s="131"/>
      <c r="D1174" s="131"/>
      <c r="E1174" s="131"/>
      <c r="F1174" s="136"/>
      <c r="G1174" s="136">
        <v>3808</v>
      </c>
      <c r="H1174" s="23">
        <v>0.18</v>
      </c>
      <c r="I1174" s="129"/>
      <c r="J1174" s="129">
        <f t="shared" si="87"/>
        <v>0</v>
      </c>
      <c r="K1174" s="129">
        <f t="shared" si="88"/>
        <v>0</v>
      </c>
      <c r="L1174" s="130"/>
      <c r="M1174" s="130">
        <f>Table432[[#This Row],[Taxable Amount]]+Table432[[#This Row],[SGST]]+Table432[[#This Row],[CGST]]</f>
        <v>0</v>
      </c>
      <c r="N1174" s="161">
        <f>Table432[[#This Row],[Taxable Amount]]*1%</f>
        <v>0</v>
      </c>
      <c r="O1174" s="132"/>
      <c r="P1174" s="135"/>
      <c r="Q1174" s="135"/>
      <c r="R1174" s="132"/>
      <c r="S1174" s="313">
        <f>Table432[[#This Row],[Invoice Amount]]-Table432[[#This Row],[TDS]]-Table432[[#This Row],[RECIVED AMOUNT]]</f>
        <v>0</v>
      </c>
      <c r="T1174" s="131"/>
      <c r="U1174" s="131"/>
      <c r="V1174" s="129">
        <f>Table432[[#This Row],[BALANCE]]-Table432[[#This Row],[RECIVED AMOUNT2]]</f>
        <v>0</v>
      </c>
    </row>
    <row r="1175" spans="1:22" s="12" customFormat="1" ht="19.2" customHeight="1">
      <c r="A1175" s="132"/>
      <c r="B1175" s="131"/>
      <c r="C1175" s="131"/>
      <c r="D1175" s="131"/>
      <c r="E1175" s="131"/>
      <c r="F1175" s="136"/>
      <c r="G1175" s="136">
        <v>3808</v>
      </c>
      <c r="H1175" s="23">
        <v>0.18</v>
      </c>
      <c r="I1175" s="129"/>
      <c r="J1175" s="129">
        <f t="shared" si="87"/>
        <v>0</v>
      </c>
      <c r="K1175" s="129">
        <f t="shared" si="88"/>
        <v>0</v>
      </c>
      <c r="L1175" s="130"/>
      <c r="M1175" s="130">
        <f>Table432[[#This Row],[Taxable Amount]]+Table432[[#This Row],[SGST]]+Table432[[#This Row],[CGST]]</f>
        <v>0</v>
      </c>
      <c r="N1175" s="161">
        <f>Table432[[#This Row],[Taxable Amount]]*1%</f>
        <v>0</v>
      </c>
      <c r="O1175" s="132"/>
      <c r="P1175" s="135"/>
      <c r="Q1175" s="135"/>
      <c r="R1175" s="132"/>
      <c r="S1175" s="313">
        <f>Table432[[#This Row],[Invoice Amount]]-Table432[[#This Row],[TDS]]-Table432[[#This Row],[RECIVED AMOUNT]]</f>
        <v>0</v>
      </c>
      <c r="T1175" s="131"/>
      <c r="U1175" s="131"/>
      <c r="V1175" s="129">
        <f>Table432[[#This Row],[BALANCE]]-Table432[[#This Row],[RECIVED AMOUNT2]]</f>
        <v>0</v>
      </c>
    </row>
    <row r="1176" spans="1:22" s="12" customFormat="1" ht="19.2" customHeight="1">
      <c r="A1176" s="132"/>
      <c r="B1176" s="131"/>
      <c r="C1176" s="131"/>
      <c r="D1176" s="131"/>
      <c r="E1176" s="131"/>
      <c r="F1176" s="136"/>
      <c r="G1176" s="136">
        <v>3808</v>
      </c>
      <c r="H1176" s="23">
        <v>0.18</v>
      </c>
      <c r="I1176" s="129"/>
      <c r="J1176" s="129">
        <f t="shared" si="87"/>
        <v>0</v>
      </c>
      <c r="K1176" s="129">
        <f t="shared" si="88"/>
        <v>0</v>
      </c>
      <c r="L1176" s="130"/>
      <c r="M1176" s="130">
        <f>Table432[[#This Row],[Taxable Amount]]+Table432[[#This Row],[SGST]]+Table432[[#This Row],[CGST]]</f>
        <v>0</v>
      </c>
      <c r="N1176" s="161">
        <f>Table432[[#This Row],[Taxable Amount]]*1%</f>
        <v>0</v>
      </c>
      <c r="O1176" s="132"/>
      <c r="P1176" s="135"/>
      <c r="Q1176" s="135"/>
      <c r="R1176" s="132"/>
      <c r="S1176" s="313">
        <f>Table432[[#This Row],[Invoice Amount]]-Table432[[#This Row],[TDS]]-Table432[[#This Row],[RECIVED AMOUNT]]</f>
        <v>0</v>
      </c>
      <c r="T1176" s="131"/>
      <c r="U1176" s="131"/>
      <c r="V1176" s="129">
        <f>Table432[[#This Row],[BALANCE]]-Table432[[#This Row],[RECIVED AMOUNT2]]</f>
        <v>0</v>
      </c>
    </row>
    <row r="1177" spans="1:22" s="12" customFormat="1" ht="19.2" customHeight="1">
      <c r="A1177" s="132"/>
      <c r="B1177" s="131"/>
      <c r="C1177" s="131"/>
      <c r="D1177" s="131"/>
      <c r="E1177" s="131"/>
      <c r="F1177" s="136"/>
      <c r="G1177" s="136">
        <v>3808</v>
      </c>
      <c r="H1177" s="23">
        <v>0.18</v>
      </c>
      <c r="I1177" s="129"/>
      <c r="J1177" s="129">
        <f t="shared" si="87"/>
        <v>0</v>
      </c>
      <c r="K1177" s="129">
        <f t="shared" si="88"/>
        <v>0</v>
      </c>
      <c r="L1177" s="130"/>
      <c r="M1177" s="130">
        <f>Table432[[#This Row],[Taxable Amount]]+Table432[[#This Row],[SGST]]+Table432[[#This Row],[CGST]]</f>
        <v>0</v>
      </c>
      <c r="N1177" s="161">
        <f>Table432[[#This Row],[Taxable Amount]]*1%</f>
        <v>0</v>
      </c>
      <c r="O1177" s="132"/>
      <c r="P1177" s="135"/>
      <c r="Q1177" s="135"/>
      <c r="R1177" s="132"/>
      <c r="S1177" s="313">
        <f>Table432[[#This Row],[Invoice Amount]]-Table432[[#This Row],[TDS]]-Table432[[#This Row],[RECIVED AMOUNT]]</f>
        <v>0</v>
      </c>
      <c r="T1177" s="131"/>
      <c r="U1177" s="131"/>
      <c r="V1177" s="129">
        <f>Table432[[#This Row],[BALANCE]]-Table432[[#This Row],[RECIVED AMOUNT2]]</f>
        <v>0</v>
      </c>
    </row>
    <row r="1178" spans="1:22" s="12" customFormat="1" ht="19.2" customHeight="1">
      <c r="A1178" s="132"/>
      <c r="B1178" s="131"/>
      <c r="C1178" s="131"/>
      <c r="D1178" s="131"/>
      <c r="E1178" s="131"/>
      <c r="F1178" s="136"/>
      <c r="G1178" s="136">
        <v>3808</v>
      </c>
      <c r="H1178" s="23">
        <v>0.18</v>
      </c>
      <c r="I1178" s="129"/>
      <c r="J1178" s="129">
        <f t="shared" si="87"/>
        <v>0</v>
      </c>
      <c r="K1178" s="129">
        <f t="shared" si="88"/>
        <v>0</v>
      </c>
      <c r="L1178" s="130"/>
      <c r="M1178" s="130">
        <f>Table432[[#This Row],[Taxable Amount]]+Table432[[#This Row],[SGST]]+Table432[[#This Row],[CGST]]</f>
        <v>0</v>
      </c>
      <c r="N1178" s="161">
        <f>Table432[[#This Row],[Taxable Amount]]*1%</f>
        <v>0</v>
      </c>
      <c r="O1178" s="132"/>
      <c r="P1178" s="135"/>
      <c r="Q1178" s="135"/>
      <c r="R1178" s="132"/>
      <c r="S1178" s="313">
        <f>Table432[[#This Row],[Invoice Amount]]-Table432[[#This Row],[TDS]]-Table432[[#This Row],[RECIVED AMOUNT]]</f>
        <v>0</v>
      </c>
      <c r="T1178" s="131"/>
      <c r="U1178" s="131"/>
      <c r="V1178" s="129">
        <f>Table432[[#This Row],[BALANCE]]-Table432[[#This Row],[RECIVED AMOUNT2]]</f>
        <v>0</v>
      </c>
    </row>
    <row r="1179" spans="1:22" s="12" customFormat="1" ht="19.2" customHeight="1">
      <c r="A1179" s="132"/>
      <c r="B1179" s="131"/>
      <c r="C1179" s="131"/>
      <c r="D1179" s="131"/>
      <c r="E1179" s="131"/>
      <c r="F1179" s="136"/>
      <c r="G1179" s="136">
        <v>3808</v>
      </c>
      <c r="H1179" s="23">
        <v>0.18</v>
      </c>
      <c r="I1179" s="129"/>
      <c r="J1179" s="129">
        <f t="shared" si="87"/>
        <v>0</v>
      </c>
      <c r="K1179" s="129">
        <f t="shared" si="88"/>
        <v>0</v>
      </c>
      <c r="L1179" s="130"/>
      <c r="M1179" s="130">
        <f>Table432[[#This Row],[Taxable Amount]]+Table432[[#This Row],[SGST]]+Table432[[#This Row],[CGST]]</f>
        <v>0</v>
      </c>
      <c r="N1179" s="161">
        <f>Table432[[#This Row],[Taxable Amount]]*1%</f>
        <v>0</v>
      </c>
      <c r="O1179" s="132"/>
      <c r="P1179" s="135"/>
      <c r="Q1179" s="135"/>
      <c r="R1179" s="132"/>
      <c r="S1179" s="313">
        <f>Table432[[#This Row],[Invoice Amount]]-Table432[[#This Row],[TDS]]-Table432[[#This Row],[RECIVED AMOUNT]]</f>
        <v>0</v>
      </c>
      <c r="T1179" s="131"/>
      <c r="U1179" s="131"/>
      <c r="V1179" s="129">
        <f>Table432[[#This Row],[BALANCE]]-Table432[[#This Row],[RECIVED AMOUNT2]]</f>
        <v>0</v>
      </c>
    </row>
    <row r="1180" spans="1:22" s="12" customFormat="1" ht="19.2" customHeight="1">
      <c r="A1180" s="132"/>
      <c r="B1180" s="131"/>
      <c r="C1180" s="131"/>
      <c r="D1180" s="131"/>
      <c r="E1180" s="131"/>
      <c r="F1180" s="136"/>
      <c r="G1180" s="136">
        <v>3808</v>
      </c>
      <c r="H1180" s="23">
        <v>0.18</v>
      </c>
      <c r="I1180" s="129"/>
      <c r="J1180" s="129">
        <f t="shared" si="87"/>
        <v>0</v>
      </c>
      <c r="K1180" s="129">
        <f t="shared" si="88"/>
        <v>0</v>
      </c>
      <c r="L1180" s="130"/>
      <c r="M1180" s="130">
        <f>Table432[[#This Row],[Taxable Amount]]+Table432[[#This Row],[SGST]]+Table432[[#This Row],[CGST]]</f>
        <v>0</v>
      </c>
      <c r="N1180" s="161">
        <f>Table432[[#This Row],[Taxable Amount]]*1%</f>
        <v>0</v>
      </c>
      <c r="O1180" s="132"/>
      <c r="P1180" s="135"/>
      <c r="Q1180" s="135"/>
      <c r="R1180" s="132"/>
      <c r="S1180" s="313">
        <f>Table432[[#This Row],[Invoice Amount]]-Table432[[#This Row],[TDS]]-Table432[[#This Row],[RECIVED AMOUNT]]</f>
        <v>0</v>
      </c>
      <c r="T1180" s="131"/>
      <c r="U1180" s="131"/>
      <c r="V1180" s="129">
        <f>Table432[[#This Row],[BALANCE]]-Table432[[#This Row],[RECIVED AMOUNT2]]</f>
        <v>0</v>
      </c>
    </row>
    <row r="1181" spans="1:22" s="12" customFormat="1" ht="19.2" customHeight="1">
      <c r="A1181" s="132"/>
      <c r="B1181" s="131"/>
      <c r="C1181" s="131"/>
      <c r="D1181" s="131"/>
      <c r="E1181" s="131"/>
      <c r="F1181" s="136"/>
      <c r="G1181" s="136">
        <v>3808</v>
      </c>
      <c r="H1181" s="23">
        <v>0.18</v>
      </c>
      <c r="I1181" s="129"/>
      <c r="J1181" s="129">
        <f t="shared" si="87"/>
        <v>0</v>
      </c>
      <c r="K1181" s="129">
        <f t="shared" si="88"/>
        <v>0</v>
      </c>
      <c r="L1181" s="130"/>
      <c r="M1181" s="130">
        <f>Table432[[#This Row],[Taxable Amount]]+Table432[[#This Row],[SGST]]+Table432[[#This Row],[CGST]]</f>
        <v>0</v>
      </c>
      <c r="N1181" s="161">
        <f>Table432[[#This Row],[Taxable Amount]]*1%</f>
        <v>0</v>
      </c>
      <c r="O1181" s="132"/>
      <c r="P1181" s="135"/>
      <c r="Q1181" s="135"/>
      <c r="R1181" s="132"/>
      <c r="S1181" s="313">
        <f>Table432[[#This Row],[Invoice Amount]]-Table432[[#This Row],[TDS]]-Table432[[#This Row],[RECIVED AMOUNT]]</f>
        <v>0</v>
      </c>
      <c r="T1181" s="131"/>
      <c r="U1181" s="131"/>
      <c r="V1181" s="129">
        <f>Table432[[#This Row],[BALANCE]]-Table432[[#This Row],[RECIVED AMOUNT2]]</f>
        <v>0</v>
      </c>
    </row>
    <row r="1182" spans="1:22" s="12" customFormat="1" ht="19.2" customHeight="1">
      <c r="A1182" s="132"/>
      <c r="B1182" s="131"/>
      <c r="C1182" s="131"/>
      <c r="D1182" s="131"/>
      <c r="E1182" s="131"/>
      <c r="F1182" s="136"/>
      <c r="G1182" s="136">
        <v>3808</v>
      </c>
      <c r="H1182" s="23">
        <v>0.18</v>
      </c>
      <c r="I1182" s="129"/>
      <c r="J1182" s="129">
        <f t="shared" si="87"/>
        <v>0</v>
      </c>
      <c r="K1182" s="129">
        <f t="shared" si="88"/>
        <v>0</v>
      </c>
      <c r="L1182" s="130"/>
      <c r="M1182" s="130">
        <f>Table432[[#This Row],[Taxable Amount]]+Table432[[#This Row],[SGST]]+Table432[[#This Row],[CGST]]</f>
        <v>0</v>
      </c>
      <c r="N1182" s="161">
        <f>Table432[[#This Row],[Taxable Amount]]*1%</f>
        <v>0</v>
      </c>
      <c r="O1182" s="132"/>
      <c r="P1182" s="135"/>
      <c r="Q1182" s="135"/>
      <c r="R1182" s="132"/>
      <c r="S1182" s="313">
        <f>Table432[[#This Row],[Invoice Amount]]-Table432[[#This Row],[TDS]]-Table432[[#This Row],[RECIVED AMOUNT]]</f>
        <v>0</v>
      </c>
      <c r="T1182" s="131"/>
      <c r="U1182" s="131"/>
      <c r="V1182" s="129">
        <f>Table432[[#This Row],[BALANCE]]-Table432[[#This Row],[RECIVED AMOUNT2]]</f>
        <v>0</v>
      </c>
    </row>
    <row r="1183" spans="1:22" s="12" customFormat="1" ht="19.2" customHeight="1">
      <c r="A1183" s="132"/>
      <c r="B1183" s="131"/>
      <c r="C1183" s="131"/>
      <c r="D1183" s="131"/>
      <c r="E1183" s="131"/>
      <c r="F1183" s="136"/>
      <c r="G1183" s="136">
        <v>3808</v>
      </c>
      <c r="H1183" s="23">
        <v>0.18</v>
      </c>
      <c r="I1183" s="129"/>
      <c r="J1183" s="129">
        <f t="shared" si="87"/>
        <v>0</v>
      </c>
      <c r="K1183" s="129">
        <f t="shared" si="88"/>
        <v>0</v>
      </c>
      <c r="L1183" s="130"/>
      <c r="M1183" s="130">
        <f>Table432[[#This Row],[Taxable Amount]]+Table432[[#This Row],[SGST]]+Table432[[#This Row],[CGST]]</f>
        <v>0</v>
      </c>
      <c r="N1183" s="161">
        <f>Table432[[#This Row],[Taxable Amount]]*1%</f>
        <v>0</v>
      </c>
      <c r="O1183" s="132"/>
      <c r="P1183" s="135"/>
      <c r="Q1183" s="135"/>
      <c r="R1183" s="132"/>
      <c r="S1183" s="313">
        <f>Table432[[#This Row],[Invoice Amount]]-Table432[[#This Row],[TDS]]-Table432[[#This Row],[RECIVED AMOUNT]]</f>
        <v>0</v>
      </c>
      <c r="T1183" s="131"/>
      <c r="U1183" s="131"/>
      <c r="V1183" s="129">
        <f>Table432[[#This Row],[BALANCE]]-Table432[[#This Row],[RECIVED AMOUNT2]]</f>
        <v>0</v>
      </c>
    </row>
    <row r="1184" spans="1:22" s="12" customFormat="1" ht="19.2" customHeight="1">
      <c r="A1184" s="132"/>
      <c r="B1184" s="131"/>
      <c r="C1184" s="131"/>
      <c r="D1184" s="131"/>
      <c r="E1184" s="131"/>
      <c r="F1184" s="136"/>
      <c r="G1184" s="136">
        <v>3808</v>
      </c>
      <c r="H1184" s="23">
        <v>0.18</v>
      </c>
      <c r="I1184" s="129"/>
      <c r="J1184" s="129">
        <f t="shared" si="87"/>
        <v>0</v>
      </c>
      <c r="K1184" s="129">
        <f t="shared" si="88"/>
        <v>0</v>
      </c>
      <c r="L1184" s="130"/>
      <c r="M1184" s="130">
        <f>Table432[[#This Row],[Taxable Amount]]+Table432[[#This Row],[SGST]]+Table432[[#This Row],[CGST]]</f>
        <v>0</v>
      </c>
      <c r="N1184" s="161">
        <f>Table432[[#This Row],[Taxable Amount]]*1%</f>
        <v>0</v>
      </c>
      <c r="O1184" s="132"/>
      <c r="P1184" s="135"/>
      <c r="Q1184" s="135"/>
      <c r="R1184" s="132"/>
      <c r="S1184" s="313">
        <f>Table432[[#This Row],[Invoice Amount]]-Table432[[#This Row],[TDS]]-Table432[[#This Row],[RECIVED AMOUNT]]</f>
        <v>0</v>
      </c>
      <c r="T1184" s="131"/>
      <c r="U1184" s="131"/>
      <c r="V1184" s="129">
        <f>Table432[[#This Row],[BALANCE]]-Table432[[#This Row],[RECIVED AMOUNT2]]</f>
        <v>0</v>
      </c>
    </row>
    <row r="1185" spans="1:22" s="12" customFormat="1" ht="19.2" customHeight="1">
      <c r="A1185" s="132"/>
      <c r="B1185" s="131"/>
      <c r="C1185" s="131"/>
      <c r="D1185" s="131"/>
      <c r="E1185" s="131"/>
      <c r="F1185" s="136"/>
      <c r="G1185" s="136">
        <v>3808</v>
      </c>
      <c r="H1185" s="23">
        <v>0.18</v>
      </c>
      <c r="I1185" s="129"/>
      <c r="J1185" s="129">
        <f t="shared" si="87"/>
        <v>0</v>
      </c>
      <c r="K1185" s="129">
        <f t="shared" si="88"/>
        <v>0</v>
      </c>
      <c r="L1185" s="130"/>
      <c r="M1185" s="130">
        <f>Table432[[#This Row],[Taxable Amount]]+Table432[[#This Row],[SGST]]+Table432[[#This Row],[CGST]]</f>
        <v>0</v>
      </c>
      <c r="N1185" s="161">
        <f>Table432[[#This Row],[Taxable Amount]]*1%</f>
        <v>0</v>
      </c>
      <c r="O1185" s="132"/>
      <c r="P1185" s="135"/>
      <c r="Q1185" s="135"/>
      <c r="R1185" s="132"/>
      <c r="S1185" s="313">
        <f>Table432[[#This Row],[Invoice Amount]]-Table432[[#This Row],[TDS]]-Table432[[#This Row],[RECIVED AMOUNT]]</f>
        <v>0</v>
      </c>
      <c r="T1185" s="131"/>
      <c r="U1185" s="131"/>
      <c r="V1185" s="129">
        <f>Table432[[#This Row],[BALANCE]]-Table432[[#This Row],[RECIVED AMOUNT2]]</f>
        <v>0</v>
      </c>
    </row>
    <row r="1186" spans="1:22" s="12" customFormat="1" ht="19.2" customHeight="1">
      <c r="A1186" s="132"/>
      <c r="B1186" s="131"/>
      <c r="C1186" s="131"/>
      <c r="D1186" s="131"/>
      <c r="E1186" s="131"/>
      <c r="F1186" s="136"/>
      <c r="G1186" s="136">
        <v>3808</v>
      </c>
      <c r="H1186" s="23">
        <v>0.18</v>
      </c>
      <c r="I1186" s="129"/>
      <c r="J1186" s="129">
        <f t="shared" si="87"/>
        <v>0</v>
      </c>
      <c r="K1186" s="129">
        <f t="shared" si="88"/>
        <v>0</v>
      </c>
      <c r="L1186" s="130"/>
      <c r="M1186" s="130">
        <f>Table432[[#This Row],[Taxable Amount]]+Table432[[#This Row],[SGST]]+Table432[[#This Row],[CGST]]</f>
        <v>0</v>
      </c>
      <c r="N1186" s="161">
        <f>Table432[[#This Row],[Taxable Amount]]*1%</f>
        <v>0</v>
      </c>
      <c r="O1186" s="132"/>
      <c r="P1186" s="135"/>
      <c r="Q1186" s="135"/>
      <c r="R1186" s="132"/>
      <c r="S1186" s="313">
        <f>Table432[[#This Row],[Invoice Amount]]-Table432[[#This Row],[TDS]]-Table432[[#This Row],[RECIVED AMOUNT]]</f>
        <v>0</v>
      </c>
      <c r="T1186" s="131"/>
      <c r="U1186" s="131"/>
      <c r="V1186" s="129">
        <f>Table432[[#This Row],[BALANCE]]-Table432[[#This Row],[RECIVED AMOUNT2]]</f>
        <v>0</v>
      </c>
    </row>
    <row r="1187" spans="1:22" s="12" customFormat="1" ht="19.2" customHeight="1">
      <c r="A1187" s="132"/>
      <c r="B1187" s="131"/>
      <c r="C1187" s="131"/>
      <c r="D1187" s="131"/>
      <c r="E1187" s="131"/>
      <c r="F1187" s="136"/>
      <c r="G1187" s="136">
        <v>3808</v>
      </c>
      <c r="H1187" s="23">
        <v>0.18</v>
      </c>
      <c r="I1187" s="129"/>
      <c r="J1187" s="129">
        <f t="shared" si="87"/>
        <v>0</v>
      </c>
      <c r="K1187" s="129">
        <f t="shared" si="88"/>
        <v>0</v>
      </c>
      <c r="L1187" s="130"/>
      <c r="M1187" s="130">
        <f>Table432[[#This Row],[Taxable Amount]]+Table432[[#This Row],[SGST]]+Table432[[#This Row],[CGST]]</f>
        <v>0</v>
      </c>
      <c r="N1187" s="161">
        <f>Table432[[#This Row],[Taxable Amount]]*1%</f>
        <v>0</v>
      </c>
      <c r="O1187" s="132"/>
      <c r="P1187" s="135"/>
      <c r="Q1187" s="135"/>
      <c r="R1187" s="132"/>
      <c r="S1187" s="313">
        <f>Table432[[#This Row],[Invoice Amount]]-Table432[[#This Row],[TDS]]-Table432[[#This Row],[RECIVED AMOUNT]]</f>
        <v>0</v>
      </c>
      <c r="T1187" s="131"/>
      <c r="U1187" s="131"/>
      <c r="V1187" s="129">
        <f>Table432[[#This Row],[BALANCE]]-Table432[[#This Row],[RECIVED AMOUNT2]]</f>
        <v>0</v>
      </c>
    </row>
    <row r="1188" spans="1:22" s="12" customFormat="1" ht="19.2" customHeight="1">
      <c r="A1188" s="132"/>
      <c r="B1188" s="131"/>
      <c r="C1188" s="131"/>
      <c r="D1188" s="131"/>
      <c r="E1188" s="131"/>
      <c r="F1188" s="136"/>
      <c r="G1188" s="136">
        <v>3808</v>
      </c>
      <c r="H1188" s="23">
        <v>0.18</v>
      </c>
      <c r="I1188" s="129"/>
      <c r="J1188" s="129">
        <f t="shared" si="87"/>
        <v>0</v>
      </c>
      <c r="K1188" s="129">
        <f t="shared" si="88"/>
        <v>0</v>
      </c>
      <c r="L1188" s="130"/>
      <c r="M1188" s="130">
        <f>Table432[[#This Row],[Taxable Amount]]+Table432[[#This Row],[SGST]]+Table432[[#This Row],[CGST]]</f>
        <v>0</v>
      </c>
      <c r="N1188" s="161">
        <f>Table432[[#This Row],[Taxable Amount]]*1%</f>
        <v>0</v>
      </c>
      <c r="O1188" s="132"/>
      <c r="P1188" s="135"/>
      <c r="Q1188" s="135"/>
      <c r="R1188" s="132"/>
      <c r="S1188" s="313">
        <f>Table432[[#This Row],[Invoice Amount]]-Table432[[#This Row],[TDS]]-Table432[[#This Row],[RECIVED AMOUNT]]</f>
        <v>0</v>
      </c>
      <c r="T1188" s="131"/>
      <c r="U1188" s="131"/>
      <c r="V1188" s="129">
        <f>Table432[[#This Row],[BALANCE]]-Table432[[#This Row],[RECIVED AMOUNT2]]</f>
        <v>0</v>
      </c>
    </row>
    <row r="1189" spans="1:22" s="12" customFormat="1" ht="19.2" customHeight="1">
      <c r="A1189" s="132"/>
      <c r="B1189" s="131"/>
      <c r="C1189" s="131"/>
      <c r="D1189" s="131"/>
      <c r="E1189" s="131"/>
      <c r="F1189" s="136"/>
      <c r="G1189" s="136">
        <v>3808</v>
      </c>
      <c r="H1189" s="23">
        <v>0.18</v>
      </c>
      <c r="I1189" s="129"/>
      <c r="J1189" s="129">
        <f t="shared" si="87"/>
        <v>0</v>
      </c>
      <c r="K1189" s="129">
        <f t="shared" si="88"/>
        <v>0</v>
      </c>
      <c r="L1189" s="130"/>
      <c r="M1189" s="130">
        <f>Table432[[#This Row],[Taxable Amount]]+Table432[[#This Row],[SGST]]+Table432[[#This Row],[CGST]]</f>
        <v>0</v>
      </c>
      <c r="N1189" s="161">
        <f>Table432[[#This Row],[Taxable Amount]]*1%</f>
        <v>0</v>
      </c>
      <c r="O1189" s="132"/>
      <c r="P1189" s="135"/>
      <c r="Q1189" s="135"/>
      <c r="R1189" s="132"/>
      <c r="S1189" s="313">
        <f>Table432[[#This Row],[Invoice Amount]]-Table432[[#This Row],[TDS]]-Table432[[#This Row],[RECIVED AMOUNT]]</f>
        <v>0</v>
      </c>
      <c r="T1189" s="131"/>
      <c r="U1189" s="131"/>
      <c r="V1189" s="129">
        <f>Table432[[#This Row],[BALANCE]]-Table432[[#This Row],[RECIVED AMOUNT2]]</f>
        <v>0</v>
      </c>
    </row>
    <row r="1190" spans="1:22" s="12" customFormat="1" ht="19.2" customHeight="1">
      <c r="A1190" s="132"/>
      <c r="B1190" s="131"/>
      <c r="C1190" s="131"/>
      <c r="D1190" s="131"/>
      <c r="E1190" s="131"/>
      <c r="F1190" s="136"/>
      <c r="G1190" s="136">
        <v>3808</v>
      </c>
      <c r="H1190" s="23">
        <v>0.18</v>
      </c>
      <c r="I1190" s="129"/>
      <c r="J1190" s="129">
        <f t="shared" si="87"/>
        <v>0</v>
      </c>
      <c r="K1190" s="129">
        <f t="shared" si="88"/>
        <v>0</v>
      </c>
      <c r="L1190" s="130"/>
      <c r="M1190" s="130">
        <f>Table432[[#This Row],[Taxable Amount]]+Table432[[#This Row],[SGST]]+Table432[[#This Row],[CGST]]</f>
        <v>0</v>
      </c>
      <c r="N1190" s="161">
        <f>Table432[[#This Row],[Taxable Amount]]*1%</f>
        <v>0</v>
      </c>
      <c r="O1190" s="132"/>
      <c r="P1190" s="135"/>
      <c r="Q1190" s="135"/>
      <c r="R1190" s="132"/>
      <c r="S1190" s="313">
        <f>Table432[[#This Row],[Invoice Amount]]-Table432[[#This Row],[TDS]]-Table432[[#This Row],[RECIVED AMOUNT]]</f>
        <v>0</v>
      </c>
      <c r="T1190" s="131"/>
      <c r="U1190" s="131"/>
      <c r="V1190" s="129">
        <f>Table432[[#This Row],[BALANCE]]-Table432[[#This Row],[RECIVED AMOUNT2]]</f>
        <v>0</v>
      </c>
    </row>
    <row r="1191" spans="1:22" s="12" customFormat="1" ht="19.2" customHeight="1">
      <c r="A1191" s="132"/>
      <c r="B1191" s="131"/>
      <c r="C1191" s="131"/>
      <c r="D1191" s="131"/>
      <c r="E1191" s="131"/>
      <c r="F1191" s="136"/>
      <c r="G1191" s="136">
        <v>3808</v>
      </c>
      <c r="H1191" s="23">
        <v>0.18</v>
      </c>
      <c r="I1191" s="129"/>
      <c r="J1191" s="129">
        <f t="shared" si="87"/>
        <v>0</v>
      </c>
      <c r="K1191" s="129">
        <f t="shared" si="88"/>
        <v>0</v>
      </c>
      <c r="L1191" s="130"/>
      <c r="M1191" s="130">
        <f>Table432[[#This Row],[Taxable Amount]]+Table432[[#This Row],[SGST]]+Table432[[#This Row],[CGST]]</f>
        <v>0</v>
      </c>
      <c r="N1191" s="161">
        <f>Table432[[#This Row],[Taxable Amount]]*1%</f>
        <v>0</v>
      </c>
      <c r="O1191" s="132"/>
      <c r="P1191" s="135"/>
      <c r="Q1191" s="135"/>
      <c r="R1191" s="132"/>
      <c r="S1191" s="313">
        <f>Table432[[#This Row],[Invoice Amount]]-Table432[[#This Row],[TDS]]-Table432[[#This Row],[RECIVED AMOUNT]]</f>
        <v>0</v>
      </c>
      <c r="T1191" s="131"/>
      <c r="U1191" s="131"/>
      <c r="V1191" s="129">
        <f>Table432[[#This Row],[BALANCE]]-Table432[[#This Row],[RECIVED AMOUNT2]]</f>
        <v>0</v>
      </c>
    </row>
    <row r="1192" spans="1:22" s="12" customFormat="1" ht="19.2" customHeight="1">
      <c r="A1192" s="132"/>
      <c r="B1192" s="131"/>
      <c r="C1192" s="131"/>
      <c r="D1192" s="131"/>
      <c r="E1192" s="131"/>
      <c r="F1192" s="136"/>
      <c r="G1192" s="136">
        <v>3808</v>
      </c>
      <c r="H1192" s="23">
        <v>0.18</v>
      </c>
      <c r="I1192" s="129"/>
      <c r="J1192" s="129">
        <f t="shared" si="87"/>
        <v>0</v>
      </c>
      <c r="K1192" s="129">
        <f t="shared" si="88"/>
        <v>0</v>
      </c>
      <c r="L1192" s="130"/>
      <c r="M1192" s="130">
        <f>Table432[[#This Row],[Taxable Amount]]+Table432[[#This Row],[SGST]]+Table432[[#This Row],[CGST]]</f>
        <v>0</v>
      </c>
      <c r="N1192" s="161">
        <f>Table432[[#This Row],[Taxable Amount]]*1%</f>
        <v>0</v>
      </c>
      <c r="O1192" s="132"/>
      <c r="P1192" s="135"/>
      <c r="Q1192" s="135"/>
      <c r="R1192" s="132"/>
      <c r="S1192" s="313">
        <f>Table432[[#This Row],[Invoice Amount]]-Table432[[#This Row],[TDS]]-Table432[[#This Row],[RECIVED AMOUNT]]</f>
        <v>0</v>
      </c>
      <c r="T1192" s="131"/>
      <c r="U1192" s="131"/>
      <c r="V1192" s="129">
        <f>Table432[[#This Row],[BALANCE]]-Table432[[#This Row],[RECIVED AMOUNT2]]</f>
        <v>0</v>
      </c>
    </row>
    <row r="1193" spans="1:22" s="12" customFormat="1" ht="19.2" customHeight="1">
      <c r="A1193" s="132"/>
      <c r="B1193" s="131"/>
      <c r="C1193" s="131"/>
      <c r="D1193" s="131"/>
      <c r="E1193" s="131"/>
      <c r="F1193" s="136"/>
      <c r="G1193" s="136">
        <v>3808</v>
      </c>
      <c r="H1193" s="23">
        <v>0.18</v>
      </c>
      <c r="I1193" s="129"/>
      <c r="J1193" s="129">
        <f t="shared" si="87"/>
        <v>0</v>
      </c>
      <c r="K1193" s="129">
        <f t="shared" si="88"/>
        <v>0</v>
      </c>
      <c r="L1193" s="130"/>
      <c r="M1193" s="130">
        <f>Table432[[#This Row],[Taxable Amount]]+Table432[[#This Row],[SGST]]+Table432[[#This Row],[CGST]]</f>
        <v>0</v>
      </c>
      <c r="N1193" s="161">
        <f>Table432[[#This Row],[Taxable Amount]]*1%</f>
        <v>0</v>
      </c>
      <c r="O1193" s="132"/>
      <c r="P1193" s="135"/>
      <c r="Q1193" s="135"/>
      <c r="R1193" s="132"/>
      <c r="S1193" s="313">
        <f>Table432[[#This Row],[Invoice Amount]]-Table432[[#This Row],[TDS]]-Table432[[#This Row],[RECIVED AMOUNT]]</f>
        <v>0</v>
      </c>
      <c r="T1193" s="131"/>
      <c r="U1193" s="131"/>
      <c r="V1193" s="129">
        <f>Table432[[#This Row],[BALANCE]]-Table432[[#This Row],[RECIVED AMOUNT2]]</f>
        <v>0</v>
      </c>
    </row>
    <row r="1194" spans="1:22" s="12" customFormat="1" ht="19.2" customHeight="1">
      <c r="A1194" s="132"/>
      <c r="B1194" s="131"/>
      <c r="C1194" s="131"/>
      <c r="D1194" s="131"/>
      <c r="E1194" s="131"/>
      <c r="F1194" s="136"/>
      <c r="G1194" s="136">
        <v>3808</v>
      </c>
      <c r="H1194" s="23">
        <v>0.18</v>
      </c>
      <c r="I1194" s="129"/>
      <c r="J1194" s="129">
        <f t="shared" si="87"/>
        <v>0</v>
      </c>
      <c r="K1194" s="129">
        <f t="shared" si="88"/>
        <v>0</v>
      </c>
      <c r="L1194" s="130"/>
      <c r="M1194" s="130">
        <f>Table432[[#This Row],[Taxable Amount]]+Table432[[#This Row],[SGST]]+Table432[[#This Row],[CGST]]</f>
        <v>0</v>
      </c>
      <c r="N1194" s="161">
        <f>Table432[[#This Row],[Taxable Amount]]*1%</f>
        <v>0</v>
      </c>
      <c r="O1194" s="132"/>
      <c r="P1194" s="135"/>
      <c r="Q1194" s="135"/>
      <c r="R1194" s="132"/>
      <c r="S1194" s="313">
        <f>Table432[[#This Row],[Invoice Amount]]-Table432[[#This Row],[TDS]]-Table432[[#This Row],[RECIVED AMOUNT]]</f>
        <v>0</v>
      </c>
      <c r="T1194" s="131"/>
      <c r="U1194" s="131"/>
      <c r="V1194" s="129">
        <f>Table432[[#This Row],[BALANCE]]-Table432[[#This Row],[RECIVED AMOUNT2]]</f>
        <v>0</v>
      </c>
    </row>
    <row r="1195" spans="1:22" s="12" customFormat="1" ht="19.2" customHeight="1">
      <c r="A1195" s="132"/>
      <c r="B1195" s="131"/>
      <c r="C1195" s="131"/>
      <c r="D1195" s="131"/>
      <c r="E1195" s="131"/>
      <c r="F1195" s="136"/>
      <c r="G1195" s="136">
        <v>3808</v>
      </c>
      <c r="H1195" s="23">
        <v>0.18</v>
      </c>
      <c r="I1195" s="129"/>
      <c r="J1195" s="129">
        <f t="shared" si="87"/>
        <v>0</v>
      </c>
      <c r="K1195" s="129">
        <f t="shared" si="88"/>
        <v>0</v>
      </c>
      <c r="L1195" s="130"/>
      <c r="M1195" s="130">
        <f>Table432[[#This Row],[Taxable Amount]]+Table432[[#This Row],[SGST]]+Table432[[#This Row],[CGST]]</f>
        <v>0</v>
      </c>
      <c r="N1195" s="161">
        <f>Table432[[#This Row],[Taxable Amount]]*1%</f>
        <v>0</v>
      </c>
      <c r="O1195" s="132"/>
      <c r="P1195" s="135"/>
      <c r="Q1195" s="135"/>
      <c r="R1195" s="132"/>
      <c r="S1195" s="313">
        <f>Table432[[#This Row],[Invoice Amount]]-Table432[[#This Row],[TDS]]-Table432[[#This Row],[RECIVED AMOUNT]]</f>
        <v>0</v>
      </c>
      <c r="T1195" s="131"/>
      <c r="U1195" s="131"/>
      <c r="V1195" s="129">
        <f>Table432[[#This Row],[BALANCE]]-Table432[[#This Row],[RECIVED AMOUNT2]]</f>
        <v>0</v>
      </c>
    </row>
    <row r="1196" spans="1:22" s="12" customFormat="1" ht="19.2" customHeight="1">
      <c r="A1196" s="132"/>
      <c r="B1196" s="131"/>
      <c r="C1196" s="131"/>
      <c r="D1196" s="131"/>
      <c r="E1196" s="131"/>
      <c r="F1196" s="136"/>
      <c r="G1196" s="136">
        <v>3808</v>
      </c>
      <c r="H1196" s="23">
        <v>0.18</v>
      </c>
      <c r="I1196" s="129"/>
      <c r="J1196" s="129">
        <f t="shared" si="87"/>
        <v>0</v>
      </c>
      <c r="K1196" s="129">
        <f t="shared" si="88"/>
        <v>0</v>
      </c>
      <c r="L1196" s="130"/>
      <c r="M1196" s="130">
        <f>Table432[[#This Row],[Taxable Amount]]+Table432[[#This Row],[SGST]]+Table432[[#This Row],[CGST]]</f>
        <v>0</v>
      </c>
      <c r="N1196" s="161">
        <f>Table432[[#This Row],[Taxable Amount]]*1%</f>
        <v>0</v>
      </c>
      <c r="O1196" s="132"/>
      <c r="P1196" s="135"/>
      <c r="Q1196" s="135"/>
      <c r="R1196" s="132"/>
      <c r="S1196" s="313">
        <f>Table432[[#This Row],[Invoice Amount]]-Table432[[#This Row],[TDS]]-Table432[[#This Row],[RECIVED AMOUNT]]</f>
        <v>0</v>
      </c>
      <c r="T1196" s="131"/>
      <c r="U1196" s="131"/>
      <c r="V1196" s="129">
        <f>Table432[[#This Row],[BALANCE]]-Table432[[#This Row],[RECIVED AMOUNT2]]</f>
        <v>0</v>
      </c>
    </row>
    <row r="1197" spans="1:22" s="12" customFormat="1" ht="19.2" customHeight="1">
      <c r="A1197" s="132"/>
      <c r="B1197" s="131"/>
      <c r="C1197" s="131"/>
      <c r="D1197" s="131"/>
      <c r="E1197" s="131"/>
      <c r="F1197" s="136"/>
      <c r="G1197" s="136">
        <v>3808</v>
      </c>
      <c r="H1197" s="23">
        <v>0.18</v>
      </c>
      <c r="I1197" s="129"/>
      <c r="J1197" s="129">
        <f t="shared" si="87"/>
        <v>0</v>
      </c>
      <c r="K1197" s="129">
        <f t="shared" si="88"/>
        <v>0</v>
      </c>
      <c r="L1197" s="130"/>
      <c r="M1197" s="130">
        <f>Table432[[#This Row],[Taxable Amount]]+Table432[[#This Row],[SGST]]+Table432[[#This Row],[CGST]]</f>
        <v>0</v>
      </c>
      <c r="N1197" s="161">
        <f>Table432[[#This Row],[Taxable Amount]]*1%</f>
        <v>0</v>
      </c>
      <c r="O1197" s="132"/>
      <c r="P1197" s="135"/>
      <c r="Q1197" s="135"/>
      <c r="R1197" s="132"/>
      <c r="S1197" s="313">
        <f>Table432[[#This Row],[Invoice Amount]]-Table432[[#This Row],[TDS]]-Table432[[#This Row],[RECIVED AMOUNT]]</f>
        <v>0</v>
      </c>
      <c r="T1197" s="131"/>
      <c r="U1197" s="131"/>
      <c r="V1197" s="129">
        <f>Table432[[#This Row],[BALANCE]]-Table432[[#This Row],[RECIVED AMOUNT2]]</f>
        <v>0</v>
      </c>
    </row>
    <row r="1198" spans="1:22" s="12" customFormat="1" ht="19.2" customHeight="1">
      <c r="A1198" s="132"/>
      <c r="B1198" s="131"/>
      <c r="C1198" s="131"/>
      <c r="D1198" s="131"/>
      <c r="E1198" s="131"/>
      <c r="F1198" s="136"/>
      <c r="G1198" s="136">
        <v>3808</v>
      </c>
      <c r="H1198" s="23">
        <v>0.18</v>
      </c>
      <c r="I1198" s="129"/>
      <c r="J1198" s="129">
        <f t="shared" si="87"/>
        <v>0</v>
      </c>
      <c r="K1198" s="129">
        <f t="shared" si="88"/>
        <v>0</v>
      </c>
      <c r="L1198" s="130"/>
      <c r="M1198" s="130">
        <f>Table432[[#This Row],[Taxable Amount]]+Table432[[#This Row],[SGST]]+Table432[[#This Row],[CGST]]</f>
        <v>0</v>
      </c>
      <c r="N1198" s="161">
        <f>Table432[[#This Row],[Taxable Amount]]*1%</f>
        <v>0</v>
      </c>
      <c r="O1198" s="132"/>
      <c r="P1198" s="135"/>
      <c r="Q1198" s="135"/>
      <c r="R1198" s="132"/>
      <c r="S1198" s="313">
        <f>Table432[[#This Row],[Invoice Amount]]-Table432[[#This Row],[TDS]]-Table432[[#This Row],[RECIVED AMOUNT]]</f>
        <v>0</v>
      </c>
      <c r="T1198" s="131"/>
      <c r="U1198" s="131"/>
      <c r="V1198" s="129">
        <f>Table432[[#This Row],[BALANCE]]-Table432[[#This Row],[RECIVED AMOUNT2]]</f>
        <v>0</v>
      </c>
    </row>
    <row r="1199" spans="1:22" s="12" customFormat="1" ht="19.2" customHeight="1">
      <c r="A1199" s="132"/>
      <c r="B1199" s="131"/>
      <c r="C1199" s="131"/>
      <c r="D1199" s="131"/>
      <c r="E1199" s="131"/>
      <c r="F1199" s="136"/>
      <c r="G1199" s="136">
        <v>3808</v>
      </c>
      <c r="H1199" s="23">
        <v>0.18</v>
      </c>
      <c r="I1199" s="129"/>
      <c r="J1199" s="129">
        <f t="shared" si="87"/>
        <v>0</v>
      </c>
      <c r="K1199" s="129">
        <f t="shared" si="88"/>
        <v>0</v>
      </c>
      <c r="L1199" s="130"/>
      <c r="M1199" s="130">
        <f>Table432[[#This Row],[Taxable Amount]]+Table432[[#This Row],[SGST]]+Table432[[#This Row],[CGST]]</f>
        <v>0</v>
      </c>
      <c r="N1199" s="161">
        <f>Table432[[#This Row],[Taxable Amount]]*1%</f>
        <v>0</v>
      </c>
      <c r="O1199" s="132"/>
      <c r="P1199" s="135"/>
      <c r="Q1199" s="135"/>
      <c r="R1199" s="132"/>
      <c r="S1199" s="313">
        <f>Table432[[#This Row],[Invoice Amount]]-Table432[[#This Row],[TDS]]-Table432[[#This Row],[RECIVED AMOUNT]]</f>
        <v>0</v>
      </c>
      <c r="T1199" s="131"/>
      <c r="U1199" s="131"/>
      <c r="V1199" s="129">
        <f>Table432[[#This Row],[BALANCE]]-Table432[[#This Row],[RECIVED AMOUNT2]]</f>
        <v>0</v>
      </c>
    </row>
    <row r="1200" spans="1:22" s="12" customFormat="1" ht="19.2" customHeight="1">
      <c r="A1200" s="132"/>
      <c r="B1200" s="131"/>
      <c r="C1200" s="131"/>
      <c r="D1200" s="131"/>
      <c r="E1200" s="131"/>
      <c r="F1200" s="136"/>
      <c r="G1200" s="136"/>
      <c r="H1200" s="161"/>
      <c r="I1200" s="129"/>
      <c r="J1200" s="129">
        <f t="shared" si="87"/>
        <v>0</v>
      </c>
      <c r="K1200" s="129">
        <f t="shared" si="88"/>
        <v>0</v>
      </c>
      <c r="L1200" s="130"/>
      <c r="M1200" s="130">
        <f>Table432[[#This Row],[Taxable Amount]]+Table432[[#This Row],[SGST]]+Table432[[#This Row],[CGST]]</f>
        <v>0</v>
      </c>
      <c r="N1200" s="161">
        <f>Table432[[#This Row],[Taxable Amount]]*1%</f>
        <v>0</v>
      </c>
      <c r="O1200" s="132"/>
      <c r="P1200" s="135"/>
      <c r="Q1200" s="135"/>
      <c r="R1200" s="132"/>
      <c r="S1200" s="313">
        <f>Table432[[#This Row],[Invoice Amount]]-Table432[[#This Row],[TDS]]-Table432[[#This Row],[RECIVED AMOUNT]]</f>
        <v>0</v>
      </c>
      <c r="T1200" s="131"/>
      <c r="U1200" s="131"/>
      <c r="V1200" s="129">
        <f>Table432[[#This Row],[BALANCE]]-Table432[[#This Row],[RECIVED AMOUNT2]]</f>
        <v>0</v>
      </c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88C2-399D-4DD1-8EB1-E814E9F733DA}">
  <dimension ref="A1:DQ52"/>
  <sheetViews>
    <sheetView topLeftCell="A28" workbookViewId="0">
      <selection activeCell="B35" sqref="B35"/>
    </sheetView>
  </sheetViews>
  <sheetFormatPr defaultRowHeight="14.4"/>
  <cols>
    <col min="1" max="1" width="12" customWidth="1"/>
    <col min="2" max="2" width="17.6640625" customWidth="1"/>
    <col min="3" max="3" width="45.44140625" customWidth="1"/>
    <col min="4" max="4" width="20.109375" customWidth="1"/>
    <col min="5" max="5" width="12.6640625" customWidth="1"/>
    <col min="6" max="6" width="5.44140625" customWidth="1"/>
    <col min="7" max="7" width="6.5546875" customWidth="1"/>
    <col min="8" max="8" width="6.33203125" customWidth="1"/>
    <col min="9" max="9" width="14" customWidth="1"/>
    <col min="10" max="11" width="11.6640625" customWidth="1"/>
    <col min="13" max="13" width="13.6640625" customWidth="1"/>
    <col min="19" max="19" width="16.44140625" customWidth="1"/>
    <col min="22" max="22" width="11.10937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 t="s">
        <v>1196</v>
      </c>
      <c r="X1" s="50" t="s">
        <v>1259</v>
      </c>
      <c r="Y1" t="s">
        <v>1260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s="12" customFormat="1" ht="19.2" customHeight="1">
      <c r="A2" s="128">
        <v>46239</v>
      </c>
      <c r="B2" s="165" t="s">
        <v>1377</v>
      </c>
      <c r="C2" s="131" t="s">
        <v>1423</v>
      </c>
      <c r="D2" s="131" t="s">
        <v>1424</v>
      </c>
      <c r="E2" s="131" t="s">
        <v>1425</v>
      </c>
      <c r="F2" s="136" t="s">
        <v>37</v>
      </c>
      <c r="G2" s="136">
        <v>3808</v>
      </c>
      <c r="H2" s="23">
        <v>0.18</v>
      </c>
      <c r="I2" s="129">
        <v>3000</v>
      </c>
      <c r="J2" s="129">
        <v>0</v>
      </c>
      <c r="K2" s="129">
        <v>0</v>
      </c>
      <c r="L2" s="130">
        <v>540</v>
      </c>
      <c r="M2" s="130">
        <v>3540</v>
      </c>
      <c r="N2" s="161">
        <v>0</v>
      </c>
      <c r="O2" s="132"/>
      <c r="P2" s="135"/>
      <c r="Q2" s="135"/>
      <c r="R2" s="132"/>
      <c r="S2" s="313">
        <v>0</v>
      </c>
      <c r="T2" s="131"/>
      <c r="U2" s="131"/>
      <c r="V2" s="129">
        <v>0</v>
      </c>
    </row>
    <row r="3" spans="1:121" s="12" customFormat="1" ht="19.2" customHeight="1">
      <c r="A3" s="128">
        <v>46239</v>
      </c>
      <c r="B3" s="165" t="s">
        <v>1378</v>
      </c>
      <c r="C3" s="131" t="s">
        <v>955</v>
      </c>
      <c r="D3" s="131" t="s">
        <v>205</v>
      </c>
      <c r="E3" s="131" t="s">
        <v>67</v>
      </c>
      <c r="F3" s="136" t="s">
        <v>26</v>
      </c>
      <c r="G3" s="136">
        <v>3808</v>
      </c>
      <c r="H3" s="23">
        <v>0.18</v>
      </c>
      <c r="I3" s="129">
        <v>10000</v>
      </c>
      <c r="J3" s="129">
        <f t="shared" ref="J3:J50" si="0">I3*9/100</f>
        <v>900</v>
      </c>
      <c r="K3" s="129">
        <f t="shared" ref="K3:K50" si="1">I3*9/100</f>
        <v>900</v>
      </c>
      <c r="L3" s="130"/>
      <c r="M3" s="130">
        <f>I3+J3+K3</f>
        <v>11800</v>
      </c>
      <c r="N3" s="161">
        <v>0</v>
      </c>
      <c r="O3" s="132"/>
      <c r="P3" s="135"/>
      <c r="Q3" s="135"/>
      <c r="R3" s="132"/>
      <c r="S3" s="313">
        <v>0</v>
      </c>
      <c r="T3" s="131"/>
      <c r="U3" s="131"/>
      <c r="V3" s="129">
        <v>0</v>
      </c>
    </row>
    <row r="4" spans="1:121" s="12" customFormat="1" ht="19.2" customHeight="1">
      <c r="A4" s="128">
        <v>46239</v>
      </c>
      <c r="B4" s="165" t="s">
        <v>1379</v>
      </c>
      <c r="C4" s="126" t="s">
        <v>1470</v>
      </c>
      <c r="D4" s="131" t="s">
        <v>675</v>
      </c>
      <c r="E4" s="131" t="s">
        <v>676</v>
      </c>
      <c r="F4" s="136" t="s">
        <v>26</v>
      </c>
      <c r="G4" s="136">
        <v>3808</v>
      </c>
      <c r="H4" s="23">
        <v>0.18</v>
      </c>
      <c r="I4" s="129">
        <v>9300</v>
      </c>
      <c r="J4" s="129">
        <f t="shared" si="0"/>
        <v>837</v>
      </c>
      <c r="K4" s="129">
        <f t="shared" si="1"/>
        <v>837</v>
      </c>
      <c r="L4" s="130"/>
      <c r="M4" s="130">
        <f t="shared" ref="M4:M50" si="2">I4+J4+K4</f>
        <v>10974</v>
      </c>
      <c r="N4" s="161">
        <v>0</v>
      </c>
      <c r="O4" s="132"/>
      <c r="P4" s="135"/>
      <c r="Q4" s="135"/>
      <c r="R4" s="132"/>
      <c r="S4" s="313">
        <v>0</v>
      </c>
      <c r="T4" s="131"/>
      <c r="U4" s="131"/>
      <c r="V4" s="129">
        <v>0</v>
      </c>
    </row>
    <row r="5" spans="1:121" s="12" customFormat="1" ht="19.2" customHeight="1">
      <c r="A5" s="128">
        <v>46239</v>
      </c>
      <c r="B5" s="165" t="s">
        <v>1380</v>
      </c>
      <c r="C5" s="126" t="s">
        <v>1470</v>
      </c>
      <c r="D5" s="131" t="s">
        <v>675</v>
      </c>
      <c r="E5" s="131" t="s">
        <v>678</v>
      </c>
      <c r="F5" s="136" t="s">
        <v>26</v>
      </c>
      <c r="G5" s="136">
        <v>3808</v>
      </c>
      <c r="H5" s="23">
        <v>0.18</v>
      </c>
      <c r="I5" s="129">
        <v>4400</v>
      </c>
      <c r="J5" s="129">
        <f t="shared" si="0"/>
        <v>396</v>
      </c>
      <c r="K5" s="129">
        <f t="shared" si="1"/>
        <v>396</v>
      </c>
      <c r="L5" s="130"/>
      <c r="M5" s="130">
        <f t="shared" si="2"/>
        <v>5192</v>
      </c>
      <c r="N5" s="161">
        <v>0</v>
      </c>
      <c r="O5" s="132"/>
      <c r="P5" s="135"/>
      <c r="Q5" s="135"/>
      <c r="R5" s="132"/>
      <c r="S5" s="313">
        <v>0</v>
      </c>
      <c r="T5" s="131"/>
      <c r="U5" s="131"/>
      <c r="V5" s="129">
        <v>0</v>
      </c>
    </row>
    <row r="6" spans="1:121" s="12" customFormat="1" ht="19.2" customHeight="1">
      <c r="A6" s="128">
        <v>46239</v>
      </c>
      <c r="B6" s="165" t="s">
        <v>1381</v>
      </c>
      <c r="C6" s="126" t="s">
        <v>1470</v>
      </c>
      <c r="D6" s="131" t="s">
        <v>675</v>
      </c>
      <c r="E6" s="131" t="s">
        <v>684</v>
      </c>
      <c r="F6" s="136" t="s">
        <v>26</v>
      </c>
      <c r="G6" s="136">
        <v>3808</v>
      </c>
      <c r="H6" s="23">
        <v>0.18</v>
      </c>
      <c r="I6" s="129">
        <v>1650</v>
      </c>
      <c r="J6" s="129">
        <f t="shared" si="0"/>
        <v>148.5</v>
      </c>
      <c r="K6" s="129">
        <f t="shared" si="1"/>
        <v>148.5</v>
      </c>
      <c r="L6" s="130"/>
      <c r="M6" s="130">
        <f t="shared" si="2"/>
        <v>1947</v>
      </c>
      <c r="N6" s="161">
        <v>0</v>
      </c>
      <c r="O6" s="132"/>
      <c r="P6" s="135"/>
      <c r="Q6" s="135"/>
      <c r="R6" s="132"/>
      <c r="S6" s="313">
        <v>0</v>
      </c>
      <c r="T6" s="131"/>
      <c r="U6" s="131"/>
      <c r="V6" s="129">
        <v>0</v>
      </c>
    </row>
    <row r="7" spans="1:121" s="12" customFormat="1" ht="19.2" customHeight="1">
      <c r="A7" s="128">
        <v>46239</v>
      </c>
      <c r="B7" s="165" t="s">
        <v>1382</v>
      </c>
      <c r="C7" s="126" t="s">
        <v>1470</v>
      </c>
      <c r="D7" s="131" t="s">
        <v>675</v>
      </c>
      <c r="E7" s="131" t="s">
        <v>956</v>
      </c>
      <c r="F7" s="136" t="s">
        <v>26</v>
      </c>
      <c r="G7" s="136">
        <v>3808</v>
      </c>
      <c r="H7" s="23">
        <v>0.18</v>
      </c>
      <c r="I7" s="129">
        <v>1350</v>
      </c>
      <c r="J7" s="129">
        <f t="shared" si="0"/>
        <v>121.5</v>
      </c>
      <c r="K7" s="129">
        <f t="shared" si="1"/>
        <v>121.5</v>
      </c>
      <c r="L7" s="130"/>
      <c r="M7" s="130">
        <f t="shared" si="2"/>
        <v>1593</v>
      </c>
      <c r="N7" s="161">
        <v>0</v>
      </c>
      <c r="O7" s="132"/>
      <c r="P7" s="135"/>
      <c r="Q7" s="135"/>
      <c r="R7" s="132"/>
      <c r="S7" s="313">
        <v>0</v>
      </c>
      <c r="T7" s="131"/>
      <c r="U7" s="131"/>
      <c r="V7" s="129">
        <v>0</v>
      </c>
    </row>
    <row r="8" spans="1:121" s="12" customFormat="1" ht="19.2" customHeight="1">
      <c r="A8" s="128">
        <v>46239</v>
      </c>
      <c r="B8" s="165" t="s">
        <v>1383</v>
      </c>
      <c r="C8" s="126" t="s">
        <v>1470</v>
      </c>
      <c r="D8" s="131" t="s">
        <v>675</v>
      </c>
      <c r="E8" s="131" t="s">
        <v>716</v>
      </c>
      <c r="F8" s="136" t="s">
        <v>26</v>
      </c>
      <c r="G8" s="136">
        <v>3808</v>
      </c>
      <c r="H8" s="23">
        <v>0.18</v>
      </c>
      <c r="I8" s="129">
        <v>4000</v>
      </c>
      <c r="J8" s="129">
        <f t="shared" si="0"/>
        <v>360</v>
      </c>
      <c r="K8" s="129">
        <f t="shared" si="1"/>
        <v>360</v>
      </c>
      <c r="L8" s="130"/>
      <c r="M8" s="130">
        <f t="shared" si="2"/>
        <v>4720</v>
      </c>
      <c r="N8" s="161">
        <v>0</v>
      </c>
      <c r="O8" s="132"/>
      <c r="P8" s="135"/>
      <c r="Q8" s="135"/>
      <c r="R8" s="132"/>
      <c r="S8" s="313">
        <v>0</v>
      </c>
      <c r="T8" s="131"/>
      <c r="U8" s="131"/>
      <c r="V8" s="129">
        <v>0</v>
      </c>
    </row>
    <row r="9" spans="1:121" s="12" customFormat="1" ht="19.2" customHeight="1">
      <c r="A9" s="128">
        <v>46239</v>
      </c>
      <c r="B9" s="165" t="s">
        <v>1384</v>
      </c>
      <c r="C9" s="126" t="s">
        <v>1470</v>
      </c>
      <c r="D9" s="131" t="s">
        <v>675</v>
      </c>
      <c r="E9" s="131" t="s">
        <v>811</v>
      </c>
      <c r="F9" s="136" t="s">
        <v>26</v>
      </c>
      <c r="G9" s="136">
        <v>3808</v>
      </c>
      <c r="H9" s="23">
        <v>0.18</v>
      </c>
      <c r="I9" s="129">
        <v>8000</v>
      </c>
      <c r="J9" s="129">
        <f t="shared" si="0"/>
        <v>720</v>
      </c>
      <c r="K9" s="129">
        <f t="shared" si="1"/>
        <v>720</v>
      </c>
      <c r="L9" s="130"/>
      <c r="M9" s="130">
        <f t="shared" si="2"/>
        <v>9440</v>
      </c>
      <c r="N9" s="161">
        <v>0</v>
      </c>
      <c r="O9" s="132"/>
      <c r="P9" s="135"/>
      <c r="Q9" s="135"/>
      <c r="R9" s="132"/>
      <c r="S9" s="313">
        <v>0</v>
      </c>
      <c r="T9" s="131"/>
      <c r="U9" s="131"/>
      <c r="V9" s="129">
        <v>0</v>
      </c>
    </row>
    <row r="10" spans="1:121" s="12" customFormat="1" ht="19.2" customHeight="1">
      <c r="A10" s="128">
        <v>46239</v>
      </c>
      <c r="B10" s="165" t="s">
        <v>1385</v>
      </c>
      <c r="C10" s="126" t="s">
        <v>1470</v>
      </c>
      <c r="D10" s="131" t="s">
        <v>675</v>
      </c>
      <c r="E10" s="131" t="s">
        <v>1265</v>
      </c>
      <c r="F10" s="136" t="s">
        <v>26</v>
      </c>
      <c r="G10" s="136">
        <v>3808</v>
      </c>
      <c r="H10" s="23">
        <v>0.18</v>
      </c>
      <c r="I10" s="129">
        <v>16850</v>
      </c>
      <c r="J10" s="129">
        <f t="shared" si="0"/>
        <v>1516.5</v>
      </c>
      <c r="K10" s="129">
        <f t="shared" si="1"/>
        <v>1516.5</v>
      </c>
      <c r="L10" s="130"/>
      <c r="M10" s="130">
        <f t="shared" si="2"/>
        <v>19883</v>
      </c>
      <c r="N10" s="161">
        <v>0</v>
      </c>
      <c r="O10" s="132"/>
      <c r="P10" s="135"/>
      <c r="Q10" s="135"/>
      <c r="R10" s="132"/>
      <c r="S10" s="313">
        <v>0</v>
      </c>
      <c r="T10" s="131"/>
      <c r="U10" s="131"/>
      <c r="V10" s="129">
        <v>0</v>
      </c>
    </row>
    <row r="11" spans="1:121" s="12" customFormat="1" ht="19.2" customHeight="1">
      <c r="A11" s="128">
        <v>46239</v>
      </c>
      <c r="B11" s="165" t="s">
        <v>1386</v>
      </c>
      <c r="C11" s="126" t="s">
        <v>1470</v>
      </c>
      <c r="D11" s="131" t="s">
        <v>675</v>
      </c>
      <c r="E11" s="131" t="s">
        <v>1340</v>
      </c>
      <c r="F11" s="136" t="s">
        <v>26</v>
      </c>
      <c r="G11" s="136">
        <v>3808</v>
      </c>
      <c r="H11" s="23">
        <v>0.18</v>
      </c>
      <c r="I11" s="129">
        <v>600</v>
      </c>
      <c r="J11" s="129">
        <f t="shared" si="0"/>
        <v>54</v>
      </c>
      <c r="K11" s="129">
        <f t="shared" si="1"/>
        <v>54</v>
      </c>
      <c r="L11" s="130"/>
      <c r="M11" s="130">
        <f t="shared" si="2"/>
        <v>708</v>
      </c>
      <c r="N11" s="161">
        <v>0</v>
      </c>
      <c r="O11" s="132"/>
      <c r="P11" s="135"/>
      <c r="Q11" s="135"/>
      <c r="R11" s="132"/>
      <c r="S11" s="313">
        <v>0</v>
      </c>
      <c r="T11" s="131"/>
      <c r="U11" s="131"/>
      <c r="V11" s="129">
        <v>0</v>
      </c>
    </row>
    <row r="12" spans="1:121" s="12" customFormat="1" ht="19.2" customHeight="1">
      <c r="A12" s="128">
        <v>46239</v>
      </c>
      <c r="B12" s="165" t="s">
        <v>1387</v>
      </c>
      <c r="C12" s="126" t="s">
        <v>1470</v>
      </c>
      <c r="D12" s="131" t="s">
        <v>675</v>
      </c>
      <c r="E12" s="131" t="s">
        <v>1440</v>
      </c>
      <c r="F12" s="136" t="s">
        <v>26</v>
      </c>
      <c r="G12" s="136">
        <v>3808</v>
      </c>
      <c r="H12" s="23">
        <v>0.18</v>
      </c>
      <c r="I12" s="129">
        <v>7250</v>
      </c>
      <c r="J12" s="129">
        <f t="shared" si="0"/>
        <v>652.5</v>
      </c>
      <c r="K12" s="129">
        <f t="shared" si="1"/>
        <v>652.5</v>
      </c>
      <c r="L12" s="130"/>
      <c r="M12" s="130">
        <f t="shared" si="2"/>
        <v>8555</v>
      </c>
      <c r="N12" s="161">
        <v>0</v>
      </c>
      <c r="O12" s="132"/>
      <c r="P12" s="135"/>
      <c r="Q12" s="135"/>
      <c r="R12" s="132"/>
      <c r="S12" s="313">
        <v>0</v>
      </c>
      <c r="T12" s="131"/>
      <c r="U12" s="131"/>
      <c r="V12" s="129">
        <v>0</v>
      </c>
    </row>
    <row r="13" spans="1:121" s="12" customFormat="1" ht="19.2" customHeight="1">
      <c r="A13" s="128">
        <v>46239</v>
      </c>
      <c r="B13" s="165" t="s">
        <v>1388</v>
      </c>
      <c r="C13" s="126" t="s">
        <v>1470</v>
      </c>
      <c r="D13" s="131" t="s">
        <v>675</v>
      </c>
      <c r="E13" s="131" t="s">
        <v>1441</v>
      </c>
      <c r="F13" s="136" t="s">
        <v>26</v>
      </c>
      <c r="G13" s="136">
        <v>3808</v>
      </c>
      <c r="H13" s="23">
        <v>0.18</v>
      </c>
      <c r="I13" s="129">
        <v>7300</v>
      </c>
      <c r="J13" s="129">
        <f>I13*9/100</f>
        <v>657</v>
      </c>
      <c r="K13" s="129">
        <f t="shared" si="1"/>
        <v>657</v>
      </c>
      <c r="L13" s="130"/>
      <c r="M13" s="130">
        <f t="shared" si="2"/>
        <v>8614</v>
      </c>
      <c r="N13" s="161">
        <v>0</v>
      </c>
      <c r="O13" s="132"/>
      <c r="P13" s="135"/>
      <c r="Q13" s="135"/>
      <c r="R13" s="132"/>
      <c r="S13" s="313">
        <v>0</v>
      </c>
      <c r="T13" s="131"/>
      <c r="U13" s="131"/>
      <c r="V13" s="129">
        <v>0</v>
      </c>
    </row>
    <row r="14" spans="1:121" s="12" customFormat="1" ht="19.2" customHeight="1">
      <c r="A14" s="128">
        <v>46239</v>
      </c>
      <c r="B14" s="165" t="s">
        <v>1389</v>
      </c>
      <c r="C14" s="131" t="s">
        <v>396</v>
      </c>
      <c r="D14" s="131" t="s">
        <v>397</v>
      </c>
      <c r="E14" s="131" t="s">
        <v>260</v>
      </c>
      <c r="F14" s="136" t="s">
        <v>26</v>
      </c>
      <c r="G14" s="136">
        <v>3808</v>
      </c>
      <c r="H14" s="23">
        <v>0.18</v>
      </c>
      <c r="I14" s="129">
        <v>6000</v>
      </c>
      <c r="J14" s="129">
        <f t="shared" si="0"/>
        <v>540</v>
      </c>
      <c r="K14" s="129">
        <f t="shared" si="1"/>
        <v>540</v>
      </c>
      <c r="L14" s="130"/>
      <c r="M14" s="130">
        <f t="shared" si="2"/>
        <v>7080</v>
      </c>
      <c r="N14" s="161">
        <v>0</v>
      </c>
      <c r="O14" s="132"/>
      <c r="P14" s="135"/>
      <c r="Q14" s="135"/>
      <c r="R14" s="132"/>
      <c r="S14" s="313">
        <v>0</v>
      </c>
      <c r="T14" s="131"/>
      <c r="U14" s="131"/>
      <c r="V14" s="129">
        <v>0</v>
      </c>
    </row>
    <row r="15" spans="1:121" s="12" customFormat="1" ht="19.2" customHeight="1">
      <c r="A15" s="128">
        <v>46239</v>
      </c>
      <c r="B15" s="165" t="s">
        <v>1390</v>
      </c>
      <c r="C15" s="131" t="s">
        <v>319</v>
      </c>
      <c r="D15" s="131" t="s">
        <v>320</v>
      </c>
      <c r="E15" s="131" t="s">
        <v>85</v>
      </c>
      <c r="F15" s="136" t="s">
        <v>26</v>
      </c>
      <c r="G15" s="136">
        <v>3808</v>
      </c>
      <c r="H15" s="23">
        <v>0.18</v>
      </c>
      <c r="I15" s="129">
        <v>4400</v>
      </c>
      <c r="J15" s="129">
        <f t="shared" si="0"/>
        <v>396</v>
      </c>
      <c r="K15" s="129">
        <f t="shared" si="1"/>
        <v>396</v>
      </c>
      <c r="L15" s="130"/>
      <c r="M15" s="130">
        <f t="shared" si="2"/>
        <v>5192</v>
      </c>
      <c r="N15" s="161">
        <v>0</v>
      </c>
      <c r="O15" s="132"/>
      <c r="P15" s="135"/>
      <c r="Q15" s="135"/>
      <c r="R15" s="132"/>
      <c r="S15" s="313">
        <v>0</v>
      </c>
      <c r="T15" s="131"/>
      <c r="U15" s="131"/>
      <c r="V15" s="129">
        <v>0</v>
      </c>
    </row>
    <row r="16" spans="1:121" s="12" customFormat="1" ht="19.2" customHeight="1">
      <c r="A16" s="128">
        <v>46239</v>
      </c>
      <c r="B16" s="165" t="s">
        <v>1391</v>
      </c>
      <c r="C16" s="131" t="s">
        <v>1436</v>
      </c>
      <c r="D16" s="131" t="s">
        <v>1437</v>
      </c>
      <c r="E16" s="131" t="s">
        <v>59</v>
      </c>
      <c r="F16" s="136" t="s">
        <v>26</v>
      </c>
      <c r="G16" s="136">
        <v>3808</v>
      </c>
      <c r="H16" s="23">
        <v>0.18</v>
      </c>
      <c r="I16" s="129">
        <v>24600</v>
      </c>
      <c r="J16" s="129">
        <f t="shared" si="0"/>
        <v>2214</v>
      </c>
      <c r="K16" s="129">
        <f t="shared" si="1"/>
        <v>2214</v>
      </c>
      <c r="L16" s="130"/>
      <c r="M16" s="130">
        <f t="shared" si="2"/>
        <v>29028</v>
      </c>
      <c r="N16" s="161">
        <v>0</v>
      </c>
      <c r="O16" s="132"/>
      <c r="P16" s="135"/>
      <c r="Q16" s="135"/>
      <c r="R16" s="132"/>
      <c r="S16" s="313">
        <v>0</v>
      </c>
      <c r="T16" s="131"/>
      <c r="U16" s="131"/>
      <c r="V16" s="129">
        <v>0</v>
      </c>
    </row>
    <row r="17" spans="1:22" s="12" customFormat="1" ht="19.2" customHeight="1">
      <c r="A17" s="128">
        <v>46239</v>
      </c>
      <c r="B17" s="165" t="s">
        <v>1392</v>
      </c>
      <c r="C17" s="131" t="s">
        <v>1185</v>
      </c>
      <c r="D17" s="131" t="s">
        <v>1186</v>
      </c>
      <c r="E17" s="131" t="s">
        <v>36</v>
      </c>
      <c r="F17" s="136" t="s">
        <v>26</v>
      </c>
      <c r="G17" s="136">
        <v>3808</v>
      </c>
      <c r="H17" s="23">
        <v>0.18</v>
      </c>
      <c r="I17" s="129">
        <v>4400</v>
      </c>
      <c r="J17" s="129">
        <f t="shared" si="0"/>
        <v>396</v>
      </c>
      <c r="K17" s="129">
        <f t="shared" si="1"/>
        <v>396</v>
      </c>
      <c r="L17" s="130"/>
      <c r="M17" s="130">
        <f t="shared" si="2"/>
        <v>5192</v>
      </c>
      <c r="N17" s="161">
        <v>0</v>
      </c>
      <c r="O17" s="132"/>
      <c r="P17" s="135"/>
      <c r="Q17" s="135"/>
      <c r="R17" s="132"/>
      <c r="S17" s="313">
        <v>0</v>
      </c>
      <c r="T17" s="131"/>
      <c r="U17" s="131"/>
      <c r="V17" s="129">
        <v>0</v>
      </c>
    </row>
    <row r="18" spans="1:22" s="12" customFormat="1" ht="19.2" customHeight="1">
      <c r="A18" s="128">
        <v>46239</v>
      </c>
      <c r="B18" s="165" t="s">
        <v>1393</v>
      </c>
      <c r="C18" s="131" t="s">
        <v>87</v>
      </c>
      <c r="D18" s="131" t="s">
        <v>88</v>
      </c>
      <c r="E18" s="131" t="s">
        <v>89</v>
      </c>
      <c r="F18" s="136" t="s">
        <v>26</v>
      </c>
      <c r="G18" s="136">
        <v>3808</v>
      </c>
      <c r="H18" s="23">
        <v>0.18</v>
      </c>
      <c r="I18" s="129">
        <v>2500</v>
      </c>
      <c r="J18" s="129">
        <f t="shared" si="0"/>
        <v>225</v>
      </c>
      <c r="K18" s="129">
        <f t="shared" si="1"/>
        <v>225</v>
      </c>
      <c r="L18" s="130"/>
      <c r="M18" s="130">
        <f t="shared" si="2"/>
        <v>2950</v>
      </c>
      <c r="N18" s="161">
        <v>0</v>
      </c>
      <c r="O18" s="132"/>
      <c r="P18" s="135"/>
      <c r="Q18" s="135"/>
      <c r="R18" s="132"/>
      <c r="S18" s="313">
        <v>0</v>
      </c>
      <c r="T18" s="131"/>
      <c r="U18" s="131"/>
      <c r="V18" s="129">
        <v>0</v>
      </c>
    </row>
    <row r="19" spans="1:22" s="12" customFormat="1" ht="19.2" customHeight="1">
      <c r="A19" s="128">
        <v>46239</v>
      </c>
      <c r="B19" s="165" t="s">
        <v>1394</v>
      </c>
      <c r="C19" s="131" t="s">
        <v>642</v>
      </c>
      <c r="D19" s="131" t="s">
        <v>643</v>
      </c>
      <c r="E19" s="131" t="s">
        <v>67</v>
      </c>
      <c r="F19" s="136" t="s">
        <v>26</v>
      </c>
      <c r="G19" s="136">
        <v>3808</v>
      </c>
      <c r="H19" s="23">
        <v>0.18</v>
      </c>
      <c r="I19" s="129">
        <v>3400</v>
      </c>
      <c r="J19" s="129">
        <f t="shared" si="0"/>
        <v>306</v>
      </c>
      <c r="K19" s="129">
        <f t="shared" si="1"/>
        <v>306</v>
      </c>
      <c r="L19" s="130"/>
      <c r="M19" s="130">
        <f t="shared" si="2"/>
        <v>4012</v>
      </c>
      <c r="N19" s="161">
        <v>0</v>
      </c>
      <c r="O19" s="132"/>
      <c r="P19" s="135"/>
      <c r="Q19" s="135"/>
      <c r="R19" s="132"/>
      <c r="S19" s="313">
        <v>0</v>
      </c>
      <c r="T19" s="131"/>
      <c r="U19" s="131"/>
      <c r="V19" s="129">
        <v>0</v>
      </c>
    </row>
    <row r="20" spans="1:22" s="12" customFormat="1" ht="19.2" customHeight="1">
      <c r="A20" s="128">
        <v>46239</v>
      </c>
      <c r="B20" s="165" t="s">
        <v>1395</v>
      </c>
      <c r="C20" s="131" t="s">
        <v>883</v>
      </c>
      <c r="D20" s="131" t="s">
        <v>884</v>
      </c>
      <c r="E20" s="131" t="s">
        <v>85</v>
      </c>
      <c r="F20" s="136" t="s">
        <v>26</v>
      </c>
      <c r="G20" s="136">
        <v>3808</v>
      </c>
      <c r="H20" s="23">
        <v>0.18</v>
      </c>
      <c r="I20" s="129">
        <v>8400</v>
      </c>
      <c r="J20" s="129">
        <f t="shared" si="0"/>
        <v>756</v>
      </c>
      <c r="K20" s="129">
        <f t="shared" si="1"/>
        <v>756</v>
      </c>
      <c r="L20" s="130"/>
      <c r="M20" s="130">
        <f t="shared" si="2"/>
        <v>9912</v>
      </c>
      <c r="N20" s="161">
        <v>0</v>
      </c>
      <c r="O20" s="132"/>
      <c r="P20" s="135"/>
      <c r="Q20" s="135"/>
      <c r="R20" s="132"/>
      <c r="S20" s="313">
        <v>0</v>
      </c>
      <c r="T20" s="131"/>
      <c r="U20" s="131"/>
      <c r="V20" s="129">
        <v>0</v>
      </c>
    </row>
    <row r="21" spans="1:22" s="12" customFormat="1" ht="19.2" customHeight="1">
      <c r="A21" s="128">
        <v>46239</v>
      </c>
      <c r="B21" s="165" t="s">
        <v>1396</v>
      </c>
      <c r="C21" s="131" t="s">
        <v>883</v>
      </c>
      <c r="D21" s="131" t="s">
        <v>884</v>
      </c>
      <c r="E21" s="131" t="s">
        <v>85</v>
      </c>
      <c r="F21" s="136" t="s">
        <v>26</v>
      </c>
      <c r="G21" s="136">
        <v>3808</v>
      </c>
      <c r="H21" s="23">
        <v>0.18</v>
      </c>
      <c r="I21" s="129">
        <v>2496</v>
      </c>
      <c r="J21" s="129">
        <f t="shared" si="0"/>
        <v>224.64</v>
      </c>
      <c r="K21" s="129">
        <f t="shared" si="1"/>
        <v>224.64</v>
      </c>
      <c r="L21" s="130"/>
      <c r="M21" s="130">
        <f t="shared" si="2"/>
        <v>2945.2799999999997</v>
      </c>
      <c r="N21" s="161">
        <v>0</v>
      </c>
      <c r="O21" s="132"/>
      <c r="P21" s="135"/>
      <c r="Q21" s="135"/>
      <c r="R21" s="132"/>
      <c r="S21" s="313">
        <v>0</v>
      </c>
      <c r="T21" s="131"/>
      <c r="U21" s="131"/>
      <c r="V21" s="129">
        <v>0</v>
      </c>
    </row>
    <row r="22" spans="1:22" s="12" customFormat="1" ht="19.2" customHeight="1">
      <c r="A22" s="128">
        <v>46239</v>
      </c>
      <c r="B22" s="165" t="s">
        <v>1397</v>
      </c>
      <c r="C22" s="131" t="s">
        <v>883</v>
      </c>
      <c r="D22" s="131" t="s">
        <v>884</v>
      </c>
      <c r="E22" s="131" t="s">
        <v>85</v>
      </c>
      <c r="F22" s="136" t="s">
        <v>26</v>
      </c>
      <c r="G22" s="136">
        <v>3808</v>
      </c>
      <c r="H22" s="23">
        <v>0.18</v>
      </c>
      <c r="I22" s="129">
        <v>2496</v>
      </c>
      <c r="J22" s="129">
        <f t="shared" si="0"/>
        <v>224.64</v>
      </c>
      <c r="K22" s="129">
        <f t="shared" si="1"/>
        <v>224.64</v>
      </c>
      <c r="L22" s="130"/>
      <c r="M22" s="130">
        <f t="shared" si="2"/>
        <v>2945.2799999999997</v>
      </c>
      <c r="N22" s="161">
        <v>0</v>
      </c>
      <c r="O22" s="132"/>
      <c r="P22" s="135"/>
      <c r="Q22" s="135"/>
      <c r="R22" s="132"/>
      <c r="S22" s="313">
        <v>0</v>
      </c>
      <c r="T22" s="131"/>
      <c r="U22" s="131"/>
      <c r="V22" s="129">
        <v>0</v>
      </c>
    </row>
    <row r="23" spans="1:22" s="12" customFormat="1" ht="19.2" customHeight="1">
      <c r="A23" s="128">
        <v>46244</v>
      </c>
      <c r="B23" s="165" t="s">
        <v>1398</v>
      </c>
      <c r="C23" s="131" t="s">
        <v>1438</v>
      </c>
      <c r="D23" s="131" t="s">
        <v>1439</v>
      </c>
      <c r="E23" s="131" t="s">
        <v>1419</v>
      </c>
      <c r="F23" s="136" t="s">
        <v>26</v>
      </c>
      <c r="G23" s="136">
        <v>3808</v>
      </c>
      <c r="H23" s="23">
        <v>0.18</v>
      </c>
      <c r="I23" s="129">
        <v>20000</v>
      </c>
      <c r="J23" s="129">
        <f t="shared" si="0"/>
        <v>1800</v>
      </c>
      <c r="K23" s="129">
        <f t="shared" si="1"/>
        <v>1800</v>
      </c>
      <c r="L23" s="130"/>
      <c r="M23" s="130">
        <f t="shared" si="2"/>
        <v>23600</v>
      </c>
      <c r="N23" s="161">
        <v>0</v>
      </c>
      <c r="O23" s="132"/>
      <c r="P23" s="135"/>
      <c r="Q23" s="135"/>
      <c r="R23" s="132"/>
      <c r="S23" s="313">
        <v>0</v>
      </c>
      <c r="T23" s="131"/>
      <c r="U23" s="131"/>
      <c r="V23" s="129">
        <v>0</v>
      </c>
    </row>
    <row r="24" spans="1:22" s="12" customFormat="1" ht="19.2" customHeight="1">
      <c r="A24" s="128">
        <v>46239</v>
      </c>
      <c r="B24" s="165" t="s">
        <v>1399</v>
      </c>
      <c r="C24" s="131" t="s">
        <v>885</v>
      </c>
      <c r="D24" s="131" t="s">
        <v>886</v>
      </c>
      <c r="E24" s="131" t="s">
        <v>59</v>
      </c>
      <c r="F24" s="136" t="s">
        <v>26</v>
      </c>
      <c r="G24" s="136">
        <v>3808</v>
      </c>
      <c r="H24" s="23">
        <v>0.18</v>
      </c>
      <c r="I24" s="129">
        <v>2200</v>
      </c>
      <c r="J24" s="129">
        <f t="shared" si="0"/>
        <v>198</v>
      </c>
      <c r="K24" s="129">
        <f t="shared" si="1"/>
        <v>198</v>
      </c>
      <c r="L24" s="130"/>
      <c r="M24" s="130">
        <f t="shared" si="2"/>
        <v>2596</v>
      </c>
      <c r="N24" s="161">
        <v>0</v>
      </c>
      <c r="O24" s="132"/>
      <c r="P24" s="135"/>
      <c r="Q24" s="135"/>
      <c r="R24" s="132"/>
      <c r="S24" s="313">
        <v>0</v>
      </c>
      <c r="T24" s="131"/>
      <c r="U24" s="131"/>
      <c r="V24" s="129">
        <v>0</v>
      </c>
    </row>
    <row r="25" spans="1:22" s="12" customFormat="1" ht="19.2" customHeight="1">
      <c r="A25" s="128">
        <v>46248</v>
      </c>
      <c r="B25" s="165" t="s">
        <v>1400</v>
      </c>
      <c r="C25" s="131" t="s">
        <v>1041</v>
      </c>
      <c r="D25" s="131" t="s">
        <v>1042</v>
      </c>
      <c r="E25" s="131" t="s">
        <v>1025</v>
      </c>
      <c r="F25" s="136" t="s">
        <v>26</v>
      </c>
      <c r="G25" s="136">
        <v>3808</v>
      </c>
      <c r="H25" s="23">
        <v>0.18</v>
      </c>
      <c r="I25" s="129">
        <v>4200</v>
      </c>
      <c r="J25" s="129">
        <f t="shared" si="0"/>
        <v>378</v>
      </c>
      <c r="K25" s="129">
        <f t="shared" si="1"/>
        <v>378</v>
      </c>
      <c r="L25" s="130"/>
      <c r="M25" s="130">
        <f t="shared" si="2"/>
        <v>4956</v>
      </c>
      <c r="N25" s="161">
        <v>0</v>
      </c>
      <c r="O25" s="132"/>
      <c r="P25" s="135"/>
      <c r="Q25" s="135"/>
      <c r="R25" s="132"/>
      <c r="S25" s="313">
        <v>0</v>
      </c>
      <c r="T25" s="131"/>
      <c r="U25" s="131"/>
      <c r="V25" s="129">
        <v>0</v>
      </c>
    </row>
    <row r="26" spans="1:22" s="12" customFormat="1" ht="19.2" customHeight="1">
      <c r="A26" s="128">
        <v>46245</v>
      </c>
      <c r="B26" s="165" t="s">
        <v>1442</v>
      </c>
      <c r="C26" s="131" t="s">
        <v>765</v>
      </c>
      <c r="D26" s="131" t="s">
        <v>766</v>
      </c>
      <c r="E26" s="131" t="s">
        <v>89</v>
      </c>
      <c r="F26" s="136" t="s">
        <v>26</v>
      </c>
      <c r="G26" s="136">
        <v>3808</v>
      </c>
      <c r="H26" s="23">
        <v>0.18</v>
      </c>
      <c r="I26" s="129">
        <v>2700</v>
      </c>
      <c r="J26" s="129">
        <f t="shared" si="0"/>
        <v>243</v>
      </c>
      <c r="K26" s="129">
        <f t="shared" si="1"/>
        <v>243</v>
      </c>
      <c r="L26" s="130"/>
      <c r="M26" s="130">
        <f t="shared" si="2"/>
        <v>3186</v>
      </c>
      <c r="N26" s="161">
        <v>0</v>
      </c>
      <c r="O26" s="132"/>
      <c r="P26" s="135"/>
      <c r="Q26" s="135"/>
      <c r="R26" s="132"/>
      <c r="S26" s="313">
        <v>0</v>
      </c>
      <c r="T26" s="131"/>
      <c r="U26" s="131"/>
      <c r="V26" s="129">
        <v>0</v>
      </c>
    </row>
    <row r="27" spans="1:22" s="12" customFormat="1" ht="19.2" customHeight="1">
      <c r="A27" s="128">
        <v>46255</v>
      </c>
      <c r="B27" s="165" t="s">
        <v>1443</v>
      </c>
      <c r="C27" s="131" t="s">
        <v>762</v>
      </c>
      <c r="D27" s="131" t="s">
        <v>763</v>
      </c>
      <c r="E27" s="131" t="s">
        <v>85</v>
      </c>
      <c r="F27" s="136" t="s">
        <v>26</v>
      </c>
      <c r="G27" s="136">
        <v>3808</v>
      </c>
      <c r="H27" s="23">
        <v>0.18</v>
      </c>
      <c r="I27" s="129">
        <v>2000</v>
      </c>
      <c r="J27" s="129">
        <f t="shared" si="0"/>
        <v>180</v>
      </c>
      <c r="K27" s="129">
        <f t="shared" si="1"/>
        <v>180</v>
      </c>
      <c r="L27" s="130"/>
      <c r="M27" s="130">
        <f t="shared" si="2"/>
        <v>2360</v>
      </c>
      <c r="N27" s="161">
        <v>0</v>
      </c>
      <c r="O27" s="132"/>
      <c r="P27" s="135"/>
      <c r="Q27" s="135"/>
      <c r="R27" s="132"/>
      <c r="S27" s="313">
        <v>0</v>
      </c>
      <c r="T27" s="131"/>
      <c r="U27" s="131"/>
      <c r="V27" s="129">
        <v>0</v>
      </c>
    </row>
    <row r="28" spans="1:22" s="12" customFormat="1" ht="19.2" customHeight="1">
      <c r="A28" s="128">
        <v>46255</v>
      </c>
      <c r="B28" s="165" t="s">
        <v>1444</v>
      </c>
      <c r="C28" s="131" t="s">
        <v>1445</v>
      </c>
      <c r="D28" s="131" t="s">
        <v>1446</v>
      </c>
      <c r="E28" s="131" t="s">
        <v>85</v>
      </c>
      <c r="F28" s="136" t="s">
        <v>26</v>
      </c>
      <c r="G28" s="136">
        <v>3808</v>
      </c>
      <c r="H28" s="23">
        <v>0.18</v>
      </c>
      <c r="I28" s="129">
        <v>2000</v>
      </c>
      <c r="J28" s="129">
        <f t="shared" si="0"/>
        <v>180</v>
      </c>
      <c r="K28" s="129">
        <f t="shared" si="1"/>
        <v>180</v>
      </c>
      <c r="L28" s="130"/>
      <c r="M28" s="130">
        <f t="shared" si="2"/>
        <v>2360</v>
      </c>
      <c r="N28" s="161">
        <v>0</v>
      </c>
      <c r="O28" s="132"/>
      <c r="P28" s="135"/>
      <c r="Q28" s="135"/>
      <c r="R28" s="132"/>
      <c r="S28" s="313">
        <v>0</v>
      </c>
      <c r="T28" s="131"/>
      <c r="U28" s="131"/>
      <c r="V28" s="129">
        <v>0</v>
      </c>
    </row>
    <row r="29" spans="1:22" s="12" customFormat="1" ht="19.2" customHeight="1">
      <c r="A29" s="128">
        <v>46252</v>
      </c>
      <c r="B29" s="165" t="s">
        <v>1447</v>
      </c>
      <c r="C29" s="131" t="s">
        <v>720</v>
      </c>
      <c r="D29" s="131" t="s">
        <v>721</v>
      </c>
      <c r="E29" s="131" t="s">
        <v>722</v>
      </c>
      <c r="F29" s="136" t="s">
        <v>26</v>
      </c>
      <c r="G29" s="136">
        <v>3808</v>
      </c>
      <c r="H29" s="23">
        <v>0.18</v>
      </c>
      <c r="I29" s="129">
        <v>6500</v>
      </c>
      <c r="J29" s="129">
        <f t="shared" si="0"/>
        <v>585</v>
      </c>
      <c r="K29" s="129">
        <f t="shared" si="1"/>
        <v>585</v>
      </c>
      <c r="L29" s="130"/>
      <c r="M29" s="130">
        <f t="shared" si="2"/>
        <v>7670</v>
      </c>
      <c r="N29" s="161">
        <v>0</v>
      </c>
      <c r="O29" s="132"/>
      <c r="P29" s="135"/>
      <c r="Q29" s="135"/>
      <c r="R29" s="132"/>
      <c r="S29" s="313">
        <v>0</v>
      </c>
      <c r="T29" s="131"/>
      <c r="U29" s="131"/>
      <c r="V29" s="129">
        <v>0</v>
      </c>
    </row>
    <row r="30" spans="1:22" s="12" customFormat="1" ht="19.2" customHeight="1">
      <c r="A30" s="128">
        <v>46259</v>
      </c>
      <c r="B30" s="165" t="s">
        <v>1448</v>
      </c>
      <c r="C30" s="131"/>
      <c r="D30" s="131"/>
      <c r="E30" s="131"/>
      <c r="F30" s="136"/>
      <c r="G30" s="136">
        <v>3808</v>
      </c>
      <c r="H30" s="23">
        <v>0.18</v>
      </c>
      <c r="I30" s="129"/>
      <c r="J30" s="129">
        <f t="shared" si="0"/>
        <v>0</v>
      </c>
      <c r="K30" s="129">
        <f t="shared" si="1"/>
        <v>0</v>
      </c>
      <c r="L30" s="130"/>
      <c r="M30" s="130">
        <f t="shared" si="2"/>
        <v>0</v>
      </c>
      <c r="N30" s="161">
        <v>0</v>
      </c>
      <c r="O30" s="132"/>
      <c r="P30" s="135"/>
      <c r="Q30" s="135"/>
      <c r="R30" s="132"/>
      <c r="S30" s="313">
        <v>0</v>
      </c>
      <c r="T30" s="131"/>
      <c r="U30" s="131"/>
      <c r="V30" s="129">
        <v>0</v>
      </c>
    </row>
    <row r="31" spans="1:22" s="12" customFormat="1" ht="19.2" customHeight="1">
      <c r="A31" s="128">
        <v>46259</v>
      </c>
      <c r="B31" s="165" t="s">
        <v>1449</v>
      </c>
      <c r="C31" s="131" t="s">
        <v>637</v>
      </c>
      <c r="D31" s="131" t="s">
        <v>638</v>
      </c>
      <c r="E31" s="131" t="s">
        <v>629</v>
      </c>
      <c r="F31" s="136" t="s">
        <v>26</v>
      </c>
      <c r="G31" s="136">
        <v>3808</v>
      </c>
      <c r="H31" s="23">
        <v>0.18</v>
      </c>
      <c r="I31" s="129">
        <v>12400</v>
      </c>
      <c r="J31" s="129">
        <f t="shared" si="0"/>
        <v>1116</v>
      </c>
      <c r="K31" s="129">
        <f t="shared" si="1"/>
        <v>1116</v>
      </c>
      <c r="L31" s="130"/>
      <c r="M31" s="130">
        <f t="shared" si="2"/>
        <v>14632</v>
      </c>
      <c r="N31" s="161">
        <v>0</v>
      </c>
      <c r="O31" s="132"/>
      <c r="P31" s="135"/>
      <c r="Q31" s="135"/>
      <c r="R31" s="132"/>
      <c r="S31" s="313">
        <v>0</v>
      </c>
      <c r="T31" s="131"/>
      <c r="U31" s="131"/>
      <c r="V31" s="129">
        <v>0</v>
      </c>
    </row>
    <row r="32" spans="1:22" s="12" customFormat="1" ht="19.2" customHeight="1">
      <c r="A32" s="128">
        <v>46259</v>
      </c>
      <c r="B32" s="165" t="s">
        <v>1450</v>
      </c>
      <c r="C32" s="131" t="s">
        <v>42</v>
      </c>
      <c r="D32" s="131" t="s">
        <v>730</v>
      </c>
      <c r="E32" s="131" t="s">
        <v>163</v>
      </c>
      <c r="F32" s="136" t="s">
        <v>26</v>
      </c>
      <c r="G32" s="136">
        <v>3808</v>
      </c>
      <c r="H32" s="23">
        <v>0.18</v>
      </c>
      <c r="I32" s="129">
        <v>67350</v>
      </c>
      <c r="J32" s="129">
        <f t="shared" si="0"/>
        <v>6061.5</v>
      </c>
      <c r="K32" s="129">
        <f t="shared" si="1"/>
        <v>6061.5</v>
      </c>
      <c r="L32" s="130"/>
      <c r="M32" s="130">
        <f t="shared" si="2"/>
        <v>79473</v>
      </c>
      <c r="N32" s="161">
        <v>0</v>
      </c>
      <c r="O32" s="132"/>
      <c r="P32" s="135"/>
      <c r="Q32" s="135"/>
      <c r="R32" s="132"/>
      <c r="S32" s="313">
        <v>0</v>
      </c>
      <c r="T32" s="131"/>
      <c r="U32" s="131"/>
      <c r="V32" s="129">
        <v>0</v>
      </c>
    </row>
    <row r="33" spans="1:22" s="12" customFormat="1" ht="19.2" customHeight="1">
      <c r="A33" s="128">
        <v>46259</v>
      </c>
      <c r="B33" s="165" t="s">
        <v>1459</v>
      </c>
      <c r="C33" s="131" t="s">
        <v>42</v>
      </c>
      <c r="D33" s="131" t="s">
        <v>730</v>
      </c>
      <c r="E33" s="131" t="s">
        <v>101</v>
      </c>
      <c r="F33" s="136" t="s">
        <v>26</v>
      </c>
      <c r="G33" s="136">
        <v>3808</v>
      </c>
      <c r="H33" s="23">
        <v>0.18</v>
      </c>
      <c r="I33" s="129">
        <v>8075</v>
      </c>
      <c r="J33" s="129">
        <f t="shared" si="0"/>
        <v>726.75</v>
      </c>
      <c r="K33" s="129">
        <f t="shared" si="1"/>
        <v>726.75</v>
      </c>
      <c r="L33" s="130"/>
      <c r="M33" s="130">
        <f t="shared" si="2"/>
        <v>9528.5</v>
      </c>
      <c r="N33" s="161">
        <v>0</v>
      </c>
      <c r="O33" s="132"/>
      <c r="P33" s="135"/>
      <c r="Q33" s="135"/>
      <c r="R33" s="132"/>
      <c r="S33" s="313">
        <v>0</v>
      </c>
      <c r="T33" s="131"/>
      <c r="U33" s="131"/>
      <c r="V33" s="129">
        <v>0</v>
      </c>
    </row>
    <row r="34" spans="1:22" s="12" customFormat="1" ht="19.2" customHeight="1">
      <c r="A34" s="128">
        <v>46259</v>
      </c>
      <c r="B34" s="165" t="s">
        <v>1458</v>
      </c>
      <c r="C34" s="131" t="s">
        <v>42</v>
      </c>
      <c r="D34" s="131" t="s">
        <v>730</v>
      </c>
      <c r="E34" s="131" t="s">
        <v>101</v>
      </c>
      <c r="F34" s="136" t="s">
        <v>26</v>
      </c>
      <c r="G34" s="136">
        <v>3808</v>
      </c>
      <c r="H34" s="23">
        <v>0.18</v>
      </c>
      <c r="I34" s="129">
        <v>19975</v>
      </c>
      <c r="J34" s="129">
        <f t="shared" si="0"/>
        <v>1797.75</v>
      </c>
      <c r="K34" s="129">
        <f t="shared" si="1"/>
        <v>1797.75</v>
      </c>
      <c r="L34" s="130"/>
      <c r="M34" s="130">
        <f t="shared" si="2"/>
        <v>23570.5</v>
      </c>
      <c r="N34" s="161">
        <v>0</v>
      </c>
      <c r="O34" s="132"/>
      <c r="P34" s="135"/>
      <c r="Q34" s="135"/>
      <c r="R34" s="132"/>
      <c r="S34" s="313">
        <v>0</v>
      </c>
      <c r="T34" s="131"/>
      <c r="U34" s="131"/>
      <c r="V34" s="129">
        <v>0</v>
      </c>
    </row>
    <row r="35" spans="1:22" s="12" customFormat="1" ht="19.2" customHeight="1">
      <c r="A35" s="128">
        <v>46259</v>
      </c>
      <c r="B35" s="546" t="s">
        <v>1471</v>
      </c>
      <c r="C35" s="131" t="s">
        <v>42</v>
      </c>
      <c r="D35" s="131" t="s">
        <v>730</v>
      </c>
      <c r="E35" s="131" t="s">
        <v>101</v>
      </c>
      <c r="F35" s="136" t="s">
        <v>26</v>
      </c>
      <c r="G35" s="136">
        <v>3808</v>
      </c>
      <c r="H35" s="23">
        <v>0.18</v>
      </c>
      <c r="I35" s="129">
        <v>6325</v>
      </c>
      <c r="J35" s="129">
        <f t="shared" ref="J35" si="3">I35*9/100</f>
        <v>569.25</v>
      </c>
      <c r="K35" s="129">
        <f t="shared" ref="K35" si="4">I35*9/100</f>
        <v>569.25</v>
      </c>
      <c r="L35" s="130"/>
      <c r="M35" s="130">
        <f t="shared" ref="M35" si="5">I35+J35+K35</f>
        <v>7463.5</v>
      </c>
      <c r="N35" s="161">
        <v>0</v>
      </c>
      <c r="O35" s="132"/>
      <c r="P35" s="135"/>
      <c r="Q35" s="135"/>
      <c r="R35" s="132"/>
      <c r="S35" s="313">
        <v>0</v>
      </c>
      <c r="T35" s="131"/>
      <c r="U35" s="131"/>
      <c r="V35" s="129">
        <v>0</v>
      </c>
    </row>
    <row r="36" spans="1:22" s="12" customFormat="1" ht="19.2" customHeight="1">
      <c r="A36" s="128">
        <v>46259</v>
      </c>
      <c r="B36" s="165" t="s">
        <v>1451</v>
      </c>
      <c r="C36" s="131" t="s">
        <v>42</v>
      </c>
      <c r="D36" s="131" t="s">
        <v>730</v>
      </c>
      <c r="E36" s="131" t="s">
        <v>953</v>
      </c>
      <c r="F36" s="136" t="s">
        <v>26</v>
      </c>
      <c r="G36" s="136">
        <v>3808</v>
      </c>
      <c r="H36" s="23">
        <v>0.18</v>
      </c>
      <c r="I36" s="129">
        <v>20907</v>
      </c>
      <c r="J36" s="129">
        <f t="shared" si="0"/>
        <v>1881.63</v>
      </c>
      <c r="K36" s="129">
        <f t="shared" si="1"/>
        <v>1881.63</v>
      </c>
      <c r="L36" s="130"/>
      <c r="M36" s="130">
        <f t="shared" si="2"/>
        <v>24670.260000000002</v>
      </c>
      <c r="N36" s="161">
        <v>0</v>
      </c>
      <c r="O36" s="132"/>
      <c r="P36" s="135"/>
      <c r="Q36" s="135"/>
      <c r="R36" s="132"/>
      <c r="S36" s="313">
        <v>0</v>
      </c>
      <c r="T36" s="131"/>
      <c r="U36" s="131"/>
      <c r="V36" s="129">
        <v>0</v>
      </c>
    </row>
    <row r="37" spans="1:22" s="12" customFormat="1" ht="19.2" customHeight="1">
      <c r="A37" s="128">
        <v>46259</v>
      </c>
      <c r="B37" s="165" t="s">
        <v>1452</v>
      </c>
      <c r="C37" s="131" t="s">
        <v>234</v>
      </c>
      <c r="D37" s="131" t="s">
        <v>235</v>
      </c>
      <c r="E37" s="131" t="s">
        <v>236</v>
      </c>
      <c r="F37" s="136" t="s">
        <v>26</v>
      </c>
      <c r="G37" s="136">
        <v>3808</v>
      </c>
      <c r="H37" s="23">
        <v>0.18</v>
      </c>
      <c r="I37" s="129">
        <v>12600</v>
      </c>
      <c r="J37" s="129">
        <f t="shared" si="0"/>
        <v>1134</v>
      </c>
      <c r="K37" s="129">
        <f t="shared" si="1"/>
        <v>1134</v>
      </c>
      <c r="L37" s="130"/>
      <c r="M37" s="130">
        <f t="shared" si="2"/>
        <v>14868</v>
      </c>
      <c r="N37" s="161">
        <v>0</v>
      </c>
      <c r="O37" s="132"/>
      <c r="P37" s="135"/>
      <c r="Q37" s="135"/>
      <c r="R37" s="132"/>
      <c r="S37" s="313">
        <v>0</v>
      </c>
      <c r="T37" s="131"/>
      <c r="U37" s="131"/>
      <c r="V37" s="129">
        <v>0</v>
      </c>
    </row>
    <row r="38" spans="1:22" s="12" customFormat="1" ht="19.2" customHeight="1">
      <c r="A38" s="128">
        <v>46265</v>
      </c>
      <c r="B38" s="165" t="s">
        <v>1453</v>
      </c>
      <c r="C38" s="131" t="s">
        <v>116</v>
      </c>
      <c r="D38" s="131" t="s">
        <v>117</v>
      </c>
      <c r="E38" s="131" t="s">
        <v>59</v>
      </c>
      <c r="F38" s="136" t="s">
        <v>26</v>
      </c>
      <c r="G38" s="136">
        <v>3808</v>
      </c>
      <c r="H38" s="23">
        <v>0.18</v>
      </c>
      <c r="I38" s="129">
        <v>20540</v>
      </c>
      <c r="J38" s="129">
        <f t="shared" si="0"/>
        <v>1848.6</v>
      </c>
      <c r="K38" s="129">
        <f t="shared" si="1"/>
        <v>1848.6</v>
      </c>
      <c r="L38" s="130"/>
      <c r="M38" s="130">
        <f t="shared" si="2"/>
        <v>24237.199999999997</v>
      </c>
      <c r="N38" s="161">
        <v>0</v>
      </c>
      <c r="O38" s="132"/>
      <c r="P38" s="135"/>
      <c r="Q38" s="135"/>
      <c r="R38" s="132"/>
      <c r="S38" s="313">
        <v>0</v>
      </c>
      <c r="T38" s="131"/>
      <c r="U38" s="131"/>
      <c r="V38" s="129">
        <v>0</v>
      </c>
    </row>
    <row r="39" spans="1:22" s="12" customFormat="1" ht="19.2" customHeight="1">
      <c r="A39" s="128">
        <v>46265</v>
      </c>
      <c r="B39" s="165" t="s">
        <v>1454</v>
      </c>
      <c r="C39" s="131" t="s">
        <v>290</v>
      </c>
      <c r="D39" s="131" t="s">
        <v>291</v>
      </c>
      <c r="E39" s="131" t="s">
        <v>25</v>
      </c>
      <c r="F39" s="136" t="s">
        <v>26</v>
      </c>
      <c r="G39" s="136">
        <v>3808</v>
      </c>
      <c r="H39" s="23">
        <v>0.18</v>
      </c>
      <c r="I39" s="129">
        <v>4500</v>
      </c>
      <c r="J39" s="129">
        <f t="shared" si="0"/>
        <v>405</v>
      </c>
      <c r="K39" s="129">
        <f t="shared" si="1"/>
        <v>405</v>
      </c>
      <c r="L39" s="130"/>
      <c r="M39" s="130">
        <f t="shared" si="2"/>
        <v>5310</v>
      </c>
      <c r="N39" s="161">
        <v>0</v>
      </c>
      <c r="O39" s="132"/>
      <c r="P39" s="135"/>
      <c r="Q39" s="135"/>
      <c r="R39" s="132"/>
      <c r="S39" s="313">
        <v>0</v>
      </c>
      <c r="T39" s="131"/>
      <c r="U39" s="131"/>
      <c r="V39" s="129">
        <v>0</v>
      </c>
    </row>
    <row r="40" spans="1:22" s="12" customFormat="1" ht="19.2" customHeight="1">
      <c r="A40" s="128">
        <v>46265</v>
      </c>
      <c r="B40" s="165" t="s">
        <v>1455</v>
      </c>
      <c r="C40" s="131" t="s">
        <v>390</v>
      </c>
      <c r="D40" s="131" t="s">
        <v>391</v>
      </c>
      <c r="E40" s="131" t="s">
        <v>260</v>
      </c>
      <c r="F40" s="136" t="s">
        <v>26</v>
      </c>
      <c r="G40" s="136">
        <v>3808</v>
      </c>
      <c r="H40" s="23">
        <v>0.18</v>
      </c>
      <c r="I40" s="129">
        <v>1205.1600000000001</v>
      </c>
      <c r="J40" s="129">
        <f t="shared" si="0"/>
        <v>108.46440000000001</v>
      </c>
      <c r="K40" s="129">
        <f t="shared" si="1"/>
        <v>108.46440000000001</v>
      </c>
      <c r="L40" s="130"/>
      <c r="M40" s="130">
        <f t="shared" si="2"/>
        <v>1422.0888000000002</v>
      </c>
      <c r="N40" s="161">
        <v>0</v>
      </c>
      <c r="O40" s="132"/>
      <c r="P40" s="135"/>
      <c r="Q40" s="135"/>
      <c r="R40" s="132"/>
      <c r="S40" s="313">
        <v>0</v>
      </c>
      <c r="T40" s="131"/>
      <c r="U40" s="131"/>
      <c r="V40" s="129">
        <v>0</v>
      </c>
    </row>
    <row r="41" spans="1:22" s="12" customFormat="1" ht="19.2" customHeight="1">
      <c r="A41" s="128">
        <v>46265</v>
      </c>
      <c r="B41" s="165" t="s">
        <v>1456</v>
      </c>
      <c r="C41" s="131" t="s">
        <v>390</v>
      </c>
      <c r="D41" s="131" t="s">
        <v>391</v>
      </c>
      <c r="E41" s="131" t="s">
        <v>260</v>
      </c>
      <c r="F41" s="136" t="s">
        <v>26</v>
      </c>
      <c r="G41" s="136">
        <v>3808</v>
      </c>
      <c r="H41" s="23">
        <v>0.18</v>
      </c>
      <c r="I41" s="129">
        <v>1448.35</v>
      </c>
      <c r="J41" s="129">
        <f t="shared" si="0"/>
        <v>130.35149999999999</v>
      </c>
      <c r="K41" s="129">
        <f t="shared" si="1"/>
        <v>130.35149999999999</v>
      </c>
      <c r="L41" s="130"/>
      <c r="M41" s="130">
        <f t="shared" si="2"/>
        <v>1709.0529999999999</v>
      </c>
      <c r="N41" s="161">
        <v>0</v>
      </c>
      <c r="O41" s="132"/>
      <c r="P41" s="135"/>
      <c r="Q41" s="135"/>
      <c r="R41" s="132"/>
      <c r="S41" s="313">
        <v>0</v>
      </c>
      <c r="T41" s="131"/>
      <c r="U41" s="131"/>
      <c r="V41" s="129">
        <v>0</v>
      </c>
    </row>
    <row r="42" spans="1:22" s="12" customFormat="1" ht="19.2" customHeight="1">
      <c r="A42" s="128">
        <v>46265</v>
      </c>
      <c r="B42" s="165" t="s">
        <v>1457</v>
      </c>
      <c r="C42" s="131" t="s">
        <v>390</v>
      </c>
      <c r="D42" s="131" t="s">
        <v>391</v>
      </c>
      <c r="E42" s="131" t="s">
        <v>260</v>
      </c>
      <c r="F42" s="136" t="s">
        <v>26</v>
      </c>
      <c r="G42" s="136">
        <v>3808</v>
      </c>
      <c r="H42" s="23">
        <v>0.18</v>
      </c>
      <c r="I42" s="129">
        <v>2008.6</v>
      </c>
      <c r="J42" s="129">
        <f t="shared" si="0"/>
        <v>180.77399999999997</v>
      </c>
      <c r="K42" s="129">
        <f t="shared" si="1"/>
        <v>180.77399999999997</v>
      </c>
      <c r="L42" s="130"/>
      <c r="M42" s="130">
        <f t="shared" si="2"/>
        <v>2370.1479999999997</v>
      </c>
      <c r="N42" s="161">
        <v>0</v>
      </c>
      <c r="O42" s="132"/>
      <c r="P42" s="135"/>
      <c r="Q42" s="135"/>
      <c r="R42" s="132"/>
      <c r="S42" s="313">
        <v>0</v>
      </c>
      <c r="T42" s="131"/>
      <c r="U42" s="131"/>
      <c r="V42" s="129">
        <v>0</v>
      </c>
    </row>
    <row r="43" spans="1:22" s="12" customFormat="1" ht="19.2" customHeight="1">
      <c r="A43" s="128">
        <v>46265</v>
      </c>
      <c r="B43" s="165" t="s">
        <v>1460</v>
      </c>
      <c r="C43" s="131" t="s">
        <v>390</v>
      </c>
      <c r="D43" s="131" t="s">
        <v>391</v>
      </c>
      <c r="E43" s="131" t="s">
        <v>260</v>
      </c>
      <c r="F43" s="136" t="s">
        <v>26</v>
      </c>
      <c r="G43" s="136">
        <v>3808</v>
      </c>
      <c r="H43" s="23">
        <v>0.18</v>
      </c>
      <c r="I43" s="129">
        <v>1035.8399999999999</v>
      </c>
      <c r="J43" s="129">
        <f t="shared" si="0"/>
        <v>93.2256</v>
      </c>
      <c r="K43" s="129">
        <f t="shared" si="1"/>
        <v>93.2256</v>
      </c>
      <c r="L43" s="130"/>
      <c r="M43" s="130">
        <f t="shared" si="2"/>
        <v>1222.2911999999999</v>
      </c>
      <c r="N43" s="161">
        <v>0</v>
      </c>
      <c r="O43" s="132"/>
      <c r="P43" s="135"/>
      <c r="Q43" s="135"/>
      <c r="R43" s="132"/>
      <c r="S43" s="313">
        <v>0</v>
      </c>
      <c r="T43" s="131"/>
      <c r="U43" s="131"/>
      <c r="V43" s="129">
        <v>0</v>
      </c>
    </row>
    <row r="44" spans="1:22" s="12" customFormat="1" ht="19.2" customHeight="1">
      <c r="A44" s="128">
        <v>46265</v>
      </c>
      <c r="B44" s="165" t="s">
        <v>1461</v>
      </c>
      <c r="C44" s="131" t="s">
        <v>390</v>
      </c>
      <c r="D44" s="131" t="s">
        <v>391</v>
      </c>
      <c r="E44" s="131" t="s">
        <v>260</v>
      </c>
      <c r="F44" s="136" t="s">
        <v>26</v>
      </c>
      <c r="G44" s="136">
        <v>3808</v>
      </c>
      <c r="H44" s="23">
        <v>0.18</v>
      </c>
      <c r="I44" s="129">
        <v>972.76</v>
      </c>
      <c r="J44" s="129">
        <f t="shared" si="0"/>
        <v>87.548400000000001</v>
      </c>
      <c r="K44" s="129">
        <f t="shared" si="1"/>
        <v>87.548400000000001</v>
      </c>
      <c r="L44" s="130"/>
      <c r="M44" s="130">
        <f t="shared" si="2"/>
        <v>1147.8567999999998</v>
      </c>
      <c r="N44" s="161">
        <v>0</v>
      </c>
      <c r="O44" s="132"/>
      <c r="P44" s="135"/>
      <c r="Q44" s="135"/>
      <c r="R44" s="132"/>
      <c r="S44" s="313">
        <v>0</v>
      </c>
      <c r="T44" s="131"/>
      <c r="U44" s="131"/>
      <c r="V44" s="129">
        <v>0</v>
      </c>
    </row>
    <row r="45" spans="1:22" s="12" customFormat="1" ht="19.2" customHeight="1">
      <c r="A45" s="128">
        <v>46265</v>
      </c>
      <c r="B45" s="165" t="s">
        <v>1462</v>
      </c>
      <c r="C45" s="131" t="s">
        <v>390</v>
      </c>
      <c r="D45" s="131" t="s">
        <v>391</v>
      </c>
      <c r="E45" s="131" t="s">
        <v>260</v>
      </c>
      <c r="F45" s="136" t="s">
        <v>26</v>
      </c>
      <c r="G45" s="136">
        <v>3808</v>
      </c>
      <c r="H45" s="23">
        <v>0.18</v>
      </c>
      <c r="I45" s="129">
        <v>930.43</v>
      </c>
      <c r="J45" s="129">
        <f t="shared" si="0"/>
        <v>83.738699999999994</v>
      </c>
      <c r="K45" s="129">
        <f t="shared" si="1"/>
        <v>83.738699999999994</v>
      </c>
      <c r="L45" s="130"/>
      <c r="M45" s="130">
        <f t="shared" si="2"/>
        <v>1097.9074000000001</v>
      </c>
      <c r="N45" s="161">
        <v>0</v>
      </c>
      <c r="O45" s="132"/>
      <c r="P45" s="135"/>
      <c r="Q45" s="135"/>
      <c r="R45" s="132"/>
      <c r="S45" s="313">
        <v>0</v>
      </c>
      <c r="T45" s="131"/>
      <c r="U45" s="131"/>
      <c r="V45" s="129">
        <v>0</v>
      </c>
    </row>
    <row r="46" spans="1:22" s="12" customFormat="1" ht="19.2" customHeight="1">
      <c r="A46" s="128">
        <v>46265</v>
      </c>
      <c r="B46" s="165" t="s">
        <v>1463</v>
      </c>
      <c r="C46" s="131" t="s">
        <v>390</v>
      </c>
      <c r="D46" s="131" t="s">
        <v>391</v>
      </c>
      <c r="E46" s="131" t="s">
        <v>260</v>
      </c>
      <c r="F46" s="136" t="s">
        <v>26</v>
      </c>
      <c r="G46" s="136">
        <v>3808</v>
      </c>
      <c r="H46" s="23">
        <v>0.18</v>
      </c>
      <c r="I46" s="129">
        <v>698.86</v>
      </c>
      <c r="J46" s="129">
        <f t="shared" si="0"/>
        <v>62.897399999999998</v>
      </c>
      <c r="K46" s="129">
        <f t="shared" si="1"/>
        <v>62.897399999999998</v>
      </c>
      <c r="L46" s="130"/>
      <c r="M46" s="130">
        <f t="shared" si="2"/>
        <v>824.65479999999991</v>
      </c>
      <c r="N46" s="161">
        <v>0</v>
      </c>
      <c r="O46" s="132"/>
      <c r="P46" s="135"/>
      <c r="Q46" s="135"/>
      <c r="R46" s="132"/>
      <c r="S46" s="313">
        <v>0</v>
      </c>
      <c r="T46" s="131"/>
      <c r="U46" s="131"/>
      <c r="V46" s="129">
        <v>0</v>
      </c>
    </row>
    <row r="47" spans="1:22" s="12" customFormat="1" ht="19.2" customHeight="1">
      <c r="A47" s="128">
        <v>46265</v>
      </c>
      <c r="B47" s="165" t="s">
        <v>1464</v>
      </c>
      <c r="C47" s="131" t="s">
        <v>372</v>
      </c>
      <c r="D47" s="131" t="s">
        <v>794</v>
      </c>
      <c r="E47" s="131" t="s">
        <v>374</v>
      </c>
      <c r="F47" s="136" t="s">
        <v>26</v>
      </c>
      <c r="G47" s="136">
        <v>3808</v>
      </c>
      <c r="H47" s="23">
        <v>0.18</v>
      </c>
      <c r="I47" s="129">
        <v>2500</v>
      </c>
      <c r="J47" s="129">
        <f t="shared" si="0"/>
        <v>225</v>
      </c>
      <c r="K47" s="129">
        <f t="shared" si="1"/>
        <v>225</v>
      </c>
      <c r="L47" s="130"/>
      <c r="M47" s="130">
        <f t="shared" si="2"/>
        <v>2950</v>
      </c>
      <c r="N47" s="161">
        <v>0</v>
      </c>
      <c r="O47" s="132"/>
      <c r="P47" s="135"/>
      <c r="Q47" s="135"/>
      <c r="R47" s="132"/>
      <c r="S47" s="313">
        <v>0</v>
      </c>
      <c r="T47" s="131"/>
      <c r="U47" s="131"/>
      <c r="V47" s="129">
        <v>0</v>
      </c>
    </row>
    <row r="48" spans="1:22" s="12" customFormat="1" ht="19.2" customHeight="1">
      <c r="A48" s="128">
        <v>46265</v>
      </c>
      <c r="B48" s="165" t="s">
        <v>1465</v>
      </c>
      <c r="C48" s="131" t="s">
        <v>372</v>
      </c>
      <c r="D48" s="131" t="s">
        <v>794</v>
      </c>
      <c r="E48" s="131" t="s">
        <v>374</v>
      </c>
      <c r="F48" s="136" t="s">
        <v>26</v>
      </c>
      <c r="G48" s="136">
        <v>3808</v>
      </c>
      <c r="H48" s="23">
        <v>0.18</v>
      </c>
      <c r="I48" s="129">
        <v>2500</v>
      </c>
      <c r="J48" s="129">
        <f t="shared" si="0"/>
        <v>225</v>
      </c>
      <c r="K48" s="129">
        <f t="shared" si="1"/>
        <v>225</v>
      </c>
      <c r="L48" s="130"/>
      <c r="M48" s="130">
        <f t="shared" si="2"/>
        <v>2950</v>
      </c>
      <c r="N48" s="161">
        <v>0</v>
      </c>
      <c r="O48" s="132"/>
      <c r="P48" s="135"/>
      <c r="Q48" s="135"/>
      <c r="R48" s="132"/>
      <c r="S48" s="313">
        <v>0</v>
      </c>
      <c r="T48" s="131"/>
      <c r="U48" s="131"/>
      <c r="V48" s="129">
        <v>0</v>
      </c>
    </row>
    <row r="49" spans="1:22" s="12" customFormat="1" ht="19.2" customHeight="1">
      <c r="A49" s="128">
        <v>46265</v>
      </c>
      <c r="B49" s="131" t="s">
        <v>1466</v>
      </c>
      <c r="C49" s="131" t="s">
        <v>981</v>
      </c>
      <c r="D49" s="131" t="s">
        <v>982</v>
      </c>
      <c r="E49" s="131" t="s">
        <v>1053</v>
      </c>
      <c r="F49" s="136" t="s">
        <v>26</v>
      </c>
      <c r="G49" s="136">
        <v>3808</v>
      </c>
      <c r="H49" s="23">
        <v>0.18</v>
      </c>
      <c r="I49" s="129">
        <v>14450</v>
      </c>
      <c r="J49" s="129">
        <f t="shared" si="0"/>
        <v>1300.5</v>
      </c>
      <c r="K49" s="129">
        <f t="shared" si="1"/>
        <v>1300.5</v>
      </c>
      <c r="L49" s="130"/>
      <c r="M49" s="130">
        <f t="shared" si="2"/>
        <v>17051</v>
      </c>
      <c r="N49" s="161">
        <v>0</v>
      </c>
      <c r="O49" s="132"/>
      <c r="P49" s="135"/>
      <c r="Q49" s="135"/>
      <c r="R49" s="132"/>
      <c r="S49" s="313">
        <v>0</v>
      </c>
      <c r="T49" s="131"/>
      <c r="U49" s="131"/>
      <c r="V49" s="129">
        <v>0</v>
      </c>
    </row>
    <row r="50" spans="1:22">
      <c r="C50" s="528" t="s">
        <v>973</v>
      </c>
      <c r="D50" s="528"/>
      <c r="E50" s="528"/>
      <c r="F50" s="528"/>
      <c r="G50" s="528"/>
      <c r="H50" s="528"/>
      <c r="I50" s="307">
        <v>372414</v>
      </c>
      <c r="J50" s="307">
        <f t="shared" si="0"/>
        <v>33517.26</v>
      </c>
      <c r="K50" s="307">
        <f t="shared" si="1"/>
        <v>33517.26</v>
      </c>
      <c r="L50" s="528"/>
      <c r="M50" s="307">
        <f t="shared" si="2"/>
        <v>439448.52</v>
      </c>
      <c r="N50" s="161">
        <v>0</v>
      </c>
    </row>
    <row r="51" spans="1:22"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161">
        <v>0</v>
      </c>
    </row>
    <row r="52" spans="1:22">
      <c r="N52" s="1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6FC5-E62D-4629-96C7-79184AA25F1E}">
  <dimension ref="A1:DD7"/>
  <sheetViews>
    <sheetView workbookViewId="0">
      <selection activeCell="E14" sqref="E14"/>
    </sheetView>
  </sheetViews>
  <sheetFormatPr defaultRowHeight="14.4"/>
  <cols>
    <col min="1" max="1" width="11.33203125" customWidth="1"/>
    <col min="5" max="5" width="12.109375" customWidth="1"/>
    <col min="6" max="6" width="5" customWidth="1"/>
    <col min="13" max="18" width="9.109375"/>
  </cols>
  <sheetData>
    <row r="1" spans="1:108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12</v>
      </c>
      <c r="K1" s="187" t="s">
        <v>17</v>
      </c>
      <c r="L1" s="207" t="s">
        <v>18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</row>
    <row r="2" spans="1:108" s="12" customFormat="1" ht="19.95" customHeight="1">
      <c r="A2" s="128">
        <v>46112</v>
      </c>
      <c r="B2" s="131" t="s">
        <v>1182</v>
      </c>
      <c r="C2" s="131" t="s">
        <v>1185</v>
      </c>
      <c r="D2" s="131" t="s">
        <v>1186</v>
      </c>
      <c r="E2" s="131" t="s">
        <v>36</v>
      </c>
      <c r="F2" s="136" t="s">
        <v>26</v>
      </c>
      <c r="G2" s="129">
        <v>4400</v>
      </c>
      <c r="H2" s="129">
        <v>396</v>
      </c>
      <c r="I2" s="129">
        <v>396</v>
      </c>
      <c r="J2" s="130">
        <v>5192</v>
      </c>
      <c r="K2" s="132" t="s">
        <v>1263</v>
      </c>
      <c r="L2" s="544">
        <v>5192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</row>
    <row r="3" spans="1:108" ht="19.95" customHeight="1">
      <c r="A3" s="128">
        <v>46142</v>
      </c>
      <c r="B3" s="131" t="s">
        <v>1237</v>
      </c>
      <c r="C3" s="131" t="s">
        <v>1185</v>
      </c>
      <c r="D3" s="131" t="s">
        <v>1186</v>
      </c>
      <c r="E3" s="131" t="s">
        <v>36</v>
      </c>
      <c r="F3" s="136" t="s">
        <v>26</v>
      </c>
      <c r="G3" s="129">
        <v>4400</v>
      </c>
      <c r="H3" s="129">
        <v>396</v>
      </c>
      <c r="I3" s="129">
        <v>396</v>
      </c>
      <c r="J3" s="130">
        <v>5192</v>
      </c>
      <c r="K3" s="132" t="s">
        <v>1264</v>
      </c>
      <c r="L3" s="544">
        <v>5192</v>
      </c>
    </row>
    <row r="4" spans="1:108" s="12" customFormat="1" ht="19.2" customHeight="1">
      <c r="A4" s="128">
        <v>46173</v>
      </c>
      <c r="B4" s="165" t="s">
        <v>1292</v>
      </c>
      <c r="C4" s="131" t="s">
        <v>1185</v>
      </c>
      <c r="D4" s="131" t="s">
        <v>1186</v>
      </c>
      <c r="E4" s="131" t="s">
        <v>36</v>
      </c>
      <c r="F4" s="136" t="s">
        <v>26</v>
      </c>
      <c r="G4" s="129">
        <v>4400</v>
      </c>
      <c r="H4" s="129">
        <v>396</v>
      </c>
      <c r="I4" s="129">
        <v>396</v>
      </c>
      <c r="J4" s="130">
        <v>5192</v>
      </c>
      <c r="K4" s="132" t="s">
        <v>1342</v>
      </c>
      <c r="L4" s="544">
        <v>5192</v>
      </c>
      <c r="M4"/>
      <c r="N4"/>
      <c r="O4"/>
      <c r="P4"/>
      <c r="Q4"/>
      <c r="R4"/>
      <c r="S4" s="533"/>
    </row>
    <row r="5" spans="1:108" s="12" customFormat="1" ht="19.2" customHeight="1">
      <c r="A5" s="128">
        <v>46203</v>
      </c>
      <c r="B5" s="165" t="s">
        <v>1326</v>
      </c>
      <c r="C5" s="131" t="s">
        <v>1185</v>
      </c>
      <c r="D5" s="131" t="s">
        <v>1186</v>
      </c>
      <c r="E5" s="131" t="s">
        <v>36</v>
      </c>
      <c r="F5" s="136" t="s">
        <v>26</v>
      </c>
      <c r="G5" s="129">
        <v>4400</v>
      </c>
      <c r="H5" s="129">
        <v>396</v>
      </c>
      <c r="I5" s="129">
        <v>396</v>
      </c>
      <c r="J5" s="130">
        <v>5192</v>
      </c>
      <c r="K5" s="132" t="s">
        <v>1406</v>
      </c>
      <c r="L5" s="544">
        <v>5192</v>
      </c>
      <c r="M5"/>
      <c r="N5"/>
      <c r="O5"/>
      <c r="P5"/>
      <c r="Q5"/>
      <c r="R5"/>
      <c r="S5" s="533"/>
    </row>
    <row r="6" spans="1:108" s="12" customFormat="1" ht="19.2" customHeight="1">
      <c r="A6" s="128">
        <v>46239</v>
      </c>
      <c r="B6" s="131" t="s">
        <v>1392</v>
      </c>
      <c r="C6" s="131" t="s">
        <v>1185</v>
      </c>
      <c r="D6" s="131" t="s">
        <v>1186</v>
      </c>
      <c r="E6" s="131" t="s">
        <v>36</v>
      </c>
      <c r="F6" s="136" t="s">
        <v>26</v>
      </c>
      <c r="G6" s="129">
        <v>4400</v>
      </c>
      <c r="H6" s="129">
        <v>396</v>
      </c>
      <c r="I6" s="129">
        <v>396</v>
      </c>
      <c r="J6" s="130">
        <v>5192</v>
      </c>
      <c r="K6" s="132" t="s">
        <v>1407</v>
      </c>
      <c r="L6" s="544">
        <v>5192</v>
      </c>
      <c r="M6"/>
      <c r="N6"/>
      <c r="O6"/>
      <c r="P6"/>
      <c r="Q6"/>
      <c r="R6"/>
      <c r="S6" s="533"/>
    </row>
    <row r="7" spans="1:108">
      <c r="F7" s="136" t="s">
        <v>1405</v>
      </c>
      <c r="G7" s="545">
        <v>22000</v>
      </c>
      <c r="H7" s="545">
        <v>1980</v>
      </c>
      <c r="I7" s="545">
        <v>1980</v>
      </c>
      <c r="J7" s="545">
        <v>25960</v>
      </c>
      <c r="K7" s="12"/>
      <c r="L7" s="545">
        <v>25960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A12B-4FB3-471E-8409-BCFD75355725}">
  <dimension ref="A1:DI16"/>
  <sheetViews>
    <sheetView workbookViewId="0">
      <selection activeCell="G4" sqref="G4"/>
    </sheetView>
  </sheetViews>
  <sheetFormatPr defaultRowHeight="14.4"/>
  <cols>
    <col min="1" max="1" width="12.88671875" customWidth="1"/>
    <col min="2" max="2" width="16.6640625" customWidth="1"/>
    <col min="4" max="4" width="9.109375" bestFit="1" customWidth="1"/>
    <col min="5" max="5" width="13.88671875" customWidth="1"/>
    <col min="6" max="6" width="10.109375" customWidth="1"/>
    <col min="7" max="7" width="11.33203125" customWidth="1"/>
    <col min="9" max="9" width="10.44140625" customWidth="1"/>
    <col min="11" max="11" width="11.5546875" customWidth="1"/>
    <col min="12" max="15" width="8.88671875" style="10"/>
  </cols>
  <sheetData>
    <row r="1" spans="1:113" ht="21">
      <c r="A1" s="543" t="s">
        <v>1402</v>
      </c>
    </row>
    <row r="2" spans="1:113" ht="21">
      <c r="A2" s="531" t="s">
        <v>885</v>
      </c>
      <c r="B2" s="530"/>
      <c r="F2" s="532" t="s">
        <v>886</v>
      </c>
    </row>
    <row r="3" spans="1:113" s="12" customFormat="1" ht="24.6" customHeight="1">
      <c r="A3" s="1" t="s">
        <v>0</v>
      </c>
      <c r="B3" s="1" t="s">
        <v>1</v>
      </c>
      <c r="C3" s="1" t="s">
        <v>4</v>
      </c>
      <c r="D3" s="1" t="s">
        <v>8</v>
      </c>
      <c r="E3" s="1" t="s">
        <v>9</v>
      </c>
      <c r="F3" s="1" t="s">
        <v>10</v>
      </c>
      <c r="G3" s="1" t="s">
        <v>12</v>
      </c>
      <c r="H3" s="46" t="s">
        <v>15</v>
      </c>
      <c r="I3" s="46" t="s">
        <v>16</v>
      </c>
      <c r="J3" s="187" t="s">
        <v>17</v>
      </c>
      <c r="K3" s="47" t="s">
        <v>18</v>
      </c>
      <c r="L3" s="536"/>
      <c r="M3" s="537"/>
      <c r="N3" s="538"/>
      <c r="O3" s="211"/>
      <c r="P3" s="50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1:113" s="10" customFormat="1" ht="19.95" customHeight="1">
      <c r="A4" s="220">
        <v>45964</v>
      </c>
      <c r="B4" s="7" t="s">
        <v>894</v>
      </c>
      <c r="C4" s="163" t="s">
        <v>232</v>
      </c>
      <c r="D4" s="214">
        <v>6000</v>
      </c>
      <c r="E4" s="214">
        <v>540</v>
      </c>
      <c r="F4" s="214">
        <v>540</v>
      </c>
      <c r="G4" s="222">
        <v>7080</v>
      </c>
      <c r="H4" s="224">
        <v>7080</v>
      </c>
      <c r="I4" s="228">
        <v>46059</v>
      </c>
      <c r="J4" s="225" t="s">
        <v>959</v>
      </c>
      <c r="K4" s="42">
        <v>0</v>
      </c>
      <c r="L4" s="534"/>
      <c r="M4" s="534"/>
      <c r="N4" s="535"/>
    </row>
    <row r="5" spans="1:113" s="11" customFormat="1" ht="19.95" customHeight="1">
      <c r="A5" s="226">
        <v>45991</v>
      </c>
      <c r="B5" s="7" t="s">
        <v>934</v>
      </c>
      <c r="C5" s="163" t="s">
        <v>59</v>
      </c>
      <c r="D5" s="214">
        <v>3000</v>
      </c>
      <c r="E5" s="214">
        <v>270</v>
      </c>
      <c r="F5" s="214">
        <v>270</v>
      </c>
      <c r="G5" s="222">
        <v>3540</v>
      </c>
      <c r="H5" s="224"/>
      <c r="I5" s="205">
        <v>46172</v>
      </c>
      <c r="J5" s="225" t="s">
        <v>959</v>
      </c>
      <c r="K5" s="540">
        <v>3540</v>
      </c>
      <c r="L5" s="534"/>
      <c r="M5" s="534"/>
      <c r="N5" s="53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</row>
    <row r="6" spans="1:113" s="12" customFormat="1" ht="19.95" customHeight="1">
      <c r="A6" s="128">
        <v>46022</v>
      </c>
      <c r="B6" s="3" t="s">
        <v>1010</v>
      </c>
      <c r="C6" s="131" t="s">
        <v>59</v>
      </c>
      <c r="D6" s="129">
        <v>3000</v>
      </c>
      <c r="E6" s="129">
        <v>270</v>
      </c>
      <c r="F6" s="129">
        <v>270</v>
      </c>
      <c r="G6" s="130">
        <v>3540</v>
      </c>
      <c r="H6" s="135"/>
      <c r="I6" s="205">
        <v>46172</v>
      </c>
      <c r="J6" s="132" t="s">
        <v>1160</v>
      </c>
      <c r="K6" s="540">
        <v>3540</v>
      </c>
      <c r="L6" s="534"/>
      <c r="M6" s="534"/>
      <c r="N6" s="535"/>
      <c r="O6" s="1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</row>
    <row r="7" spans="1:113" s="12" customFormat="1" ht="19.95" customHeight="1">
      <c r="A7" s="128">
        <v>46053</v>
      </c>
      <c r="B7" s="131" t="s">
        <v>1089</v>
      </c>
      <c r="C7" s="131" t="s">
        <v>59</v>
      </c>
      <c r="D7" s="129">
        <v>3000</v>
      </c>
      <c r="E7" s="129">
        <v>270</v>
      </c>
      <c r="F7" s="129">
        <v>270</v>
      </c>
      <c r="G7" s="130">
        <v>3540</v>
      </c>
      <c r="H7" s="135"/>
      <c r="I7" s="205">
        <v>46172</v>
      </c>
      <c r="J7" s="132" t="s">
        <v>1161</v>
      </c>
      <c r="K7" s="540">
        <v>3540</v>
      </c>
      <c r="L7" s="534"/>
      <c r="M7" s="534"/>
      <c r="N7" s="535"/>
      <c r="O7" s="1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</row>
    <row r="8" spans="1:113" s="12" customFormat="1" ht="19.95" customHeight="1">
      <c r="A8" s="128">
        <v>46081</v>
      </c>
      <c r="B8" s="131" t="s">
        <v>1132</v>
      </c>
      <c r="C8" s="131" t="s">
        <v>59</v>
      </c>
      <c r="D8" s="129">
        <v>2200</v>
      </c>
      <c r="E8" s="129">
        <v>198</v>
      </c>
      <c r="F8" s="129">
        <v>198</v>
      </c>
      <c r="G8" s="130">
        <v>2596</v>
      </c>
      <c r="H8" s="135"/>
      <c r="I8" s="205">
        <v>46172</v>
      </c>
      <c r="J8" s="132" t="s">
        <v>1162</v>
      </c>
      <c r="K8" s="541">
        <v>2596</v>
      </c>
      <c r="L8" s="534"/>
      <c r="M8" s="534"/>
      <c r="N8" s="535"/>
      <c r="O8" s="1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</row>
    <row r="9" spans="1:113" s="12" customFormat="1" ht="19.95" customHeight="1">
      <c r="A9" s="128">
        <v>46112</v>
      </c>
      <c r="B9" s="131" t="s">
        <v>1181</v>
      </c>
      <c r="C9" s="131" t="s">
        <v>59</v>
      </c>
      <c r="D9" s="129">
        <v>2200</v>
      </c>
      <c r="E9" s="129">
        <v>198</v>
      </c>
      <c r="F9" s="129">
        <v>198</v>
      </c>
      <c r="G9" s="130">
        <v>2596</v>
      </c>
      <c r="H9" s="206">
        <v>15000</v>
      </c>
      <c r="I9" s="205">
        <v>46172</v>
      </c>
      <c r="J9" s="132" t="s">
        <v>1263</v>
      </c>
      <c r="K9" s="42">
        <v>-12404</v>
      </c>
      <c r="L9" s="542" t="s">
        <v>1403</v>
      </c>
      <c r="M9" s="534"/>
      <c r="N9" s="535"/>
      <c r="O9" s="10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</row>
    <row r="10" spans="1:113" ht="19.95" customHeight="1">
      <c r="A10" s="128">
        <v>46142</v>
      </c>
      <c r="B10" s="131" t="s">
        <v>1238</v>
      </c>
      <c r="C10" s="131" t="s">
        <v>59</v>
      </c>
      <c r="D10" s="129">
        <v>4400</v>
      </c>
      <c r="E10" s="129">
        <v>396</v>
      </c>
      <c r="F10" s="129">
        <v>396</v>
      </c>
      <c r="G10" s="130">
        <v>5192</v>
      </c>
      <c r="H10" s="135"/>
      <c r="I10" s="135"/>
      <c r="J10" s="132" t="s">
        <v>1264</v>
      </c>
      <c r="K10" s="138">
        <v>5192</v>
      </c>
      <c r="L10" s="534"/>
      <c r="M10" s="534"/>
      <c r="N10" s="535"/>
    </row>
    <row r="11" spans="1:113" s="12" customFormat="1" ht="19.2" customHeight="1">
      <c r="A11" s="128">
        <v>46173</v>
      </c>
      <c r="B11" s="165" t="s">
        <v>1293</v>
      </c>
      <c r="C11" s="131" t="s">
        <v>59</v>
      </c>
      <c r="D11" s="129">
        <v>2200</v>
      </c>
      <c r="E11" s="129">
        <v>198</v>
      </c>
      <c r="F11" s="129">
        <v>198</v>
      </c>
      <c r="G11" s="130">
        <v>2596</v>
      </c>
      <c r="H11" s="135"/>
      <c r="I11" s="135"/>
      <c r="J11" s="132" t="s">
        <v>1342</v>
      </c>
      <c r="K11" s="313">
        <v>2596</v>
      </c>
      <c r="L11" s="534"/>
      <c r="M11" s="534"/>
      <c r="N11" s="539"/>
      <c r="O11" s="10"/>
      <c r="P11" s="533"/>
    </row>
    <row r="12" spans="1:113" s="12" customFormat="1" ht="19.2" customHeight="1">
      <c r="A12" s="128">
        <v>46208</v>
      </c>
      <c r="B12" s="165" t="s">
        <v>1328</v>
      </c>
      <c r="C12" s="131" t="s">
        <v>59</v>
      </c>
      <c r="D12" s="129">
        <v>4400</v>
      </c>
      <c r="E12" s="129">
        <v>396</v>
      </c>
      <c r="F12" s="129">
        <v>396</v>
      </c>
      <c r="G12" s="130">
        <v>5192</v>
      </c>
      <c r="H12" s="135"/>
      <c r="I12" s="135"/>
      <c r="J12" s="132"/>
      <c r="K12" s="313">
        <v>5192</v>
      </c>
      <c r="L12" s="534"/>
      <c r="M12" s="534"/>
      <c r="N12" s="539"/>
      <c r="O12" s="10"/>
      <c r="P12" s="533"/>
    </row>
    <row r="13" spans="1:113" s="12" customFormat="1" ht="19.2" customHeight="1">
      <c r="A13" s="128">
        <v>46239</v>
      </c>
      <c r="B13" s="131" t="s">
        <v>1399</v>
      </c>
      <c r="C13" s="131" t="s">
        <v>59</v>
      </c>
      <c r="D13" s="129">
        <v>2200</v>
      </c>
      <c r="E13" s="129">
        <v>198</v>
      </c>
      <c r="F13" s="129">
        <v>198</v>
      </c>
      <c r="G13" s="130">
        <v>2596</v>
      </c>
      <c r="H13" s="135"/>
      <c r="I13" s="135"/>
      <c r="J13" s="132"/>
      <c r="K13" s="313">
        <v>2596</v>
      </c>
      <c r="L13" s="534"/>
      <c r="M13" s="534"/>
      <c r="N13" s="539"/>
      <c r="O13" s="10"/>
      <c r="P13" s="533"/>
    </row>
    <row r="14" spans="1:113">
      <c r="B14" s="528" t="s">
        <v>1401</v>
      </c>
      <c r="C14" s="528"/>
      <c r="D14" s="527">
        <v>13200</v>
      </c>
      <c r="E14" s="307">
        <v>1188</v>
      </c>
      <c r="F14" s="307">
        <v>1188</v>
      </c>
      <c r="G14" s="307">
        <v>15576</v>
      </c>
      <c r="H14" s="528"/>
      <c r="I14" s="528"/>
      <c r="J14" s="528"/>
      <c r="K14" s="307">
        <v>15576</v>
      </c>
    </row>
    <row r="15" spans="1:113">
      <c r="B15" s="528" t="s">
        <v>1404</v>
      </c>
      <c r="C15" s="12"/>
      <c r="D15" s="12"/>
      <c r="E15" s="12"/>
      <c r="F15" s="12"/>
      <c r="G15" s="307">
        <v>812</v>
      </c>
      <c r="H15" s="12"/>
      <c r="I15" s="12"/>
      <c r="J15" s="12"/>
      <c r="K15" s="307">
        <v>812</v>
      </c>
    </row>
    <row r="16" spans="1:113">
      <c r="B16" s="528" t="s">
        <v>1401</v>
      </c>
      <c r="C16" s="12"/>
      <c r="D16" s="12"/>
      <c r="E16" s="12"/>
      <c r="F16" s="12"/>
      <c r="G16" s="307">
        <v>16388</v>
      </c>
      <c r="H16" s="12"/>
      <c r="I16" s="12"/>
      <c r="J16" s="12"/>
      <c r="K16" s="307">
        <v>16388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9D5E-6398-4AC2-96FD-A0EC3A180246}">
  <dimension ref="A1:DQ36"/>
  <sheetViews>
    <sheetView topLeftCell="E19" workbookViewId="0">
      <selection activeCell="M3" sqref="M3"/>
    </sheetView>
  </sheetViews>
  <sheetFormatPr defaultRowHeight="14.4"/>
  <cols>
    <col min="1" max="1" width="12.88671875" customWidth="1"/>
    <col min="2" max="2" width="17.33203125" customWidth="1"/>
    <col min="3" max="3" width="40.6640625" customWidth="1"/>
    <col min="4" max="4" width="18.109375" customWidth="1"/>
    <col min="5" max="5" width="12" customWidth="1"/>
    <col min="6" max="6" width="6.109375" customWidth="1"/>
    <col min="7" max="7" width="5.88671875" customWidth="1"/>
    <col min="8" max="8" width="6.5546875" customWidth="1"/>
    <col min="9" max="9" width="10.44140625" bestFit="1" customWidth="1"/>
    <col min="13" max="13" width="13.10937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00" t="s">
        <v>14</v>
      </c>
      <c r="P1" s="46" t="s">
        <v>15</v>
      </c>
      <c r="Q1" s="46" t="s">
        <v>16</v>
      </c>
      <c r="R1" s="187" t="s">
        <v>17</v>
      </c>
      <c r="S1" s="47"/>
      <c r="T1" s="48"/>
      <c r="U1" s="46"/>
      <c r="V1" s="207"/>
      <c r="W1" s="50"/>
      <c r="X1" s="50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s="12" customFormat="1" ht="19.2" customHeight="1">
      <c r="A2" s="408">
        <v>46178</v>
      </c>
      <c r="B2" s="131" t="s">
        <v>1295</v>
      </c>
      <c r="C2" s="131" t="s">
        <v>955</v>
      </c>
      <c r="D2" s="131" t="s">
        <v>205</v>
      </c>
      <c r="E2" s="131" t="s">
        <v>67</v>
      </c>
      <c r="F2" s="136" t="s">
        <v>26</v>
      </c>
      <c r="G2" s="136">
        <v>3808</v>
      </c>
      <c r="H2" s="526">
        <v>0.18</v>
      </c>
      <c r="I2" s="129">
        <v>18250</v>
      </c>
      <c r="J2" s="129">
        <f t="shared" ref="J2:J36" si="0">I2*9/100</f>
        <v>1642.5</v>
      </c>
      <c r="K2" s="129">
        <f t="shared" ref="K2:K36" si="1">I2*9/100</f>
        <v>1642.5</v>
      </c>
      <c r="L2" s="129"/>
      <c r="M2" s="129">
        <f>I2+J2+K2</f>
        <v>21535</v>
      </c>
      <c r="N2" s="161">
        <f>Table432[[#This Row],[Taxable Amount]]*1%</f>
        <v>219</v>
      </c>
      <c r="O2" s="132"/>
      <c r="P2" s="135"/>
      <c r="Q2" s="135"/>
      <c r="R2" s="132"/>
      <c r="S2" s="313"/>
      <c r="T2" s="131"/>
      <c r="U2" s="131"/>
      <c r="V2" s="129"/>
    </row>
    <row r="3" spans="1:121" s="12" customFormat="1" ht="19.2" customHeight="1">
      <c r="A3" s="408">
        <v>46178</v>
      </c>
      <c r="B3" s="131" t="s">
        <v>1296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526">
        <v>0.18</v>
      </c>
      <c r="I3" s="129">
        <v>8800</v>
      </c>
      <c r="J3" s="129">
        <f t="shared" si="0"/>
        <v>792</v>
      </c>
      <c r="K3" s="129">
        <f t="shared" si="1"/>
        <v>792</v>
      </c>
      <c r="L3" s="129"/>
      <c r="M3" s="129">
        <f t="shared" ref="M3:M36" si="2">I3+J3+K3</f>
        <v>10384</v>
      </c>
      <c r="N3" s="161">
        <f>Table432[[#This Row],[Taxable Amount]]*1%</f>
        <v>150</v>
      </c>
      <c r="O3" s="132"/>
      <c r="P3" s="135"/>
      <c r="Q3" s="135"/>
      <c r="R3" s="132"/>
      <c r="S3" s="313"/>
      <c r="T3" s="131"/>
      <c r="U3" s="131"/>
      <c r="V3" s="129"/>
    </row>
    <row r="4" spans="1:121" s="12" customFormat="1" ht="19.2" customHeight="1">
      <c r="A4" s="408">
        <v>46178</v>
      </c>
      <c r="B4" s="131" t="s">
        <v>1297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526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29"/>
      <c r="M4" s="129">
        <f t="shared" si="2"/>
        <v>5782</v>
      </c>
      <c r="N4" s="161">
        <f>Table432[[#This Row],[Taxable Amount]]*1%</f>
        <v>269.58</v>
      </c>
      <c r="O4" s="132"/>
      <c r="P4" s="135"/>
      <c r="Q4" s="135"/>
      <c r="R4" s="132"/>
      <c r="S4" s="313"/>
      <c r="T4" s="131"/>
      <c r="U4" s="131"/>
      <c r="V4" s="129"/>
    </row>
    <row r="5" spans="1:121" s="12" customFormat="1" ht="19.2" customHeight="1">
      <c r="A5" s="408">
        <v>46178</v>
      </c>
      <c r="B5" s="131" t="s">
        <v>1298</v>
      </c>
      <c r="C5" s="131" t="s">
        <v>674</v>
      </c>
      <c r="D5" s="131" t="s">
        <v>675</v>
      </c>
      <c r="E5" s="131" t="s">
        <v>684</v>
      </c>
      <c r="F5" s="136" t="s">
        <v>26</v>
      </c>
      <c r="G5" s="136">
        <v>3808</v>
      </c>
      <c r="H5" s="526">
        <v>0.18</v>
      </c>
      <c r="I5" s="129">
        <v>2250</v>
      </c>
      <c r="J5" s="129">
        <f t="shared" si="0"/>
        <v>202.5</v>
      </c>
      <c r="K5" s="129">
        <f t="shared" si="1"/>
        <v>202.5</v>
      </c>
      <c r="L5" s="129"/>
      <c r="M5" s="129">
        <f t="shared" si="2"/>
        <v>2655</v>
      </c>
      <c r="N5" s="161">
        <f>Table432[[#This Row],[Taxable Amount]]*1%</f>
        <v>66.5</v>
      </c>
      <c r="O5" s="132"/>
      <c r="P5" s="135"/>
      <c r="Q5" s="135"/>
      <c r="R5" s="132"/>
      <c r="S5" s="313"/>
      <c r="T5" s="131"/>
      <c r="U5" s="131"/>
      <c r="V5" s="129"/>
    </row>
    <row r="6" spans="1:121" s="12" customFormat="1" ht="19.2" customHeight="1">
      <c r="A6" s="408">
        <v>46178</v>
      </c>
      <c r="B6" s="131" t="s">
        <v>1299</v>
      </c>
      <c r="C6" s="131" t="s">
        <v>674</v>
      </c>
      <c r="D6" s="131" t="s">
        <v>675</v>
      </c>
      <c r="E6" s="131" t="s">
        <v>956</v>
      </c>
      <c r="F6" s="136" t="s">
        <v>26</v>
      </c>
      <c r="G6" s="136">
        <v>3808</v>
      </c>
      <c r="H6" s="526">
        <v>0.18</v>
      </c>
      <c r="I6" s="129">
        <v>2000</v>
      </c>
      <c r="J6" s="129">
        <f t="shared" si="0"/>
        <v>180</v>
      </c>
      <c r="K6" s="129">
        <f t="shared" si="1"/>
        <v>180</v>
      </c>
      <c r="L6" s="129"/>
      <c r="M6" s="129">
        <f t="shared" si="2"/>
        <v>2360</v>
      </c>
      <c r="N6" s="161">
        <f>Table432[[#This Row],[Taxable Amount]]*1%</f>
        <v>439.74</v>
      </c>
      <c r="O6" s="132"/>
      <c r="P6" s="135"/>
      <c r="Q6" s="135"/>
      <c r="R6" s="132"/>
      <c r="S6" s="313"/>
      <c r="T6" s="131"/>
      <c r="U6" s="131"/>
      <c r="V6" s="129"/>
    </row>
    <row r="7" spans="1:121" s="12" customFormat="1" ht="19.2" customHeight="1">
      <c r="A7" s="408">
        <v>46178</v>
      </c>
      <c r="B7" s="131" t="s">
        <v>1300</v>
      </c>
      <c r="C7" s="131" t="s">
        <v>674</v>
      </c>
      <c r="D7" s="131" t="s">
        <v>675</v>
      </c>
      <c r="E7" s="131" t="s">
        <v>716</v>
      </c>
      <c r="F7" s="136" t="s">
        <v>26</v>
      </c>
      <c r="G7" s="136">
        <v>3808</v>
      </c>
      <c r="H7" s="526">
        <v>0.18</v>
      </c>
      <c r="I7" s="129">
        <v>1750</v>
      </c>
      <c r="J7" s="129">
        <f t="shared" si="0"/>
        <v>157.5</v>
      </c>
      <c r="K7" s="129">
        <f t="shared" si="1"/>
        <v>157.5</v>
      </c>
      <c r="L7" s="129"/>
      <c r="M7" s="129">
        <f t="shared" si="2"/>
        <v>2065</v>
      </c>
      <c r="N7" s="161">
        <f>Table432[[#This Row],[Taxable Amount]]*1%</f>
        <v>270</v>
      </c>
      <c r="O7" s="132"/>
      <c r="P7" s="135"/>
      <c r="Q7" s="135"/>
      <c r="R7" s="132"/>
      <c r="S7" s="313"/>
      <c r="T7" s="131"/>
      <c r="U7" s="131"/>
      <c r="V7" s="129"/>
    </row>
    <row r="8" spans="1:121" s="12" customFormat="1" ht="19.2" customHeight="1">
      <c r="A8" s="408">
        <v>46178</v>
      </c>
      <c r="B8" s="131" t="s">
        <v>1301</v>
      </c>
      <c r="C8" s="131" t="s">
        <v>674</v>
      </c>
      <c r="D8" s="131" t="s">
        <v>675</v>
      </c>
      <c r="E8" s="131" t="s">
        <v>811</v>
      </c>
      <c r="F8" s="136" t="s">
        <v>26</v>
      </c>
      <c r="G8" s="136">
        <v>3808</v>
      </c>
      <c r="H8" s="526">
        <v>0.18</v>
      </c>
      <c r="I8" s="129">
        <v>10000</v>
      </c>
      <c r="J8" s="129">
        <f t="shared" si="0"/>
        <v>900</v>
      </c>
      <c r="K8" s="129">
        <f t="shared" si="1"/>
        <v>900</v>
      </c>
      <c r="L8" s="129"/>
      <c r="M8" s="129">
        <f t="shared" si="2"/>
        <v>11800</v>
      </c>
      <c r="N8" s="161">
        <f>Table432[[#This Row],[Taxable Amount]]*1%</f>
        <v>49</v>
      </c>
      <c r="O8" s="132"/>
      <c r="P8" s="135"/>
      <c r="Q8" s="135"/>
      <c r="R8" s="132"/>
      <c r="S8" s="313"/>
      <c r="T8" s="131"/>
      <c r="U8" s="131"/>
      <c r="V8" s="129"/>
    </row>
    <row r="9" spans="1:121" s="12" customFormat="1" ht="19.2" customHeight="1">
      <c r="A9" s="408">
        <v>46178</v>
      </c>
      <c r="B9" s="131" t="s">
        <v>1302</v>
      </c>
      <c r="C9" s="131" t="s">
        <v>674</v>
      </c>
      <c r="D9" s="131" t="s">
        <v>675</v>
      </c>
      <c r="E9" s="131" t="s">
        <v>1265</v>
      </c>
      <c r="F9" s="136" t="s">
        <v>26</v>
      </c>
      <c r="G9" s="136">
        <v>3808</v>
      </c>
      <c r="H9" s="526">
        <v>0.18</v>
      </c>
      <c r="I9" s="129">
        <v>7750</v>
      </c>
      <c r="J9" s="129">
        <f t="shared" si="0"/>
        <v>697.5</v>
      </c>
      <c r="K9" s="129">
        <f t="shared" si="1"/>
        <v>697.5</v>
      </c>
      <c r="L9" s="129"/>
      <c r="M9" s="129">
        <f t="shared" si="2"/>
        <v>9145</v>
      </c>
      <c r="N9" s="161">
        <f>Table432[[#This Row],[Taxable Amount]]*1%</f>
        <v>395.36</v>
      </c>
      <c r="O9" s="132"/>
      <c r="P9" s="135"/>
      <c r="Q9" s="135"/>
      <c r="R9" s="132"/>
      <c r="S9" s="313"/>
      <c r="T9" s="131"/>
      <c r="U9" s="131"/>
      <c r="V9" s="129"/>
    </row>
    <row r="10" spans="1:121" s="12" customFormat="1" ht="19.2" customHeight="1">
      <c r="A10" s="408">
        <v>46178</v>
      </c>
      <c r="B10" s="131" t="s">
        <v>1303</v>
      </c>
      <c r="C10" s="131" t="s">
        <v>674</v>
      </c>
      <c r="D10" s="131" t="s">
        <v>675</v>
      </c>
      <c r="E10" s="131" t="s">
        <v>1340</v>
      </c>
      <c r="F10" s="136" t="s">
        <v>26</v>
      </c>
      <c r="G10" s="136">
        <v>3808</v>
      </c>
      <c r="H10" s="526">
        <v>0.18</v>
      </c>
      <c r="I10" s="129">
        <v>550</v>
      </c>
      <c r="J10" s="129">
        <f t="shared" si="0"/>
        <v>49.5</v>
      </c>
      <c r="K10" s="129">
        <f t="shared" si="1"/>
        <v>49.5</v>
      </c>
      <c r="L10" s="129"/>
      <c r="M10" s="129">
        <f t="shared" si="2"/>
        <v>649</v>
      </c>
      <c r="N10" s="161">
        <f>Table432[[#This Row],[Taxable Amount]]*1%</f>
        <v>49</v>
      </c>
      <c r="O10" s="132"/>
      <c r="P10" s="135"/>
      <c r="Q10" s="135"/>
      <c r="R10" s="132"/>
      <c r="S10" s="313"/>
      <c r="T10" s="131"/>
      <c r="U10" s="131"/>
      <c r="V10" s="129"/>
    </row>
    <row r="11" spans="1:121" s="12" customFormat="1" ht="19.2" customHeight="1">
      <c r="A11" s="408">
        <v>46178</v>
      </c>
      <c r="B11" s="131" t="s">
        <v>1304</v>
      </c>
      <c r="C11" s="163" t="s">
        <v>396</v>
      </c>
      <c r="D11" s="163" t="s">
        <v>397</v>
      </c>
      <c r="E11" s="163" t="s">
        <v>260</v>
      </c>
      <c r="F11" s="136" t="s">
        <v>26</v>
      </c>
      <c r="G11" s="136">
        <v>3808</v>
      </c>
      <c r="H11" s="526">
        <v>0.18</v>
      </c>
      <c r="I11" s="129">
        <v>6000</v>
      </c>
      <c r="J11" s="129">
        <f t="shared" si="0"/>
        <v>540</v>
      </c>
      <c r="K11" s="129">
        <f t="shared" si="1"/>
        <v>540</v>
      </c>
      <c r="L11" s="129"/>
      <c r="M11" s="129">
        <f t="shared" si="2"/>
        <v>7080</v>
      </c>
      <c r="N11" s="161">
        <f>Table432[[#This Row],[Taxable Amount]]*1%</f>
        <v>850</v>
      </c>
      <c r="O11" s="132"/>
      <c r="P11" s="135"/>
      <c r="Q11" s="135"/>
      <c r="R11" s="132"/>
      <c r="S11" s="313"/>
      <c r="T11" s="131"/>
      <c r="U11" s="131"/>
      <c r="V11" s="129"/>
    </row>
    <row r="12" spans="1:121" s="12" customFormat="1" ht="19.2" customHeight="1">
      <c r="A12" s="408">
        <v>46178</v>
      </c>
      <c r="B12" s="131" t="s">
        <v>1305</v>
      </c>
      <c r="C12" s="131" t="s">
        <v>301</v>
      </c>
      <c r="D12" s="131" t="s">
        <v>302</v>
      </c>
      <c r="E12" s="131" t="s">
        <v>159</v>
      </c>
      <c r="F12" s="136" t="s">
        <v>37</v>
      </c>
      <c r="G12" s="136">
        <v>3808</v>
      </c>
      <c r="H12" s="526">
        <v>0.18</v>
      </c>
      <c r="I12" s="129">
        <v>21820</v>
      </c>
      <c r="J12" s="129">
        <f t="shared" si="0"/>
        <v>1963.8</v>
      </c>
      <c r="K12" s="129">
        <f t="shared" si="1"/>
        <v>1963.8</v>
      </c>
      <c r="L12" s="129"/>
      <c r="M12" s="129">
        <f t="shared" si="2"/>
        <v>25747.599999999999</v>
      </c>
      <c r="N12" s="161">
        <f>Table432[[#This Row],[Taxable Amount]]*1%</f>
        <v>109.54</v>
      </c>
      <c r="O12" s="132"/>
      <c r="P12" s="135"/>
      <c r="Q12" s="135"/>
      <c r="R12" s="132"/>
      <c r="S12" s="313"/>
      <c r="T12" s="131"/>
      <c r="U12" s="131"/>
      <c r="V12" s="129"/>
    </row>
    <row r="13" spans="1:121" s="12" customFormat="1" ht="19.2" customHeight="1">
      <c r="A13" s="408">
        <v>46178</v>
      </c>
      <c r="B13" s="131" t="s">
        <v>1306</v>
      </c>
      <c r="C13" s="131" t="s">
        <v>234</v>
      </c>
      <c r="D13" s="131" t="s">
        <v>235</v>
      </c>
      <c r="E13" s="131" t="s">
        <v>236</v>
      </c>
      <c r="F13" s="136" t="s">
        <v>26</v>
      </c>
      <c r="G13" s="136">
        <v>3808</v>
      </c>
      <c r="H13" s="526">
        <v>0.18</v>
      </c>
      <c r="I13" s="129">
        <v>2200</v>
      </c>
      <c r="J13" s="129">
        <f t="shared" si="0"/>
        <v>198</v>
      </c>
      <c r="K13" s="129">
        <f t="shared" si="1"/>
        <v>198</v>
      </c>
      <c r="L13" s="129"/>
      <c r="M13" s="129">
        <f t="shared" si="2"/>
        <v>2596</v>
      </c>
      <c r="N13" s="161">
        <f>Table432[[#This Row],[Taxable Amount]]*1%</f>
        <v>153.86000000000001</v>
      </c>
      <c r="O13" s="132"/>
      <c r="P13" s="135"/>
      <c r="Q13" s="135"/>
      <c r="R13" s="132"/>
      <c r="S13" s="313"/>
      <c r="T13" s="131"/>
      <c r="U13" s="131"/>
      <c r="V13" s="129"/>
    </row>
    <row r="14" spans="1:121" s="12" customFormat="1" ht="19.2" customHeight="1">
      <c r="A14" s="408">
        <v>46188</v>
      </c>
      <c r="B14" s="131" t="s">
        <v>1307</v>
      </c>
      <c r="C14" s="131" t="s">
        <v>234</v>
      </c>
      <c r="D14" s="131" t="s">
        <v>235</v>
      </c>
      <c r="E14" s="131" t="s">
        <v>236</v>
      </c>
      <c r="F14" s="136" t="s">
        <v>26</v>
      </c>
      <c r="G14" s="136">
        <v>3808</v>
      </c>
      <c r="H14" s="526">
        <v>0.18</v>
      </c>
      <c r="I14" s="129">
        <v>4200</v>
      </c>
      <c r="J14" s="129">
        <f t="shared" si="0"/>
        <v>378</v>
      </c>
      <c r="K14" s="129">
        <f t="shared" si="1"/>
        <v>378</v>
      </c>
      <c r="L14" s="129"/>
      <c r="M14" s="129">
        <f t="shared" si="2"/>
        <v>4956</v>
      </c>
      <c r="N14" s="161">
        <f>Table432[[#This Row],[Taxable Amount]]*1%</f>
        <v>143.5</v>
      </c>
      <c r="O14" s="132"/>
      <c r="P14" s="135"/>
      <c r="Q14" s="135"/>
      <c r="R14" s="132"/>
      <c r="S14" s="313"/>
      <c r="T14" s="131"/>
      <c r="U14" s="131"/>
      <c r="V14" s="129"/>
    </row>
    <row r="15" spans="1:121" s="12" customFormat="1" ht="19.2" customHeight="1">
      <c r="A15" s="408">
        <v>46196</v>
      </c>
      <c r="B15" s="131" t="s">
        <v>1308</v>
      </c>
      <c r="C15" s="7" t="s">
        <v>470</v>
      </c>
      <c r="D15" s="163" t="s">
        <v>471</v>
      </c>
      <c r="E15" s="131" t="s">
        <v>472</v>
      </c>
      <c r="F15" s="136" t="s">
        <v>37</v>
      </c>
      <c r="G15" s="136">
        <v>3808</v>
      </c>
      <c r="H15" s="526">
        <v>0.18</v>
      </c>
      <c r="I15" s="129">
        <v>34615.839999999997</v>
      </c>
      <c r="J15" s="129">
        <f t="shared" si="0"/>
        <v>3115.4255999999996</v>
      </c>
      <c r="K15" s="129">
        <f t="shared" si="1"/>
        <v>3115.4255999999996</v>
      </c>
      <c r="L15" s="129"/>
      <c r="M15" s="129">
        <f t="shared" si="2"/>
        <v>40846.691200000001</v>
      </c>
      <c r="N15" s="161">
        <f>Table432[[#This Row],[Taxable Amount]]*1%</f>
        <v>318.32</v>
      </c>
      <c r="O15" s="132"/>
      <c r="P15" s="135"/>
      <c r="Q15" s="135"/>
      <c r="R15" s="132"/>
      <c r="S15" s="313"/>
      <c r="T15" s="131"/>
      <c r="U15" s="131"/>
      <c r="V15" s="129"/>
    </row>
    <row r="16" spans="1:121" s="12" customFormat="1" ht="19.2" customHeight="1">
      <c r="A16" s="408">
        <v>46198</v>
      </c>
      <c r="B16" s="131" t="s">
        <v>1309</v>
      </c>
      <c r="C16" s="131" t="s">
        <v>954</v>
      </c>
      <c r="D16" s="131" t="s">
        <v>61</v>
      </c>
      <c r="E16" s="131" t="s">
        <v>634</v>
      </c>
      <c r="F16" s="136" t="s">
        <v>26</v>
      </c>
      <c r="G16" s="136">
        <v>3808</v>
      </c>
      <c r="H16" s="526">
        <v>0.18</v>
      </c>
      <c r="I16" s="129">
        <v>22000</v>
      </c>
      <c r="J16" s="129">
        <f t="shared" si="0"/>
        <v>1980</v>
      </c>
      <c r="K16" s="129">
        <f t="shared" si="1"/>
        <v>1980</v>
      </c>
      <c r="L16" s="129"/>
      <c r="M16" s="129">
        <f t="shared" si="2"/>
        <v>25960</v>
      </c>
      <c r="N16" s="161">
        <f>Table432[[#This Row],[Taxable Amount]]*1%</f>
        <v>42.9</v>
      </c>
      <c r="O16" s="132"/>
      <c r="P16" s="135"/>
      <c r="Q16" s="135"/>
      <c r="R16" s="132"/>
      <c r="S16" s="313"/>
      <c r="T16" s="131"/>
      <c r="U16" s="131"/>
      <c r="V16" s="129"/>
    </row>
    <row r="17" spans="1:22" s="12" customFormat="1" ht="19.2" customHeight="1">
      <c r="A17" s="408">
        <v>46198</v>
      </c>
      <c r="B17" s="131" t="s">
        <v>1310</v>
      </c>
      <c r="C17" s="131" t="s">
        <v>637</v>
      </c>
      <c r="D17" s="131" t="s">
        <v>638</v>
      </c>
      <c r="E17" s="131" t="s">
        <v>629</v>
      </c>
      <c r="F17" s="136" t="s">
        <v>26</v>
      </c>
      <c r="G17" s="136">
        <v>3808</v>
      </c>
      <c r="H17" s="526">
        <v>0.18</v>
      </c>
      <c r="I17" s="129">
        <v>12400</v>
      </c>
      <c r="J17" s="129">
        <f t="shared" si="0"/>
        <v>1116</v>
      </c>
      <c r="K17" s="129">
        <f t="shared" si="1"/>
        <v>1116</v>
      </c>
      <c r="L17" s="129"/>
      <c r="M17" s="129">
        <f t="shared" si="2"/>
        <v>14632</v>
      </c>
      <c r="N17" s="161">
        <f>Table432[[#This Row],[Taxable Amount]]*1%</f>
        <v>154.88</v>
      </c>
      <c r="O17" s="132"/>
      <c r="P17" s="135"/>
      <c r="Q17" s="135"/>
      <c r="R17" s="132"/>
      <c r="S17" s="313"/>
      <c r="T17" s="131"/>
      <c r="U17" s="131"/>
      <c r="V17" s="129"/>
    </row>
    <row r="18" spans="1:22" s="12" customFormat="1" ht="19.2" customHeight="1">
      <c r="A18" s="408">
        <v>46198</v>
      </c>
      <c r="B18" s="131" t="s">
        <v>1311</v>
      </c>
      <c r="C18" s="131" t="s">
        <v>42</v>
      </c>
      <c r="D18" s="131" t="s">
        <v>730</v>
      </c>
      <c r="E18" s="131" t="s">
        <v>953</v>
      </c>
      <c r="F18" s="136" t="s">
        <v>26</v>
      </c>
      <c r="G18" s="136">
        <v>3808</v>
      </c>
      <c r="H18" s="526">
        <v>0.18</v>
      </c>
      <c r="I18" s="129">
        <v>13628</v>
      </c>
      <c r="J18" s="129">
        <f t="shared" si="0"/>
        <v>1226.52</v>
      </c>
      <c r="K18" s="129">
        <f t="shared" si="1"/>
        <v>1226.52</v>
      </c>
      <c r="L18" s="129"/>
      <c r="M18" s="129">
        <f t="shared" si="2"/>
        <v>16081.04</v>
      </c>
      <c r="N18" s="161">
        <f>Table432[[#This Row],[Taxable Amount]]*1%</f>
        <v>1120</v>
      </c>
      <c r="O18" s="132"/>
      <c r="P18" s="135"/>
      <c r="Q18" s="135"/>
      <c r="R18" s="132"/>
      <c r="S18" s="313"/>
      <c r="T18" s="131"/>
      <c r="U18" s="131"/>
      <c r="V18" s="129"/>
    </row>
    <row r="19" spans="1:22" s="12" customFormat="1" ht="19.2" customHeight="1">
      <c r="A19" s="408">
        <v>46198</v>
      </c>
      <c r="B19" s="131" t="s">
        <v>1312</v>
      </c>
      <c r="C19" s="131" t="s">
        <v>42</v>
      </c>
      <c r="D19" s="131" t="s">
        <v>730</v>
      </c>
      <c r="E19" s="131" t="s">
        <v>101</v>
      </c>
      <c r="F19" s="136" t="s">
        <v>26</v>
      </c>
      <c r="G19" s="136">
        <v>3808</v>
      </c>
      <c r="H19" s="526">
        <v>0.18</v>
      </c>
      <c r="I19" s="129">
        <v>6750</v>
      </c>
      <c r="J19" s="129">
        <f t="shared" si="0"/>
        <v>607.5</v>
      </c>
      <c r="K19" s="129">
        <f t="shared" si="1"/>
        <v>607.5</v>
      </c>
      <c r="L19" s="129"/>
      <c r="M19" s="129">
        <f t="shared" si="2"/>
        <v>7965</v>
      </c>
      <c r="N19" s="161">
        <f>Table432[[#This Row],[Taxable Amount]]*1%</f>
        <v>1459.49</v>
      </c>
      <c r="O19" s="132"/>
      <c r="P19" s="135"/>
      <c r="Q19" s="135"/>
      <c r="R19" s="132"/>
      <c r="S19" s="313"/>
      <c r="T19" s="131"/>
      <c r="U19" s="131"/>
      <c r="V19" s="129"/>
    </row>
    <row r="20" spans="1:22" s="12" customFormat="1" ht="19.2" customHeight="1">
      <c r="A20" s="408">
        <v>46198</v>
      </c>
      <c r="B20" s="131" t="s">
        <v>1313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526">
        <v>0.18</v>
      </c>
      <c r="I20" s="129">
        <v>50950</v>
      </c>
      <c r="J20" s="129">
        <f t="shared" si="0"/>
        <v>4585.5</v>
      </c>
      <c r="K20" s="129">
        <f t="shared" si="1"/>
        <v>4585.5</v>
      </c>
      <c r="L20" s="129"/>
      <c r="M20" s="129">
        <f t="shared" si="2"/>
        <v>60121</v>
      </c>
      <c r="N20" s="161">
        <f>Table432[[#This Row],[Taxable Amount]]*1%</f>
        <v>113.77</v>
      </c>
      <c r="O20" s="132"/>
      <c r="P20" s="135"/>
      <c r="Q20" s="135"/>
      <c r="R20" s="132"/>
      <c r="S20" s="313"/>
      <c r="T20" s="131"/>
      <c r="U20" s="131"/>
      <c r="V20" s="129"/>
    </row>
    <row r="21" spans="1:22" s="12" customFormat="1" ht="19.2" customHeight="1">
      <c r="A21" s="408">
        <v>46203</v>
      </c>
      <c r="B21" s="131" t="s">
        <v>1314</v>
      </c>
      <c r="C21" s="131" t="s">
        <v>720</v>
      </c>
      <c r="D21" s="131" t="s">
        <v>721</v>
      </c>
      <c r="E21" s="131" t="s">
        <v>629</v>
      </c>
      <c r="F21" s="136" t="s">
        <v>26</v>
      </c>
      <c r="G21" s="136">
        <v>3808</v>
      </c>
      <c r="H21" s="526">
        <v>0.18</v>
      </c>
      <c r="I21" s="129">
        <v>3000</v>
      </c>
      <c r="J21" s="129">
        <f t="shared" si="0"/>
        <v>270</v>
      </c>
      <c r="K21" s="129">
        <f t="shared" si="1"/>
        <v>270</v>
      </c>
      <c r="L21" s="129"/>
      <c r="M21" s="129">
        <f t="shared" si="2"/>
        <v>3540</v>
      </c>
      <c r="N21" s="161">
        <f>Table432[[#This Row],[Taxable Amount]]*1%</f>
        <v>20</v>
      </c>
      <c r="O21" s="132"/>
      <c r="P21" s="135"/>
      <c r="Q21" s="135"/>
      <c r="R21" s="132"/>
      <c r="S21" s="313"/>
      <c r="T21" s="131"/>
      <c r="U21" s="131"/>
      <c r="V21" s="129"/>
    </row>
    <row r="22" spans="1:22" s="12" customFormat="1" ht="19.2" customHeight="1">
      <c r="A22" s="408">
        <v>46203</v>
      </c>
      <c r="B22" s="131" t="s">
        <v>1315</v>
      </c>
      <c r="C22" s="131" t="s">
        <v>116</v>
      </c>
      <c r="D22" s="131" t="s">
        <v>117</v>
      </c>
      <c r="E22" s="131" t="s">
        <v>59</v>
      </c>
      <c r="F22" s="136" t="s">
        <v>26</v>
      </c>
      <c r="G22" s="136">
        <v>3808</v>
      </c>
      <c r="H22" s="526">
        <v>0.18</v>
      </c>
      <c r="I22" s="129">
        <v>17300</v>
      </c>
      <c r="J22" s="129">
        <f t="shared" si="0"/>
        <v>1557</v>
      </c>
      <c r="K22" s="129">
        <f t="shared" si="1"/>
        <v>1557</v>
      </c>
      <c r="L22" s="129"/>
      <c r="M22" s="129">
        <f t="shared" si="2"/>
        <v>20414</v>
      </c>
      <c r="N22" s="161">
        <f>Table432[[#This Row],[Taxable Amount]]*1%</f>
        <v>43.5</v>
      </c>
      <c r="O22" s="132"/>
      <c r="P22" s="135"/>
      <c r="Q22" s="135"/>
      <c r="R22" s="132"/>
      <c r="S22" s="313"/>
      <c r="T22" s="131"/>
      <c r="U22" s="131"/>
      <c r="V22" s="129"/>
    </row>
    <row r="23" spans="1:22" s="12" customFormat="1" ht="19.2" customHeight="1">
      <c r="A23" s="408">
        <v>46203</v>
      </c>
      <c r="B23" s="131" t="s">
        <v>1316</v>
      </c>
      <c r="C23" s="131" t="s">
        <v>390</v>
      </c>
      <c r="D23" s="131" t="s">
        <v>391</v>
      </c>
      <c r="E23" s="131" t="s">
        <v>260</v>
      </c>
      <c r="F23" s="136" t="s">
        <v>26</v>
      </c>
      <c r="G23" s="136">
        <v>3808</v>
      </c>
      <c r="H23" s="526">
        <v>0.18</v>
      </c>
      <c r="I23" s="129">
        <v>1205.1600000000001</v>
      </c>
      <c r="J23" s="129">
        <f t="shared" si="0"/>
        <v>108.46440000000001</v>
      </c>
      <c r="K23" s="129">
        <f t="shared" si="1"/>
        <v>108.46440000000001</v>
      </c>
      <c r="L23" s="129"/>
      <c r="M23" s="129">
        <f t="shared" si="2"/>
        <v>1422.0888000000002</v>
      </c>
      <c r="N23" s="161">
        <f>Table432[[#This Row],[Taxable Amount]]*1%</f>
        <v>155.02000000000001</v>
      </c>
      <c r="O23" s="132"/>
      <c r="P23" s="135"/>
      <c r="Q23" s="135"/>
      <c r="R23" s="132"/>
      <c r="S23" s="313"/>
      <c r="T23" s="131"/>
      <c r="U23" s="131"/>
      <c r="V23" s="129"/>
    </row>
    <row r="24" spans="1:22" s="12" customFormat="1" ht="19.2" customHeight="1">
      <c r="A24" s="408">
        <v>46203</v>
      </c>
      <c r="B24" s="131" t="s">
        <v>1317</v>
      </c>
      <c r="C24" s="131" t="s">
        <v>390</v>
      </c>
      <c r="D24" s="131" t="s">
        <v>391</v>
      </c>
      <c r="E24" s="131" t="s">
        <v>260</v>
      </c>
      <c r="F24" s="136" t="s">
        <v>26</v>
      </c>
      <c r="G24" s="136">
        <v>3808</v>
      </c>
      <c r="H24" s="526">
        <v>0.18</v>
      </c>
      <c r="I24" s="129">
        <v>1448.35</v>
      </c>
      <c r="J24" s="129">
        <f t="shared" si="0"/>
        <v>130.35149999999999</v>
      </c>
      <c r="K24" s="129">
        <f t="shared" si="1"/>
        <v>130.35149999999999</v>
      </c>
      <c r="L24" s="129"/>
      <c r="M24" s="129">
        <f t="shared" si="2"/>
        <v>1709.0529999999999</v>
      </c>
      <c r="N24" s="161">
        <f>Table432[[#This Row],[Taxable Amount]]*1%</f>
        <v>9</v>
      </c>
      <c r="O24" s="132"/>
      <c r="P24" s="135"/>
      <c r="Q24" s="135"/>
      <c r="R24" s="132"/>
      <c r="S24" s="313"/>
      <c r="T24" s="131"/>
      <c r="U24" s="131"/>
      <c r="V24" s="129"/>
    </row>
    <row r="25" spans="1:22" s="12" customFormat="1" ht="19.2" customHeight="1">
      <c r="A25" s="408">
        <v>46203</v>
      </c>
      <c r="B25" s="131" t="s">
        <v>1318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526">
        <v>0.18</v>
      </c>
      <c r="I25" s="129">
        <v>2008.6</v>
      </c>
      <c r="J25" s="129">
        <f t="shared" si="0"/>
        <v>180.77399999999997</v>
      </c>
      <c r="K25" s="129">
        <f t="shared" si="1"/>
        <v>180.77399999999997</v>
      </c>
      <c r="L25" s="129"/>
      <c r="M25" s="129">
        <f t="shared" si="2"/>
        <v>2370.1479999999997</v>
      </c>
      <c r="N25" s="161">
        <f>Table432[[#This Row],[Taxable Amount]]*1%</f>
        <v>554.11</v>
      </c>
      <c r="O25" s="132"/>
      <c r="P25" s="135"/>
      <c r="Q25" s="135"/>
      <c r="R25" s="132"/>
      <c r="S25" s="313"/>
      <c r="T25" s="131"/>
      <c r="U25" s="131"/>
      <c r="V25" s="129"/>
    </row>
    <row r="26" spans="1:22" s="12" customFormat="1" ht="19.2" customHeight="1">
      <c r="A26" s="408">
        <v>46203</v>
      </c>
      <c r="B26" s="131" t="s">
        <v>1319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526">
        <v>0.18</v>
      </c>
      <c r="I26" s="129">
        <v>1035.8399999999999</v>
      </c>
      <c r="J26" s="129">
        <f t="shared" si="0"/>
        <v>93.2256</v>
      </c>
      <c r="K26" s="129">
        <f t="shared" si="1"/>
        <v>93.2256</v>
      </c>
      <c r="L26" s="129"/>
      <c r="M26" s="129">
        <f t="shared" si="2"/>
        <v>1222.2911999999999</v>
      </c>
      <c r="N26" s="161">
        <f>Table432[[#This Row],[Taxable Amount]]*1%</f>
        <v>50.75</v>
      </c>
      <c r="O26" s="132"/>
      <c r="P26" s="135"/>
      <c r="Q26" s="135"/>
      <c r="R26" s="132"/>
      <c r="S26" s="313"/>
      <c r="T26" s="131"/>
      <c r="U26" s="131"/>
      <c r="V26" s="129"/>
    </row>
    <row r="27" spans="1:22" s="12" customFormat="1" ht="19.2" customHeight="1">
      <c r="A27" s="408">
        <v>46203</v>
      </c>
      <c r="B27" s="131" t="s">
        <v>1320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526">
        <v>0.18</v>
      </c>
      <c r="I27" s="129">
        <v>972.76</v>
      </c>
      <c r="J27" s="129">
        <f t="shared" si="0"/>
        <v>87.548400000000001</v>
      </c>
      <c r="K27" s="129">
        <f t="shared" si="1"/>
        <v>87.548400000000001</v>
      </c>
      <c r="L27" s="129"/>
      <c r="M27" s="129">
        <f t="shared" si="2"/>
        <v>1147.8567999999998</v>
      </c>
      <c r="N27" s="161">
        <f>Table432[[#This Row],[Taxable Amount]]*1%</f>
        <v>82.8</v>
      </c>
      <c r="O27" s="132"/>
      <c r="P27" s="135"/>
      <c r="Q27" s="135"/>
      <c r="R27" s="132"/>
      <c r="S27" s="313"/>
      <c r="T27" s="131"/>
      <c r="U27" s="131"/>
      <c r="V27" s="129"/>
    </row>
    <row r="28" spans="1:22" s="12" customFormat="1" ht="19.2" customHeight="1">
      <c r="A28" s="408">
        <v>46203</v>
      </c>
      <c r="B28" s="131" t="s">
        <v>1321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526">
        <v>0.18</v>
      </c>
      <c r="I28" s="129">
        <v>930.43</v>
      </c>
      <c r="J28" s="129">
        <f t="shared" si="0"/>
        <v>83.738699999999994</v>
      </c>
      <c r="K28" s="129">
        <f t="shared" si="1"/>
        <v>83.738699999999994</v>
      </c>
      <c r="L28" s="129"/>
      <c r="M28" s="129">
        <f t="shared" si="2"/>
        <v>1097.9074000000001</v>
      </c>
      <c r="N28" s="161">
        <f>Table432[[#This Row],[Taxable Amount]]*1%</f>
        <v>50.75</v>
      </c>
      <c r="O28" s="132"/>
      <c r="P28" s="135"/>
      <c r="Q28" s="135"/>
      <c r="R28" s="132"/>
      <c r="S28" s="313"/>
      <c r="T28" s="131"/>
      <c r="U28" s="131"/>
      <c r="V28" s="129"/>
    </row>
    <row r="29" spans="1:22" s="12" customFormat="1" ht="19.2" customHeight="1">
      <c r="A29" s="408">
        <v>46203</v>
      </c>
      <c r="B29" s="131" t="s">
        <v>1322</v>
      </c>
      <c r="C29" s="131" t="s">
        <v>290</v>
      </c>
      <c r="D29" s="131" t="s">
        <v>291</v>
      </c>
      <c r="E29" s="131" t="s">
        <v>25</v>
      </c>
      <c r="F29" s="136" t="s">
        <v>26</v>
      </c>
      <c r="G29" s="136">
        <v>3808</v>
      </c>
      <c r="H29" s="526">
        <v>0.18</v>
      </c>
      <c r="I29" s="129">
        <v>4500</v>
      </c>
      <c r="J29" s="129">
        <f t="shared" si="0"/>
        <v>405</v>
      </c>
      <c r="K29" s="129">
        <f t="shared" si="1"/>
        <v>405</v>
      </c>
      <c r="L29" s="129"/>
      <c r="M29" s="129">
        <f t="shared" si="2"/>
        <v>5310</v>
      </c>
      <c r="N29" s="161">
        <f>Table432[[#This Row],[Taxable Amount]]*1%</f>
        <v>61.300000000000004</v>
      </c>
      <c r="O29" s="132"/>
      <c r="P29" s="135"/>
      <c r="Q29" s="135"/>
      <c r="R29" s="132"/>
      <c r="S29" s="313"/>
      <c r="T29" s="131"/>
      <c r="U29" s="131"/>
      <c r="V29" s="129"/>
    </row>
    <row r="30" spans="1:22" s="12" customFormat="1" ht="19.2" customHeight="1">
      <c r="A30" s="408">
        <v>46203</v>
      </c>
      <c r="B30" s="131" t="s">
        <v>1341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526">
        <v>0.18</v>
      </c>
      <c r="I30" s="129">
        <v>698.86</v>
      </c>
      <c r="J30" s="129">
        <f t="shared" si="0"/>
        <v>62.897399999999998</v>
      </c>
      <c r="K30" s="129">
        <f t="shared" si="1"/>
        <v>62.897399999999998</v>
      </c>
      <c r="L30" s="129"/>
      <c r="M30" s="129">
        <f t="shared" si="2"/>
        <v>824.65479999999991</v>
      </c>
      <c r="N30" s="161">
        <f>Table432[[#This Row],[Taxable Amount]]*1%</f>
        <v>50</v>
      </c>
      <c r="O30" s="132"/>
      <c r="P30" s="135"/>
      <c r="Q30" s="135"/>
      <c r="R30" s="132"/>
      <c r="S30" s="313"/>
      <c r="T30" s="131"/>
      <c r="U30" s="131"/>
      <c r="V30" s="129"/>
    </row>
    <row r="31" spans="1:22" s="12" customFormat="1" ht="19.2" customHeight="1">
      <c r="A31" s="408">
        <v>46203</v>
      </c>
      <c r="B31" s="131" t="s">
        <v>1323</v>
      </c>
      <c r="C31" s="131" t="s">
        <v>372</v>
      </c>
      <c r="D31" s="131" t="s">
        <v>794</v>
      </c>
      <c r="E31" s="131" t="s">
        <v>374</v>
      </c>
      <c r="F31" s="136" t="s">
        <v>26</v>
      </c>
      <c r="G31" s="136">
        <v>3808</v>
      </c>
      <c r="H31" s="526">
        <v>0.18</v>
      </c>
      <c r="I31" s="129">
        <v>2500</v>
      </c>
      <c r="J31" s="129">
        <f t="shared" si="0"/>
        <v>225</v>
      </c>
      <c r="K31" s="129">
        <f t="shared" si="1"/>
        <v>225</v>
      </c>
      <c r="L31" s="129"/>
      <c r="M31" s="129">
        <f t="shared" si="2"/>
        <v>2950</v>
      </c>
      <c r="N31" s="161">
        <f>Table432[[#This Row],[Taxable Amount]]*1%</f>
        <v>192.5</v>
      </c>
      <c r="O31" s="132"/>
      <c r="P31" s="135"/>
      <c r="Q31" s="135"/>
      <c r="R31" s="132"/>
      <c r="S31" s="313"/>
      <c r="T31" s="131"/>
      <c r="U31" s="131"/>
      <c r="V31" s="129"/>
    </row>
    <row r="32" spans="1:22" s="12" customFormat="1" ht="19.2" customHeight="1">
      <c r="A32" s="408">
        <v>46203</v>
      </c>
      <c r="B32" s="131" t="s">
        <v>1324</v>
      </c>
      <c r="C32" s="131" t="s">
        <v>372</v>
      </c>
      <c r="D32" s="131" t="s">
        <v>794</v>
      </c>
      <c r="E32" s="131" t="s">
        <v>374</v>
      </c>
      <c r="F32" s="136" t="s">
        <v>26</v>
      </c>
      <c r="G32" s="136">
        <v>3808</v>
      </c>
      <c r="H32" s="526">
        <v>0.18</v>
      </c>
      <c r="I32" s="129">
        <v>2500</v>
      </c>
      <c r="J32" s="129">
        <f t="shared" si="0"/>
        <v>225</v>
      </c>
      <c r="K32" s="129">
        <f t="shared" si="1"/>
        <v>225</v>
      </c>
      <c r="L32" s="129"/>
      <c r="M32" s="129">
        <f t="shared" si="2"/>
        <v>2950</v>
      </c>
      <c r="N32" s="161">
        <f>Table432[[#This Row],[Taxable Amount]]*1%</f>
        <v>39</v>
      </c>
      <c r="O32" s="132"/>
      <c r="P32" s="135"/>
      <c r="Q32" s="135"/>
      <c r="R32" s="132"/>
      <c r="S32" s="313"/>
      <c r="T32" s="131"/>
      <c r="U32" s="131"/>
      <c r="V32" s="129"/>
    </row>
    <row r="33" spans="1:22" s="12" customFormat="1" ht="19.2" customHeight="1">
      <c r="A33" s="408">
        <v>46203</v>
      </c>
      <c r="B33" s="131" t="s">
        <v>1325</v>
      </c>
      <c r="C33" s="131" t="s">
        <v>444</v>
      </c>
      <c r="D33" s="131" t="s">
        <v>445</v>
      </c>
      <c r="E33" s="131" t="s">
        <v>232</v>
      </c>
      <c r="F33" s="136" t="s">
        <v>26</v>
      </c>
      <c r="G33" s="136">
        <v>3808</v>
      </c>
      <c r="H33" s="526">
        <v>0.18</v>
      </c>
      <c r="I33" s="129">
        <v>6600</v>
      </c>
      <c r="J33" s="129">
        <f t="shared" si="0"/>
        <v>594</v>
      </c>
      <c r="K33" s="129">
        <f t="shared" si="1"/>
        <v>594</v>
      </c>
      <c r="L33" s="129"/>
      <c r="M33" s="129">
        <f t="shared" si="2"/>
        <v>7788</v>
      </c>
      <c r="N33" s="161">
        <f>Table432[[#This Row],[Taxable Amount]]*1%</f>
        <v>755.87</v>
      </c>
      <c r="O33" s="132"/>
      <c r="P33" s="135"/>
      <c r="Q33" s="135"/>
      <c r="R33" s="132"/>
      <c r="S33" s="313"/>
      <c r="T33" s="131"/>
      <c r="U33" s="131"/>
      <c r="V33" s="129"/>
    </row>
    <row r="34" spans="1:22" s="12" customFormat="1" ht="19.2" customHeight="1">
      <c r="A34" s="408">
        <v>46203</v>
      </c>
      <c r="B34" s="131" t="s">
        <v>1326</v>
      </c>
      <c r="C34" s="131" t="s">
        <v>1185</v>
      </c>
      <c r="D34" s="131" t="s">
        <v>1186</v>
      </c>
      <c r="E34" s="131" t="s">
        <v>36</v>
      </c>
      <c r="F34" s="136" t="s">
        <v>26</v>
      </c>
      <c r="G34" s="136">
        <v>3808</v>
      </c>
      <c r="H34" s="526">
        <v>0.18</v>
      </c>
      <c r="I34" s="129">
        <v>4400</v>
      </c>
      <c r="J34" s="129">
        <f t="shared" si="0"/>
        <v>396</v>
      </c>
      <c r="K34" s="129">
        <f t="shared" si="1"/>
        <v>396</v>
      </c>
      <c r="L34" s="129"/>
      <c r="M34" s="129">
        <f t="shared" si="2"/>
        <v>5192</v>
      </c>
      <c r="N34" s="161">
        <f>Table432[[#This Row],[Taxable Amount]]*1%</f>
        <v>755.87</v>
      </c>
      <c r="O34" s="132"/>
      <c r="P34" s="135"/>
      <c r="Q34" s="135"/>
      <c r="R34" s="132"/>
      <c r="S34" s="313"/>
      <c r="T34" s="131"/>
      <c r="U34" s="131"/>
      <c r="V34" s="129"/>
    </row>
    <row r="35" spans="1:22" s="12" customFormat="1" ht="19.2" customHeight="1">
      <c r="A35" s="408">
        <v>46203</v>
      </c>
      <c r="B35" s="131" t="s">
        <v>1327</v>
      </c>
      <c r="C35" s="131" t="s">
        <v>981</v>
      </c>
      <c r="D35" s="131" t="s">
        <v>982</v>
      </c>
      <c r="E35" s="131" t="s">
        <v>1053</v>
      </c>
      <c r="F35" s="136" t="s">
        <v>26</v>
      </c>
      <c r="G35" s="136">
        <v>3808</v>
      </c>
      <c r="H35" s="526">
        <v>0.18</v>
      </c>
      <c r="I35" s="129">
        <v>33200</v>
      </c>
      <c r="J35" s="129">
        <f t="shared" si="0"/>
        <v>2988</v>
      </c>
      <c r="K35" s="129">
        <f t="shared" si="1"/>
        <v>2988</v>
      </c>
      <c r="L35" s="129"/>
      <c r="M35" s="129">
        <f t="shared" si="2"/>
        <v>39176</v>
      </c>
      <c r="N35" s="161">
        <f>Table432[[#This Row],[Taxable Amount]]*1%</f>
        <v>86.5</v>
      </c>
      <c r="O35" s="132"/>
      <c r="P35" s="135"/>
      <c r="Q35" s="135"/>
      <c r="R35" s="132"/>
      <c r="S35" s="313"/>
      <c r="T35" s="131"/>
      <c r="U35" s="131"/>
      <c r="V35" s="129"/>
    </row>
    <row r="36" spans="1:22">
      <c r="A36" s="12"/>
      <c r="B36" s="12"/>
      <c r="C36" s="12"/>
      <c r="D36" s="12"/>
      <c r="E36" s="12"/>
      <c r="F36" s="136"/>
      <c r="G36" s="12"/>
      <c r="H36" s="12"/>
      <c r="I36" s="527">
        <v>313113.84000000003</v>
      </c>
      <c r="J36" s="528">
        <f t="shared" si="0"/>
        <v>28180.245600000002</v>
      </c>
      <c r="K36" s="528">
        <f t="shared" si="1"/>
        <v>28180.245600000002</v>
      </c>
      <c r="L36" s="528"/>
      <c r="M36" s="307">
        <f t="shared" si="2"/>
        <v>369474.33120000007</v>
      </c>
      <c r="N36" s="12"/>
    </row>
  </sheetData>
  <autoFilter ref="A1:R36" xr:uid="{687C9D5E-6398-4AC2-96FD-A0EC3A18024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3238-75C3-48B9-8B4D-367051528E6B}">
  <dimension ref="A1:DQ48"/>
  <sheetViews>
    <sheetView topLeftCell="A34" workbookViewId="0">
      <selection activeCell="J11" sqref="J11"/>
    </sheetView>
  </sheetViews>
  <sheetFormatPr defaultRowHeight="14.4"/>
  <cols>
    <col min="1" max="1" width="11.33203125" customWidth="1"/>
    <col min="2" max="2" width="17" customWidth="1"/>
    <col min="3" max="3" width="25.88671875" customWidth="1"/>
    <col min="4" max="4" width="17.33203125" customWidth="1"/>
    <col min="5" max="5" width="13" customWidth="1"/>
    <col min="6" max="6" width="7.109375" customWidth="1"/>
    <col min="7" max="7" width="7.44140625" customWidth="1"/>
    <col min="8" max="8" width="6.6640625" customWidth="1"/>
    <col min="17" max="17" width="11.3320312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 t="s">
        <v>1196</v>
      </c>
      <c r="X1" s="50" t="s">
        <v>1259</v>
      </c>
      <c r="Y1" t="s">
        <v>1260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ht="19.95" customHeight="1">
      <c r="A2" s="78">
        <v>45449</v>
      </c>
      <c r="B2" s="31" t="s">
        <v>318</v>
      </c>
      <c r="C2" s="32" t="s">
        <v>319</v>
      </c>
      <c r="D2" s="31" t="s">
        <v>320</v>
      </c>
      <c r="E2" s="31" t="s">
        <v>59</v>
      </c>
      <c r="F2" s="33" t="s">
        <v>37</v>
      </c>
      <c r="G2" s="34">
        <v>998531</v>
      </c>
      <c r="H2" s="23">
        <v>0.18</v>
      </c>
      <c r="I2" s="42">
        <v>29770</v>
      </c>
      <c r="J2" s="42">
        <v>2679.3</v>
      </c>
      <c r="K2" s="42">
        <v>2679.3</v>
      </c>
      <c r="L2" s="43"/>
      <c r="M2" s="44">
        <v>35128.6</v>
      </c>
      <c r="N2" s="142">
        <v>297.7</v>
      </c>
      <c r="O2" s="152">
        <v>0</v>
      </c>
      <c r="P2" s="202">
        <v>74032</v>
      </c>
      <c r="Q2" s="73"/>
      <c r="R2" s="198" t="s">
        <v>243</v>
      </c>
      <c r="S2" s="138">
        <v>-39201.1</v>
      </c>
      <c r="T2" s="63"/>
      <c r="U2" s="31"/>
      <c r="V2" s="41">
        <v>-39201.1</v>
      </c>
      <c r="W2" s="50"/>
      <c r="X2" s="50"/>
    </row>
    <row r="3" spans="1:121" s="481" customFormat="1" ht="19.95" customHeight="1">
      <c r="A3" s="493">
        <v>45736</v>
      </c>
      <c r="B3" s="482" t="s">
        <v>565</v>
      </c>
      <c r="C3" s="482" t="s">
        <v>319</v>
      </c>
      <c r="D3" s="482" t="s">
        <v>320</v>
      </c>
      <c r="E3" s="482" t="s">
        <v>59</v>
      </c>
      <c r="F3" s="486" t="s">
        <v>26</v>
      </c>
      <c r="G3" s="494">
        <v>998531</v>
      </c>
      <c r="H3" s="470">
        <v>0.18</v>
      </c>
      <c r="I3" s="487">
        <v>19500</v>
      </c>
      <c r="J3" s="487">
        <v>1755</v>
      </c>
      <c r="K3" s="487">
        <v>1755</v>
      </c>
      <c r="L3" s="480"/>
      <c r="M3" s="495">
        <v>23010</v>
      </c>
      <c r="N3" s="496">
        <v>195</v>
      </c>
      <c r="O3" s="489">
        <v>0</v>
      </c>
      <c r="P3" s="497">
        <v>22814</v>
      </c>
      <c r="Q3" s="491">
        <v>45777</v>
      </c>
      <c r="R3" s="492" t="s">
        <v>473</v>
      </c>
      <c r="S3" s="479">
        <v>1</v>
      </c>
      <c r="T3" s="498"/>
      <c r="U3" s="482"/>
      <c r="V3" s="480">
        <v>1</v>
      </c>
      <c r="W3" s="499"/>
      <c r="X3" s="499"/>
    </row>
    <row r="4" spans="1:121" s="481" customFormat="1" ht="19.95" customHeight="1">
      <c r="A4" s="493">
        <v>45777</v>
      </c>
      <c r="B4" s="482" t="s">
        <v>626</v>
      </c>
      <c r="C4" s="482" t="s">
        <v>319</v>
      </c>
      <c r="D4" s="482" t="s">
        <v>320</v>
      </c>
      <c r="E4" s="482" t="s">
        <v>59</v>
      </c>
      <c r="F4" s="486" t="s">
        <v>26</v>
      </c>
      <c r="G4" s="494">
        <v>998531</v>
      </c>
      <c r="H4" s="470">
        <v>0.18</v>
      </c>
      <c r="I4" s="487">
        <v>38450</v>
      </c>
      <c r="J4" s="487">
        <v>3460.5</v>
      </c>
      <c r="K4" s="487">
        <v>3460.5</v>
      </c>
      <c r="L4" s="480"/>
      <c r="M4" s="495">
        <v>45371</v>
      </c>
      <c r="N4" s="496">
        <v>384.5</v>
      </c>
      <c r="O4" s="489">
        <v>0</v>
      </c>
      <c r="P4" s="497">
        <v>44986</v>
      </c>
      <c r="Q4" s="491">
        <v>45820</v>
      </c>
      <c r="R4" s="510" t="s">
        <v>541</v>
      </c>
      <c r="S4" s="479">
        <v>0.5</v>
      </c>
      <c r="T4" s="509"/>
      <c r="U4" s="491"/>
      <c r="V4" s="480">
        <v>0.5</v>
      </c>
      <c r="W4" s="499"/>
      <c r="X4" s="499"/>
    </row>
    <row r="5" spans="1:121" s="481" customFormat="1" ht="19.95" customHeight="1">
      <c r="A5" s="493">
        <v>45808</v>
      </c>
      <c r="B5" s="482" t="s">
        <v>663</v>
      </c>
      <c r="C5" s="482" t="s">
        <v>319</v>
      </c>
      <c r="D5" s="482" t="s">
        <v>320</v>
      </c>
      <c r="E5" s="482" t="s">
        <v>59</v>
      </c>
      <c r="F5" s="486" t="s">
        <v>26</v>
      </c>
      <c r="G5" s="494">
        <v>998531</v>
      </c>
      <c r="H5" s="470">
        <v>0.18</v>
      </c>
      <c r="I5" s="487">
        <v>25775</v>
      </c>
      <c r="J5" s="487">
        <v>2319.75</v>
      </c>
      <c r="K5" s="487">
        <v>2319.75</v>
      </c>
      <c r="L5" s="480"/>
      <c r="M5" s="495">
        <v>30414.5</v>
      </c>
      <c r="N5" s="496">
        <v>257.75</v>
      </c>
      <c r="O5" s="489">
        <v>0</v>
      </c>
      <c r="P5" s="497">
        <v>30156</v>
      </c>
      <c r="Q5" s="491">
        <v>45820</v>
      </c>
      <c r="R5" s="492" t="s">
        <v>613</v>
      </c>
      <c r="S5" s="479">
        <v>0.75</v>
      </c>
      <c r="T5" s="509"/>
      <c r="U5" s="491"/>
      <c r="V5" s="480">
        <v>0.75</v>
      </c>
      <c r="W5" s="499"/>
      <c r="X5" s="499"/>
    </row>
    <row r="6" spans="1:121" s="11" customFormat="1" ht="19.95" customHeight="1">
      <c r="A6" s="86">
        <v>45838</v>
      </c>
      <c r="B6" s="7" t="s">
        <v>705</v>
      </c>
      <c r="C6" s="7" t="s">
        <v>319</v>
      </c>
      <c r="D6" s="7" t="s">
        <v>320</v>
      </c>
      <c r="E6" s="7" t="s">
        <v>59</v>
      </c>
      <c r="F6" s="5" t="s">
        <v>26</v>
      </c>
      <c r="G6" s="85">
        <v>998531</v>
      </c>
      <c r="H6" s="221">
        <v>0.18</v>
      </c>
      <c r="I6" s="95">
        <v>34750</v>
      </c>
      <c r="J6" s="95">
        <v>3127.5</v>
      </c>
      <c r="K6" s="95">
        <v>3127.5</v>
      </c>
      <c r="L6" s="7"/>
      <c r="M6" s="94">
        <v>41005</v>
      </c>
      <c r="N6" s="155">
        <v>347.5</v>
      </c>
      <c r="O6" s="182"/>
      <c r="P6" s="110"/>
      <c r="Q6" s="110"/>
      <c r="R6" s="116" t="s">
        <v>413</v>
      </c>
      <c r="S6" s="93">
        <v>40657.5</v>
      </c>
      <c r="T6" s="99"/>
      <c r="U6" s="7"/>
      <c r="V6" s="70">
        <v>40657.5</v>
      </c>
      <c r="W6" s="211"/>
      <c r="X6" s="2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</row>
    <row r="7" spans="1:121" s="481" customFormat="1" ht="19.95" customHeight="1">
      <c r="A7" s="485">
        <v>45869</v>
      </c>
      <c r="B7" s="482" t="s">
        <v>745</v>
      </c>
      <c r="C7" s="482" t="s">
        <v>319</v>
      </c>
      <c r="D7" s="482" t="s">
        <v>320</v>
      </c>
      <c r="E7" s="482" t="s">
        <v>59</v>
      </c>
      <c r="F7" s="486" t="s">
        <v>26</v>
      </c>
      <c r="G7" s="486">
        <v>998531</v>
      </c>
      <c r="H7" s="470">
        <v>0.18</v>
      </c>
      <c r="I7" s="487">
        <v>38750</v>
      </c>
      <c r="J7" s="487">
        <v>3487.5</v>
      </c>
      <c r="K7" s="487">
        <v>3487.5</v>
      </c>
      <c r="L7" s="487"/>
      <c r="M7" s="487">
        <v>45725</v>
      </c>
      <c r="N7" s="488">
        <v>387.5</v>
      </c>
      <c r="O7" s="512"/>
      <c r="P7" s="490">
        <v>45337</v>
      </c>
      <c r="Q7" s="491">
        <v>45895</v>
      </c>
      <c r="R7" s="492" t="s">
        <v>708</v>
      </c>
      <c r="S7" s="479">
        <v>0.5</v>
      </c>
      <c r="T7" s="498"/>
      <c r="U7" s="482"/>
      <c r="V7" s="480">
        <v>0.5</v>
      </c>
      <c r="W7" s="499"/>
      <c r="X7" s="499"/>
    </row>
    <row r="8" spans="1:121" s="10" customFormat="1" ht="19.95" customHeight="1">
      <c r="A8" s="92">
        <v>45900</v>
      </c>
      <c r="B8" s="7" t="s">
        <v>779</v>
      </c>
      <c r="C8" s="7" t="s">
        <v>319</v>
      </c>
      <c r="D8" s="7" t="s">
        <v>320</v>
      </c>
      <c r="E8" s="7" t="s">
        <v>59</v>
      </c>
      <c r="F8" s="5" t="s">
        <v>26</v>
      </c>
      <c r="G8" s="5">
        <v>998531</v>
      </c>
      <c r="H8" s="221">
        <v>0.18</v>
      </c>
      <c r="I8" s="69">
        <v>25450</v>
      </c>
      <c r="J8" s="69">
        <v>2290.5</v>
      </c>
      <c r="K8" s="69">
        <v>2290.5</v>
      </c>
      <c r="L8" s="69"/>
      <c r="M8" s="69">
        <v>30031</v>
      </c>
      <c r="N8" s="110">
        <v>254.5</v>
      </c>
      <c r="O8" s="182"/>
      <c r="P8" s="102"/>
      <c r="Q8" s="97"/>
      <c r="R8" s="118" t="s">
        <v>752</v>
      </c>
      <c r="S8" s="93">
        <v>29776.5</v>
      </c>
      <c r="T8" s="7"/>
      <c r="U8" s="7"/>
      <c r="V8" s="70">
        <v>29776.5</v>
      </c>
    </row>
    <row r="9" spans="1:121" s="481" customFormat="1" ht="19.95" customHeight="1">
      <c r="A9" s="485">
        <v>45930</v>
      </c>
      <c r="B9" s="482" t="s">
        <v>822</v>
      </c>
      <c r="C9" s="482" t="s">
        <v>319</v>
      </c>
      <c r="D9" s="482" t="s">
        <v>320</v>
      </c>
      <c r="E9" s="482" t="s">
        <v>59</v>
      </c>
      <c r="F9" s="486" t="s">
        <v>26</v>
      </c>
      <c r="G9" s="486">
        <v>998531</v>
      </c>
      <c r="H9" s="470">
        <v>0.18</v>
      </c>
      <c r="I9" s="487">
        <v>26100</v>
      </c>
      <c r="J9" s="487">
        <v>2349</v>
      </c>
      <c r="K9" s="487">
        <v>2349</v>
      </c>
      <c r="L9" s="480"/>
      <c r="M9" s="480">
        <v>30798</v>
      </c>
      <c r="N9" s="488">
        <v>261</v>
      </c>
      <c r="O9" s="489"/>
      <c r="P9" s="490">
        <v>30537</v>
      </c>
      <c r="Q9" s="491">
        <v>45999</v>
      </c>
      <c r="R9" s="492" t="s">
        <v>879</v>
      </c>
      <c r="S9" s="479">
        <v>0</v>
      </c>
      <c r="T9" s="482"/>
      <c r="U9" s="482"/>
      <c r="V9" s="480">
        <v>0</v>
      </c>
    </row>
    <row r="10" spans="1:121" s="10" customFormat="1" ht="20.399999999999999" customHeight="1">
      <c r="A10" s="220">
        <v>45961</v>
      </c>
      <c r="B10" s="7" t="s">
        <v>864</v>
      </c>
      <c r="C10" s="7" t="s">
        <v>319</v>
      </c>
      <c r="D10" s="7" t="s">
        <v>320</v>
      </c>
      <c r="E10" s="7" t="s">
        <v>59</v>
      </c>
      <c r="F10" s="5" t="s">
        <v>26</v>
      </c>
      <c r="G10" s="5">
        <v>998531</v>
      </c>
      <c r="H10" s="221">
        <v>0.18</v>
      </c>
      <c r="I10" s="218">
        <v>33000</v>
      </c>
      <c r="J10" s="218">
        <v>2970</v>
      </c>
      <c r="K10" s="218">
        <v>2970</v>
      </c>
      <c r="L10" s="301"/>
      <c r="M10" s="301">
        <v>38940</v>
      </c>
      <c r="N10" s="215">
        <v>330</v>
      </c>
      <c r="O10" s="302"/>
      <c r="P10" s="303"/>
      <c r="Q10" s="303"/>
      <c r="R10" s="304" t="s">
        <v>882</v>
      </c>
      <c r="S10" s="93">
        <v>38610</v>
      </c>
      <c r="T10" s="122"/>
      <c r="U10" s="122"/>
      <c r="V10" s="70">
        <v>38610</v>
      </c>
    </row>
    <row r="11" spans="1:121" s="477" customFormat="1" ht="19.95" customHeight="1">
      <c r="A11" s="466">
        <v>45986</v>
      </c>
      <c r="B11" s="482" t="s">
        <v>916</v>
      </c>
      <c r="C11" s="468" t="s">
        <v>319</v>
      </c>
      <c r="D11" s="468" t="s">
        <v>320</v>
      </c>
      <c r="E11" s="468" t="s">
        <v>59</v>
      </c>
      <c r="F11" s="469" t="s">
        <v>26</v>
      </c>
      <c r="G11" s="469">
        <v>998531</v>
      </c>
      <c r="H11" s="470">
        <v>0.18</v>
      </c>
      <c r="I11" s="471">
        <v>28950</v>
      </c>
      <c r="J11" s="483">
        <v>2605.5</v>
      </c>
      <c r="K11" s="471">
        <v>2605.5</v>
      </c>
      <c r="L11" s="472"/>
      <c r="M11" s="472">
        <v>34161</v>
      </c>
      <c r="N11" s="473">
        <v>290</v>
      </c>
      <c r="O11" s="484"/>
      <c r="P11" s="475">
        <v>33871</v>
      </c>
      <c r="Q11" s="478">
        <v>45999</v>
      </c>
      <c r="R11" s="474" t="s">
        <v>959</v>
      </c>
      <c r="S11" s="479">
        <v>0</v>
      </c>
      <c r="T11" s="468"/>
      <c r="U11" s="468"/>
      <c r="V11" s="480">
        <v>0</v>
      </c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  <c r="CJ11" s="481"/>
      <c r="CK11" s="481"/>
      <c r="CL11" s="481"/>
      <c r="CM11" s="481"/>
      <c r="CN11" s="481"/>
      <c r="CO11" s="481"/>
      <c r="CP11" s="481"/>
      <c r="CQ11" s="481"/>
      <c r="CR11" s="481"/>
      <c r="CS11" s="481"/>
      <c r="CT11" s="481"/>
      <c r="CU11" s="481"/>
      <c r="CV11" s="481"/>
      <c r="CW11" s="481"/>
      <c r="CX11" s="481"/>
      <c r="CY11" s="481"/>
      <c r="CZ11" s="481"/>
      <c r="DA11" s="481"/>
      <c r="DB11" s="481"/>
      <c r="DC11" s="481"/>
      <c r="DD11" s="481"/>
      <c r="DE11" s="481"/>
      <c r="DF11" s="481"/>
      <c r="DG11" s="481"/>
      <c r="DH11" s="481"/>
      <c r="DI11" s="481"/>
      <c r="DJ11" s="481"/>
      <c r="DK11" s="481"/>
      <c r="DL11" s="481"/>
      <c r="DM11" s="481"/>
      <c r="DN11" s="481"/>
      <c r="DO11" s="481"/>
      <c r="DP11" s="481"/>
      <c r="DQ11" s="481"/>
    </row>
    <row r="12" spans="1:121" s="477" customFormat="1" ht="19.95" customHeight="1">
      <c r="A12" s="466">
        <v>46016</v>
      </c>
      <c r="B12" s="482" t="s">
        <v>979</v>
      </c>
      <c r="C12" s="468" t="s">
        <v>319</v>
      </c>
      <c r="D12" s="468" t="s">
        <v>320</v>
      </c>
      <c r="E12" s="468" t="s">
        <v>59</v>
      </c>
      <c r="F12" s="469" t="s">
        <v>26</v>
      </c>
      <c r="G12" s="469">
        <v>998531</v>
      </c>
      <c r="H12" s="470">
        <v>0.18</v>
      </c>
      <c r="I12" s="471">
        <v>28200</v>
      </c>
      <c r="J12" s="483">
        <v>2538</v>
      </c>
      <c r="K12" s="471">
        <v>2538</v>
      </c>
      <c r="L12" s="472"/>
      <c r="M12" s="472">
        <v>33276</v>
      </c>
      <c r="N12" s="473">
        <v>282</v>
      </c>
      <c r="O12" s="484"/>
      <c r="P12" s="475">
        <v>32994</v>
      </c>
      <c r="Q12" s="478">
        <v>46032</v>
      </c>
      <c r="R12" s="474" t="s">
        <v>1160</v>
      </c>
      <c r="S12" s="479">
        <v>0</v>
      </c>
      <c r="T12" s="468"/>
      <c r="U12" s="468"/>
      <c r="V12" s="480">
        <v>0</v>
      </c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  <c r="AO12" s="481"/>
      <c r="AP12" s="481"/>
      <c r="AQ12" s="481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  <c r="BJ12" s="481"/>
      <c r="BK12" s="481"/>
      <c r="BL12" s="481"/>
      <c r="BM12" s="481"/>
      <c r="BN12" s="481"/>
      <c r="BO12" s="481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1"/>
    </row>
    <row r="13" spans="1:121" s="11" customFormat="1" ht="19.95" customHeight="1">
      <c r="A13" s="226">
        <v>46016</v>
      </c>
      <c r="B13" s="7" t="s">
        <v>980</v>
      </c>
      <c r="C13" s="163" t="s">
        <v>319</v>
      </c>
      <c r="D13" s="163" t="s">
        <v>320</v>
      </c>
      <c r="E13" s="163" t="s">
        <v>59</v>
      </c>
      <c r="F13" s="137" t="s">
        <v>37</v>
      </c>
      <c r="G13" s="137">
        <v>998531</v>
      </c>
      <c r="H13" s="221">
        <v>0.18</v>
      </c>
      <c r="I13" s="214">
        <v>29770</v>
      </c>
      <c r="J13" s="229">
        <v>2679.3</v>
      </c>
      <c r="K13" s="214">
        <v>2679.3</v>
      </c>
      <c r="L13" s="222"/>
      <c r="M13" s="222">
        <v>35128.6</v>
      </c>
      <c r="N13" s="216"/>
      <c r="O13" s="223"/>
      <c r="P13" s="224"/>
      <c r="Q13" s="228"/>
      <c r="R13" s="225" t="s">
        <v>1160</v>
      </c>
      <c r="S13" s="93">
        <v>35128.6</v>
      </c>
      <c r="T13" s="163"/>
      <c r="U13" s="163"/>
      <c r="V13" s="70">
        <v>35128.6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</row>
    <row r="14" spans="1:121" s="477" customFormat="1" ht="19.95" customHeight="1">
      <c r="A14" s="466">
        <v>46049</v>
      </c>
      <c r="B14" s="468" t="s">
        <v>1050</v>
      </c>
      <c r="C14" s="468" t="s">
        <v>319</v>
      </c>
      <c r="D14" s="468" t="s">
        <v>320</v>
      </c>
      <c r="E14" s="468" t="s">
        <v>59</v>
      </c>
      <c r="F14" s="469" t="s">
        <v>26</v>
      </c>
      <c r="G14" s="469">
        <v>998531</v>
      </c>
      <c r="H14" s="470">
        <v>0.18</v>
      </c>
      <c r="I14" s="471">
        <v>27450</v>
      </c>
      <c r="J14" s="471">
        <v>2470.5</v>
      </c>
      <c r="K14" s="471">
        <v>2470.5</v>
      </c>
      <c r="L14" s="472"/>
      <c r="M14" s="472">
        <v>32391</v>
      </c>
      <c r="N14" s="473">
        <v>274.5</v>
      </c>
      <c r="O14" s="474"/>
      <c r="P14" s="475">
        <v>32116</v>
      </c>
      <c r="Q14" s="478">
        <v>46062</v>
      </c>
      <c r="R14" s="474" t="s">
        <v>1161</v>
      </c>
      <c r="S14" s="479">
        <v>0.5</v>
      </c>
      <c r="T14" s="468"/>
      <c r="U14" s="468"/>
      <c r="V14" s="480">
        <v>0.5</v>
      </c>
      <c r="W14" s="481"/>
      <c r="X14" s="481"/>
      <c r="Y14" s="481"/>
      <c r="Z14" s="481"/>
      <c r="AA14" s="481"/>
      <c r="AB14" s="481"/>
      <c r="AC14" s="481"/>
      <c r="AD14" s="481"/>
      <c r="AE14" s="481"/>
      <c r="AF14" s="481"/>
      <c r="AG14" s="481"/>
      <c r="AH14" s="481"/>
      <c r="AI14" s="481"/>
      <c r="AJ14" s="481"/>
      <c r="AK14" s="481"/>
      <c r="AL14" s="481"/>
      <c r="AM14" s="481"/>
      <c r="AN14" s="481"/>
      <c r="AO14" s="481"/>
      <c r="AP14" s="481"/>
      <c r="AQ14" s="481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  <c r="BZ14" s="481"/>
      <c r="CA14" s="481"/>
      <c r="CB14" s="481"/>
      <c r="CC14" s="481"/>
      <c r="CD14" s="481"/>
      <c r="CE14" s="481"/>
      <c r="CF14" s="481"/>
      <c r="CG14" s="481"/>
      <c r="CH14" s="481"/>
      <c r="CI14" s="481"/>
      <c r="CJ14" s="481"/>
      <c r="CK14" s="481"/>
      <c r="CL14" s="481"/>
      <c r="CM14" s="481"/>
      <c r="CN14" s="481"/>
      <c r="CO14" s="481"/>
      <c r="CP14" s="481"/>
      <c r="CQ14" s="481"/>
      <c r="CR14" s="481"/>
      <c r="CS14" s="481"/>
      <c r="CT14" s="481"/>
      <c r="CU14" s="481"/>
      <c r="CV14" s="481"/>
      <c r="CW14" s="481"/>
      <c r="CX14" s="481"/>
      <c r="CY14" s="481"/>
      <c r="CZ14" s="481"/>
      <c r="DA14" s="481"/>
      <c r="DB14" s="481"/>
      <c r="DC14" s="481"/>
      <c r="DD14" s="481"/>
      <c r="DE14" s="481"/>
      <c r="DF14" s="481"/>
      <c r="DG14" s="481"/>
      <c r="DH14" s="481"/>
      <c r="DI14" s="481"/>
      <c r="DJ14" s="481"/>
      <c r="DK14" s="481"/>
      <c r="DL14" s="481"/>
      <c r="DM14" s="481"/>
      <c r="DN14" s="481"/>
      <c r="DO14" s="481"/>
      <c r="DP14" s="481"/>
      <c r="DQ14" s="481"/>
    </row>
    <row r="15" spans="1:121" s="12" customFormat="1" ht="19.95" customHeight="1">
      <c r="A15" s="128">
        <v>46078</v>
      </c>
      <c r="B15" s="131" t="s">
        <v>1113</v>
      </c>
      <c r="C15" s="131" t="s">
        <v>319</v>
      </c>
      <c r="D15" s="131" t="s">
        <v>320</v>
      </c>
      <c r="E15" s="131" t="s">
        <v>59</v>
      </c>
      <c r="F15" s="136" t="s">
        <v>26</v>
      </c>
      <c r="G15" s="136">
        <v>3808</v>
      </c>
      <c r="H15" s="23">
        <v>0.18</v>
      </c>
      <c r="I15" s="129">
        <v>34500</v>
      </c>
      <c r="J15" s="129">
        <v>3105</v>
      </c>
      <c r="K15" s="129">
        <v>3105</v>
      </c>
      <c r="L15" s="130"/>
      <c r="M15" s="130">
        <v>40710</v>
      </c>
      <c r="N15" s="161">
        <v>345</v>
      </c>
      <c r="O15" s="132"/>
      <c r="P15" s="135"/>
      <c r="Q15" s="135"/>
      <c r="R15" s="132" t="s">
        <v>1162</v>
      </c>
      <c r="S15" s="93">
        <v>40365</v>
      </c>
      <c r="T15" s="131"/>
      <c r="U15" s="131"/>
      <c r="V15" s="41">
        <v>40365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477" customFormat="1" ht="19.95" customHeight="1">
      <c r="A16" s="466">
        <v>46105</v>
      </c>
      <c r="B16" s="468" t="s">
        <v>1147</v>
      </c>
      <c r="C16" s="468" t="s">
        <v>319</v>
      </c>
      <c r="D16" s="468" t="s">
        <v>320</v>
      </c>
      <c r="E16" s="468" t="s">
        <v>59</v>
      </c>
      <c r="F16" s="469" t="s">
        <v>26</v>
      </c>
      <c r="G16" s="469">
        <v>3808</v>
      </c>
      <c r="H16" s="470">
        <v>0.18</v>
      </c>
      <c r="I16" s="471">
        <v>23825</v>
      </c>
      <c r="J16" s="471">
        <v>2144.25</v>
      </c>
      <c r="K16" s="471">
        <v>2144.25</v>
      </c>
      <c r="L16" s="472"/>
      <c r="M16" s="472">
        <v>28113.5</v>
      </c>
      <c r="N16" s="473">
        <v>238.25</v>
      </c>
      <c r="O16" s="474"/>
      <c r="P16" s="475">
        <v>27874</v>
      </c>
      <c r="Q16" s="478">
        <v>46125</v>
      </c>
      <c r="R16" s="474" t="s">
        <v>1263</v>
      </c>
      <c r="S16" s="479">
        <v>1.25</v>
      </c>
      <c r="T16" s="468"/>
      <c r="U16" s="468"/>
      <c r="V16" s="480">
        <v>1.25</v>
      </c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  <c r="AO16" s="481"/>
      <c r="AP16" s="481"/>
      <c r="AQ16" s="481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81"/>
      <c r="BI16" s="481"/>
      <c r="BJ16" s="481"/>
      <c r="BK16" s="481"/>
      <c r="BL16" s="481"/>
      <c r="BM16" s="481"/>
      <c r="BN16" s="481"/>
      <c r="BO16" s="481"/>
      <c r="BP16" s="481"/>
      <c r="BQ16" s="481"/>
      <c r="BR16" s="481"/>
      <c r="BS16" s="481"/>
      <c r="BT16" s="481"/>
      <c r="BU16" s="481"/>
      <c r="BV16" s="481"/>
      <c r="BW16" s="481"/>
      <c r="BX16" s="481"/>
      <c r="BY16" s="481"/>
      <c r="BZ16" s="481"/>
      <c r="CA16" s="481"/>
      <c r="CB16" s="481"/>
      <c r="CC16" s="481"/>
      <c r="CD16" s="481"/>
      <c r="CE16" s="481"/>
      <c r="CF16" s="481"/>
      <c r="CG16" s="481"/>
      <c r="CH16" s="481"/>
      <c r="CI16" s="481"/>
      <c r="CJ16" s="481"/>
      <c r="CK16" s="481"/>
      <c r="CL16" s="481"/>
      <c r="CM16" s="481"/>
      <c r="CN16" s="481"/>
      <c r="CO16" s="481"/>
      <c r="CP16" s="481"/>
      <c r="CQ16" s="481"/>
      <c r="CR16" s="481"/>
      <c r="CS16" s="481"/>
      <c r="CT16" s="481"/>
      <c r="CU16" s="481"/>
      <c r="CV16" s="481"/>
      <c r="CW16" s="481"/>
      <c r="CX16" s="481"/>
      <c r="CY16" s="481"/>
      <c r="CZ16" s="481"/>
      <c r="DA16" s="481"/>
      <c r="DB16" s="481"/>
      <c r="DC16" s="481"/>
      <c r="DD16" s="481"/>
      <c r="DE16" s="481"/>
      <c r="DF16" s="481"/>
      <c r="DG16" s="481"/>
      <c r="DH16" s="481"/>
      <c r="DI16" s="481"/>
      <c r="DJ16" s="481"/>
      <c r="DK16" s="481"/>
      <c r="DL16" s="481"/>
      <c r="DM16" s="481"/>
      <c r="DN16" s="481"/>
      <c r="DO16" s="481"/>
      <c r="DP16" s="481"/>
      <c r="DQ16" s="481"/>
    </row>
    <row r="17" spans="1:121" s="12" customFormat="1" ht="19.95" customHeight="1">
      <c r="A17" s="128">
        <v>46136</v>
      </c>
      <c r="B17" s="131" t="s">
        <v>1212</v>
      </c>
      <c r="C17" s="131" t="s">
        <v>319</v>
      </c>
      <c r="D17" s="131" t="s">
        <v>320</v>
      </c>
      <c r="E17" s="131" t="s">
        <v>59</v>
      </c>
      <c r="F17" s="136" t="s">
        <v>26</v>
      </c>
      <c r="G17" s="136">
        <v>3808</v>
      </c>
      <c r="H17" s="23">
        <v>0.18</v>
      </c>
      <c r="I17" s="129">
        <v>27450</v>
      </c>
      <c r="J17" s="129">
        <v>2470.5</v>
      </c>
      <c r="K17" s="129">
        <v>2470.5</v>
      </c>
      <c r="L17" s="130"/>
      <c r="M17" s="130">
        <v>32391</v>
      </c>
      <c r="N17" s="161">
        <v>274.5</v>
      </c>
      <c r="O17" s="132"/>
      <c r="P17" s="135"/>
      <c r="Q17" s="135"/>
      <c r="R17" s="132" t="s">
        <v>1264</v>
      </c>
      <c r="S17" s="138">
        <v>32116.5</v>
      </c>
      <c r="T17" s="131"/>
      <c r="U17" s="131"/>
      <c r="V17" s="41">
        <v>32116.5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477" customFormat="1" ht="19.2" customHeight="1">
      <c r="A18" s="466">
        <v>46167</v>
      </c>
      <c r="B18" s="467" t="s">
        <v>1271</v>
      </c>
      <c r="C18" s="468" t="s">
        <v>319</v>
      </c>
      <c r="D18" s="468" t="s">
        <v>320</v>
      </c>
      <c r="E18" s="468" t="s">
        <v>59</v>
      </c>
      <c r="F18" s="469" t="s">
        <v>26</v>
      </c>
      <c r="G18" s="469">
        <v>3808</v>
      </c>
      <c r="H18" s="470">
        <v>0.18</v>
      </c>
      <c r="I18" s="471">
        <v>16875</v>
      </c>
      <c r="J18" s="471">
        <v>1518.75</v>
      </c>
      <c r="K18" s="471">
        <v>1518.75</v>
      </c>
      <c r="L18" s="472"/>
      <c r="M18" s="472">
        <v>19912.5</v>
      </c>
      <c r="N18" s="473">
        <v>168.75</v>
      </c>
      <c r="O18" s="474"/>
      <c r="P18" s="475">
        <v>19743</v>
      </c>
      <c r="Q18" s="478">
        <v>46184</v>
      </c>
      <c r="R18" s="474"/>
      <c r="S18" s="476">
        <v>0.75</v>
      </c>
      <c r="T18" s="468"/>
      <c r="U18" s="468"/>
      <c r="V18" s="471">
        <v>0.75</v>
      </c>
    </row>
    <row r="20" spans="1:121" s="12" customFormat="1" ht="24.6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72" t="s">
        <v>14</v>
      </c>
      <c r="P20" s="46" t="s">
        <v>15</v>
      </c>
      <c r="Q20" s="46" t="s">
        <v>16</v>
      </c>
      <c r="R20" s="187" t="s">
        <v>17</v>
      </c>
      <c r="S20" s="47" t="s">
        <v>18</v>
      </c>
      <c r="T20" s="48" t="s">
        <v>19</v>
      </c>
      <c r="U20" s="46" t="s">
        <v>20</v>
      </c>
      <c r="V20" s="207" t="s">
        <v>21</v>
      </c>
      <c r="W20" s="50" t="s">
        <v>1196</v>
      </c>
      <c r="X20" s="50" t="s">
        <v>1259</v>
      </c>
      <c r="Y20" t="s">
        <v>1260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 s="14" customFormat="1" ht="19.95" customHeight="1">
      <c r="A21" s="30">
        <v>45504</v>
      </c>
      <c r="B21" s="31" t="s">
        <v>360</v>
      </c>
      <c r="C21" s="31" t="s">
        <v>319</v>
      </c>
      <c r="D21" s="31" t="s">
        <v>320</v>
      </c>
      <c r="E21" s="31" t="s">
        <v>85</v>
      </c>
      <c r="F21" s="33" t="s">
        <v>26</v>
      </c>
      <c r="G21" s="34">
        <v>998531</v>
      </c>
      <c r="H21" s="23">
        <v>0.18</v>
      </c>
      <c r="I21" s="42">
        <v>8800</v>
      </c>
      <c r="J21" s="42">
        <v>792</v>
      </c>
      <c r="K21" s="42">
        <v>792</v>
      </c>
      <c r="L21" s="42"/>
      <c r="M21" s="44">
        <v>10384</v>
      </c>
      <c r="N21" s="142">
        <v>88</v>
      </c>
      <c r="O21" s="179">
        <v>0</v>
      </c>
      <c r="P21" s="154">
        <v>0</v>
      </c>
      <c r="Q21" s="73"/>
      <c r="R21" s="198" t="s">
        <v>243</v>
      </c>
      <c r="S21" s="138">
        <v>10296</v>
      </c>
      <c r="T21" s="63"/>
      <c r="U21" s="31"/>
      <c r="V21" s="41">
        <v>10296</v>
      </c>
      <c r="W21" s="209"/>
      <c r="X21" s="209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</row>
    <row r="22" spans="1:121" s="11" customFormat="1" ht="19.95" customHeight="1">
      <c r="A22" s="30">
        <v>45535</v>
      </c>
      <c r="B22" s="31" t="s">
        <v>383</v>
      </c>
      <c r="C22" s="31" t="s">
        <v>319</v>
      </c>
      <c r="D22" s="31" t="s">
        <v>320</v>
      </c>
      <c r="E22" s="31" t="s">
        <v>85</v>
      </c>
      <c r="F22" s="33" t="s">
        <v>26</v>
      </c>
      <c r="G22" s="34">
        <v>998531</v>
      </c>
      <c r="H22" s="23">
        <v>0.18</v>
      </c>
      <c r="I22" s="42">
        <v>8800</v>
      </c>
      <c r="J22" s="42">
        <v>792</v>
      </c>
      <c r="K22" s="42">
        <v>792</v>
      </c>
      <c r="L22" s="42"/>
      <c r="M22" s="44">
        <v>10384</v>
      </c>
      <c r="N22" s="142">
        <v>88</v>
      </c>
      <c r="O22" s="179">
        <v>0</v>
      </c>
      <c r="P22" s="154">
        <v>0</v>
      </c>
      <c r="Q22" s="73"/>
      <c r="R22" s="198" t="s">
        <v>243</v>
      </c>
      <c r="S22" s="138">
        <v>10296</v>
      </c>
      <c r="T22" s="63"/>
      <c r="U22" s="31"/>
      <c r="V22" s="41">
        <v>10296</v>
      </c>
      <c r="W22" s="211"/>
      <c r="X22" s="2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</row>
    <row r="23" spans="1:121" ht="19.95" customHeight="1">
      <c r="A23" s="78">
        <v>45747</v>
      </c>
      <c r="B23" s="31" t="s">
        <v>593</v>
      </c>
      <c r="C23" s="31" t="s">
        <v>319</v>
      </c>
      <c r="D23" s="31" t="s">
        <v>320</v>
      </c>
      <c r="E23" s="31" t="s">
        <v>85</v>
      </c>
      <c r="F23" s="33" t="s">
        <v>26</v>
      </c>
      <c r="G23" s="34">
        <v>998531</v>
      </c>
      <c r="H23" s="23">
        <v>0.18</v>
      </c>
      <c r="I23" s="42"/>
      <c r="J23" s="42">
        <v>0</v>
      </c>
      <c r="K23" s="42">
        <v>0</v>
      </c>
      <c r="L23" s="43"/>
      <c r="M23" s="44">
        <v>0</v>
      </c>
      <c r="N23" s="142">
        <v>0</v>
      </c>
      <c r="O23" s="152"/>
      <c r="P23" s="154"/>
      <c r="Q23" s="101"/>
      <c r="R23" s="115" t="s">
        <v>243</v>
      </c>
      <c r="S23" s="138">
        <v>0</v>
      </c>
      <c r="T23" s="63"/>
      <c r="U23" s="31"/>
      <c r="V23" s="41">
        <v>0</v>
      </c>
      <c r="W23" s="50"/>
      <c r="X23" s="50"/>
    </row>
    <row r="24" spans="1:121" s="18" customFormat="1" ht="19.95" customHeight="1">
      <c r="A24" s="78">
        <v>45777</v>
      </c>
      <c r="B24" s="31" t="s">
        <v>627</v>
      </c>
      <c r="C24" s="31" t="s">
        <v>319</v>
      </c>
      <c r="D24" s="31" t="s">
        <v>320</v>
      </c>
      <c r="E24" s="31" t="s">
        <v>85</v>
      </c>
      <c r="F24" s="33" t="s">
        <v>26</v>
      </c>
      <c r="G24" s="34">
        <v>998531</v>
      </c>
      <c r="H24" s="23">
        <v>0.18</v>
      </c>
      <c r="I24" s="42">
        <v>3900</v>
      </c>
      <c r="J24" s="42">
        <v>351</v>
      </c>
      <c r="K24" s="42">
        <v>351</v>
      </c>
      <c r="L24" s="43"/>
      <c r="M24" s="44">
        <v>4602</v>
      </c>
      <c r="N24" s="142">
        <v>39</v>
      </c>
      <c r="O24" s="152"/>
      <c r="P24" s="154"/>
      <c r="Q24" s="101"/>
      <c r="R24" s="115" t="s">
        <v>243</v>
      </c>
      <c r="S24" s="138">
        <v>4563</v>
      </c>
      <c r="T24" s="63"/>
      <c r="U24" s="31"/>
      <c r="V24" s="41">
        <v>4563</v>
      </c>
      <c r="W24" s="209"/>
      <c r="X24" s="209"/>
    </row>
    <row r="25" spans="1:121" s="10" customFormat="1" ht="19.95" customHeight="1">
      <c r="A25" s="78">
        <v>45808</v>
      </c>
      <c r="B25" s="31" t="s">
        <v>664</v>
      </c>
      <c r="C25" s="31" t="s">
        <v>319</v>
      </c>
      <c r="D25" s="31" t="s">
        <v>320</v>
      </c>
      <c r="E25" s="31" t="s">
        <v>85</v>
      </c>
      <c r="F25" s="33" t="s">
        <v>26</v>
      </c>
      <c r="G25" s="34">
        <v>998531</v>
      </c>
      <c r="H25" s="23">
        <v>0.18</v>
      </c>
      <c r="I25" s="42">
        <v>2600</v>
      </c>
      <c r="J25" s="42">
        <v>234</v>
      </c>
      <c r="K25" s="42">
        <v>234</v>
      </c>
      <c r="L25" s="43"/>
      <c r="M25" s="44">
        <v>3068</v>
      </c>
      <c r="N25" s="142">
        <v>26</v>
      </c>
      <c r="O25" s="152"/>
      <c r="P25" s="154"/>
      <c r="Q25" s="101"/>
      <c r="R25" s="115" t="s">
        <v>243</v>
      </c>
      <c r="S25" s="138">
        <v>3042</v>
      </c>
      <c r="T25" s="63"/>
      <c r="U25" s="31"/>
      <c r="V25" s="41">
        <v>3042</v>
      </c>
      <c r="W25" s="211"/>
      <c r="X25" s="211"/>
    </row>
    <row r="26" spans="1:121" s="481" customFormat="1" ht="19.95" customHeight="1">
      <c r="A26" s="493">
        <v>45832</v>
      </c>
      <c r="B26" s="482" t="s">
        <v>687</v>
      </c>
      <c r="C26" s="482" t="s">
        <v>319</v>
      </c>
      <c r="D26" s="482" t="s">
        <v>320</v>
      </c>
      <c r="E26" s="482" t="s">
        <v>85</v>
      </c>
      <c r="F26" s="486" t="s">
        <v>26</v>
      </c>
      <c r="G26" s="494">
        <v>998531</v>
      </c>
      <c r="H26" s="470">
        <v>0.18</v>
      </c>
      <c r="I26" s="487">
        <v>9300</v>
      </c>
      <c r="J26" s="487">
        <v>837</v>
      </c>
      <c r="K26" s="487">
        <v>837</v>
      </c>
      <c r="L26" s="480"/>
      <c r="M26" s="495">
        <v>10974</v>
      </c>
      <c r="N26" s="496">
        <v>93</v>
      </c>
      <c r="O26" s="489"/>
      <c r="P26" s="490">
        <v>10881</v>
      </c>
      <c r="Q26" s="491">
        <v>45881</v>
      </c>
      <c r="R26" s="510" t="s">
        <v>413</v>
      </c>
      <c r="S26" s="479">
        <v>0</v>
      </c>
      <c r="T26" s="498"/>
      <c r="U26" s="482"/>
      <c r="V26" s="480">
        <v>0</v>
      </c>
      <c r="W26" s="499"/>
      <c r="X26" s="499"/>
    </row>
    <row r="27" spans="1:121" s="481" customFormat="1" ht="19.95" customHeight="1">
      <c r="A27" s="493">
        <v>45832</v>
      </c>
      <c r="B27" s="482" t="s">
        <v>688</v>
      </c>
      <c r="C27" s="482" t="s">
        <v>319</v>
      </c>
      <c r="D27" s="511" t="s">
        <v>320</v>
      </c>
      <c r="E27" s="482" t="s">
        <v>85</v>
      </c>
      <c r="F27" s="486" t="s">
        <v>26</v>
      </c>
      <c r="G27" s="494">
        <v>998531</v>
      </c>
      <c r="H27" s="470">
        <v>0.18</v>
      </c>
      <c r="I27" s="487">
        <v>24800</v>
      </c>
      <c r="J27" s="487">
        <v>2232</v>
      </c>
      <c r="K27" s="487">
        <v>2232</v>
      </c>
      <c r="L27" s="480"/>
      <c r="M27" s="495">
        <v>29264</v>
      </c>
      <c r="N27" s="496">
        <v>248</v>
      </c>
      <c r="O27" s="489"/>
      <c r="P27" s="490">
        <v>29016</v>
      </c>
      <c r="Q27" s="491">
        <v>45881</v>
      </c>
      <c r="R27" s="510" t="s">
        <v>413</v>
      </c>
      <c r="S27" s="479">
        <v>0</v>
      </c>
      <c r="T27" s="498"/>
      <c r="U27" s="482"/>
      <c r="V27" s="480">
        <v>0</v>
      </c>
      <c r="W27" s="499"/>
      <c r="X27" s="499"/>
    </row>
    <row r="28" spans="1:121" s="481" customFormat="1" ht="19.95" customHeight="1">
      <c r="A28" s="493">
        <v>45869</v>
      </c>
      <c r="B28" s="482" t="s">
        <v>727</v>
      </c>
      <c r="C28" s="482" t="s">
        <v>319</v>
      </c>
      <c r="D28" s="482" t="s">
        <v>320</v>
      </c>
      <c r="E28" s="482" t="s">
        <v>85</v>
      </c>
      <c r="F28" s="486" t="s">
        <v>26</v>
      </c>
      <c r="G28" s="494">
        <v>998531</v>
      </c>
      <c r="H28" s="470">
        <v>0.18</v>
      </c>
      <c r="I28" s="487">
        <v>31500</v>
      </c>
      <c r="J28" s="487">
        <v>2835</v>
      </c>
      <c r="K28" s="487">
        <v>2835</v>
      </c>
      <c r="L28" s="480"/>
      <c r="M28" s="495">
        <v>37170</v>
      </c>
      <c r="N28" s="496">
        <v>315</v>
      </c>
      <c r="O28" s="489"/>
      <c r="P28" s="490">
        <v>36855</v>
      </c>
      <c r="Q28" s="491">
        <v>45938</v>
      </c>
      <c r="R28" s="492" t="s">
        <v>708</v>
      </c>
      <c r="S28" s="479">
        <v>0</v>
      </c>
      <c r="T28" s="498"/>
      <c r="U28" s="482"/>
      <c r="V28" s="480">
        <v>0</v>
      </c>
      <c r="W28" s="499"/>
      <c r="X28" s="499"/>
    </row>
    <row r="29" spans="1:121" s="481" customFormat="1" ht="19.95" customHeight="1">
      <c r="A29" s="485">
        <v>45900</v>
      </c>
      <c r="B29" s="482" t="s">
        <v>778</v>
      </c>
      <c r="C29" s="482" t="s">
        <v>319</v>
      </c>
      <c r="D29" s="482" t="s">
        <v>320</v>
      </c>
      <c r="E29" s="482" t="s">
        <v>85</v>
      </c>
      <c r="F29" s="486" t="s">
        <v>26</v>
      </c>
      <c r="G29" s="486">
        <v>998531</v>
      </c>
      <c r="H29" s="470">
        <v>0.18</v>
      </c>
      <c r="I29" s="487">
        <v>17000</v>
      </c>
      <c r="J29" s="487">
        <v>1530</v>
      </c>
      <c r="K29" s="487">
        <v>1530</v>
      </c>
      <c r="L29" s="487"/>
      <c r="M29" s="487">
        <v>20060</v>
      </c>
      <c r="N29" s="488">
        <v>170</v>
      </c>
      <c r="O29" s="512"/>
      <c r="P29" s="490">
        <v>19890</v>
      </c>
      <c r="Q29" s="491">
        <v>45939</v>
      </c>
      <c r="R29" s="492" t="s">
        <v>752</v>
      </c>
      <c r="S29" s="479">
        <v>0</v>
      </c>
      <c r="T29" s="482"/>
      <c r="U29" s="482"/>
      <c r="V29" s="480">
        <v>0</v>
      </c>
    </row>
    <row r="30" spans="1:121" s="481" customFormat="1" ht="19.95" customHeight="1">
      <c r="A30" s="485">
        <v>45930</v>
      </c>
      <c r="B30" s="482" t="s">
        <v>821</v>
      </c>
      <c r="C30" s="482" t="s">
        <v>319</v>
      </c>
      <c r="D30" s="482" t="s">
        <v>320</v>
      </c>
      <c r="E30" s="482" t="s">
        <v>85</v>
      </c>
      <c r="F30" s="486" t="s">
        <v>26</v>
      </c>
      <c r="G30" s="486">
        <v>998531</v>
      </c>
      <c r="H30" s="470">
        <v>0.18</v>
      </c>
      <c r="I30" s="487">
        <v>18300</v>
      </c>
      <c r="J30" s="487">
        <v>1647</v>
      </c>
      <c r="K30" s="487">
        <v>1647</v>
      </c>
      <c r="L30" s="480"/>
      <c r="M30" s="480">
        <v>21594</v>
      </c>
      <c r="N30" s="488">
        <v>183</v>
      </c>
      <c r="O30" s="489"/>
      <c r="P30" s="490">
        <v>21411</v>
      </c>
      <c r="Q30" s="491">
        <v>45960</v>
      </c>
      <c r="R30" s="492" t="s">
        <v>879</v>
      </c>
      <c r="S30" s="479">
        <v>0</v>
      </c>
      <c r="T30" s="482"/>
      <c r="U30" s="482"/>
      <c r="V30" s="480">
        <v>0</v>
      </c>
    </row>
    <row r="31" spans="1:121" s="481" customFormat="1" ht="20.399999999999999" customHeight="1">
      <c r="A31" s="500">
        <v>45961</v>
      </c>
      <c r="B31" s="482" t="s">
        <v>863</v>
      </c>
      <c r="C31" s="482" t="s">
        <v>319</v>
      </c>
      <c r="D31" s="482" t="s">
        <v>320</v>
      </c>
      <c r="E31" s="482" t="s">
        <v>85</v>
      </c>
      <c r="F31" s="486" t="s">
        <v>26</v>
      </c>
      <c r="G31" s="486">
        <v>998531</v>
      </c>
      <c r="H31" s="470">
        <v>0.18</v>
      </c>
      <c r="I31" s="501">
        <v>31800</v>
      </c>
      <c r="J31" s="501">
        <v>2862</v>
      </c>
      <c r="K31" s="501">
        <v>2862</v>
      </c>
      <c r="L31" s="502"/>
      <c r="M31" s="502">
        <v>37524</v>
      </c>
      <c r="N31" s="503">
        <v>318</v>
      </c>
      <c r="O31" s="504"/>
      <c r="P31" s="505">
        <v>37206</v>
      </c>
      <c r="Q31" s="506">
        <v>46001</v>
      </c>
      <c r="R31" s="507" t="s">
        <v>882</v>
      </c>
      <c r="S31" s="479">
        <v>0</v>
      </c>
      <c r="T31" s="508"/>
      <c r="U31" s="508"/>
      <c r="V31" s="480">
        <v>0</v>
      </c>
    </row>
    <row r="32" spans="1:121" s="477" customFormat="1" ht="19.95" customHeight="1">
      <c r="A32" s="466">
        <v>45991</v>
      </c>
      <c r="B32" s="482" t="s">
        <v>918</v>
      </c>
      <c r="C32" s="468" t="s">
        <v>319</v>
      </c>
      <c r="D32" s="468" t="s">
        <v>320</v>
      </c>
      <c r="E32" s="468" t="s">
        <v>85</v>
      </c>
      <c r="F32" s="469" t="s">
        <v>26</v>
      </c>
      <c r="G32" s="469">
        <v>998531</v>
      </c>
      <c r="H32" s="470">
        <v>0.18</v>
      </c>
      <c r="I32" s="471">
        <v>27000</v>
      </c>
      <c r="J32" s="483">
        <v>2430</v>
      </c>
      <c r="K32" s="471">
        <v>2430</v>
      </c>
      <c r="L32" s="472"/>
      <c r="M32" s="472">
        <v>31860</v>
      </c>
      <c r="N32" s="473">
        <v>270</v>
      </c>
      <c r="O32" s="484"/>
      <c r="P32" s="475">
        <v>31590</v>
      </c>
      <c r="Q32" s="478">
        <v>46093</v>
      </c>
      <c r="R32" s="474" t="s">
        <v>959</v>
      </c>
      <c r="S32" s="479">
        <v>0</v>
      </c>
      <c r="T32" s="468"/>
      <c r="U32" s="468"/>
      <c r="V32" s="480">
        <v>0</v>
      </c>
      <c r="W32" s="481"/>
      <c r="X32" s="481"/>
      <c r="Y32" s="481"/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  <c r="AO32" s="481"/>
      <c r="AP32" s="481"/>
      <c r="AQ32" s="481"/>
      <c r="AR32" s="481"/>
      <c r="AS32" s="481"/>
      <c r="AT32" s="481"/>
      <c r="AU32" s="481"/>
      <c r="AV32" s="481"/>
      <c r="AW32" s="481"/>
      <c r="AX32" s="481"/>
      <c r="AY32" s="481"/>
      <c r="AZ32" s="481"/>
      <c r="BA32" s="481"/>
      <c r="BB32" s="481"/>
      <c r="BC32" s="481"/>
      <c r="BD32" s="481"/>
      <c r="BE32" s="481"/>
      <c r="BF32" s="481"/>
      <c r="BG32" s="481"/>
      <c r="BH32" s="481"/>
      <c r="BI32" s="481"/>
      <c r="BJ32" s="481"/>
      <c r="BK32" s="481"/>
      <c r="BL32" s="481"/>
      <c r="BM32" s="481"/>
      <c r="BN32" s="481"/>
      <c r="BO32" s="481"/>
      <c r="BP32" s="481"/>
      <c r="BQ32" s="481"/>
      <c r="BR32" s="481"/>
      <c r="BS32" s="481"/>
      <c r="BT32" s="481"/>
      <c r="BU32" s="481"/>
      <c r="BV32" s="481"/>
      <c r="BW32" s="481"/>
      <c r="BX32" s="481"/>
      <c r="BY32" s="481"/>
      <c r="BZ32" s="481"/>
      <c r="CA32" s="481"/>
      <c r="CB32" s="481"/>
      <c r="CC32" s="481"/>
      <c r="CD32" s="481"/>
      <c r="CE32" s="481"/>
      <c r="CF32" s="481"/>
      <c r="CG32" s="481"/>
      <c r="CH32" s="481"/>
      <c r="CI32" s="481"/>
      <c r="CJ32" s="481"/>
      <c r="CK32" s="481"/>
      <c r="CL32" s="481"/>
      <c r="CM32" s="481"/>
      <c r="CN32" s="481"/>
      <c r="CO32" s="481"/>
      <c r="CP32" s="481"/>
      <c r="CQ32" s="481"/>
      <c r="CR32" s="481"/>
      <c r="CS32" s="481"/>
      <c r="CT32" s="481"/>
      <c r="CU32" s="481"/>
      <c r="CV32" s="481"/>
      <c r="CW32" s="481"/>
      <c r="CX32" s="481"/>
      <c r="CY32" s="481"/>
      <c r="CZ32" s="481"/>
      <c r="DA32" s="481"/>
      <c r="DB32" s="481"/>
      <c r="DC32" s="481"/>
      <c r="DD32" s="481"/>
      <c r="DE32" s="481"/>
      <c r="DF32" s="481"/>
      <c r="DG32" s="481"/>
      <c r="DH32" s="481"/>
      <c r="DI32" s="481"/>
      <c r="DJ32" s="481"/>
      <c r="DK32" s="481"/>
      <c r="DL32" s="481"/>
      <c r="DM32" s="481"/>
      <c r="DN32" s="481"/>
      <c r="DO32" s="481"/>
      <c r="DP32" s="481"/>
      <c r="DQ32" s="481"/>
    </row>
    <row r="33" spans="1:121" s="477" customFormat="1" ht="19.95" customHeight="1">
      <c r="A33" s="466">
        <v>46022</v>
      </c>
      <c r="B33" s="482" t="s">
        <v>994</v>
      </c>
      <c r="C33" s="468" t="s">
        <v>319</v>
      </c>
      <c r="D33" s="468" t="s">
        <v>320</v>
      </c>
      <c r="E33" s="468" t="s">
        <v>85</v>
      </c>
      <c r="F33" s="469" t="s">
        <v>26</v>
      </c>
      <c r="G33" s="469">
        <v>998531</v>
      </c>
      <c r="H33" s="470">
        <v>0.18</v>
      </c>
      <c r="I33" s="471">
        <v>17900</v>
      </c>
      <c r="J33" s="483">
        <v>1611</v>
      </c>
      <c r="K33" s="471">
        <v>1611</v>
      </c>
      <c r="L33" s="472"/>
      <c r="M33" s="472">
        <v>21122</v>
      </c>
      <c r="N33" s="473">
        <v>179</v>
      </c>
      <c r="O33" s="484"/>
      <c r="P33" s="475">
        <v>20943</v>
      </c>
      <c r="Q33" s="478">
        <v>46093</v>
      </c>
      <c r="R33" s="474" t="s">
        <v>1160</v>
      </c>
      <c r="S33" s="479">
        <v>0</v>
      </c>
      <c r="T33" s="468"/>
      <c r="U33" s="468"/>
      <c r="V33" s="480">
        <v>0</v>
      </c>
      <c r="W33" s="481"/>
      <c r="X33" s="481"/>
      <c r="Y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  <c r="AO33" s="481"/>
      <c r="AP33" s="481"/>
      <c r="AQ33" s="481"/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  <c r="BH33" s="481"/>
      <c r="BI33" s="481"/>
      <c r="BJ33" s="481"/>
      <c r="BK33" s="481"/>
      <c r="BL33" s="481"/>
      <c r="BM33" s="481"/>
      <c r="BN33" s="481"/>
      <c r="BO33" s="481"/>
      <c r="BP33" s="481"/>
      <c r="BQ33" s="481"/>
      <c r="BR33" s="481"/>
      <c r="BS33" s="481"/>
      <c r="BT33" s="481"/>
      <c r="BU33" s="481"/>
      <c r="BV33" s="481"/>
      <c r="BW33" s="481"/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  <c r="CJ33" s="481"/>
      <c r="CK33" s="481"/>
      <c r="CL33" s="481"/>
      <c r="CM33" s="481"/>
      <c r="CN33" s="481"/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  <c r="CZ33" s="481"/>
      <c r="DA33" s="481"/>
      <c r="DB33" s="481"/>
      <c r="DC33" s="481"/>
      <c r="DD33" s="481"/>
      <c r="DE33" s="481"/>
      <c r="DF33" s="481"/>
      <c r="DG33" s="481"/>
      <c r="DH33" s="481"/>
      <c r="DI33" s="481"/>
      <c r="DJ33" s="481"/>
      <c r="DK33" s="481"/>
      <c r="DL33" s="481"/>
      <c r="DM33" s="481"/>
      <c r="DN33" s="481"/>
      <c r="DO33" s="481"/>
      <c r="DP33" s="481"/>
      <c r="DQ33" s="481"/>
    </row>
    <row r="34" spans="1:121" s="12" customFormat="1" ht="19.95" customHeight="1">
      <c r="A34" s="128">
        <v>46053</v>
      </c>
      <c r="B34" s="131" t="s">
        <v>1074</v>
      </c>
      <c r="C34" s="131" t="s">
        <v>319</v>
      </c>
      <c r="D34" s="131" t="s">
        <v>320</v>
      </c>
      <c r="E34" s="131" t="s">
        <v>85</v>
      </c>
      <c r="F34" s="136" t="s">
        <v>26</v>
      </c>
      <c r="G34" s="136">
        <v>998531</v>
      </c>
      <c r="H34" s="23">
        <v>0.18</v>
      </c>
      <c r="I34" s="129">
        <v>8000</v>
      </c>
      <c r="J34" s="129">
        <v>720</v>
      </c>
      <c r="K34" s="129">
        <v>720</v>
      </c>
      <c r="L34" s="130"/>
      <c r="M34" s="130">
        <v>9440</v>
      </c>
      <c r="N34" s="161">
        <v>80</v>
      </c>
      <c r="O34" s="132"/>
      <c r="P34" s="135"/>
      <c r="Q34" s="135"/>
      <c r="R34" s="132" t="s">
        <v>1161</v>
      </c>
      <c r="S34" s="138">
        <v>9360</v>
      </c>
      <c r="T34" s="131"/>
      <c r="U34" s="131"/>
      <c r="V34" s="41">
        <v>9360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1:121" s="12" customFormat="1" ht="19.95" customHeight="1">
      <c r="A35" s="128">
        <v>46081</v>
      </c>
      <c r="B35" s="131" t="s">
        <v>1114</v>
      </c>
      <c r="C35" s="131" t="s">
        <v>319</v>
      </c>
      <c r="D35" s="131" t="s">
        <v>320</v>
      </c>
      <c r="E35" s="131" t="s">
        <v>85</v>
      </c>
      <c r="F35" s="136" t="s">
        <v>26</v>
      </c>
      <c r="G35" s="136">
        <v>3808</v>
      </c>
      <c r="H35" s="23">
        <v>0.18</v>
      </c>
      <c r="I35" s="129">
        <v>17900</v>
      </c>
      <c r="J35" s="129">
        <v>1611</v>
      </c>
      <c r="K35" s="129">
        <v>1611</v>
      </c>
      <c r="L35" s="130"/>
      <c r="M35" s="130">
        <v>21122</v>
      </c>
      <c r="N35" s="161">
        <v>179</v>
      </c>
      <c r="O35" s="132"/>
      <c r="P35" s="135"/>
      <c r="Q35" s="135"/>
      <c r="R35" s="132" t="s">
        <v>1162</v>
      </c>
      <c r="S35" s="138">
        <v>20943</v>
      </c>
      <c r="T35" s="131"/>
      <c r="U35" s="131"/>
      <c r="V35" s="41">
        <v>20943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</row>
    <row r="36" spans="1:121" s="12" customFormat="1" ht="19.95" customHeight="1">
      <c r="A36" s="128">
        <v>46112</v>
      </c>
      <c r="B36" s="131" t="s">
        <v>1153</v>
      </c>
      <c r="C36" s="131" t="s">
        <v>319</v>
      </c>
      <c r="D36" s="131" t="s">
        <v>320</v>
      </c>
      <c r="E36" s="131" t="s">
        <v>85</v>
      </c>
      <c r="F36" s="136" t="s">
        <v>26</v>
      </c>
      <c r="G36" s="136">
        <v>3808</v>
      </c>
      <c r="H36" s="23">
        <v>0.18</v>
      </c>
      <c r="I36" s="129">
        <v>16600</v>
      </c>
      <c r="J36" s="129">
        <v>1494</v>
      </c>
      <c r="K36" s="129">
        <v>1494</v>
      </c>
      <c r="L36" s="130"/>
      <c r="M36" s="130">
        <v>19588</v>
      </c>
      <c r="N36" s="161">
        <v>166</v>
      </c>
      <c r="O36" s="132"/>
      <c r="P36" s="135"/>
      <c r="Q36" s="135"/>
      <c r="R36" s="132" t="s">
        <v>1263</v>
      </c>
      <c r="S36" s="138">
        <v>19422</v>
      </c>
      <c r="T36" s="131"/>
      <c r="U36" s="131"/>
      <c r="V36" s="41">
        <v>19422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</row>
    <row r="37" spans="1:121" ht="19.95" customHeight="1">
      <c r="A37" s="128">
        <v>46142</v>
      </c>
      <c r="B37" s="131" t="s">
        <v>1223</v>
      </c>
      <c r="C37" s="131" t="s">
        <v>319</v>
      </c>
      <c r="D37" s="131" t="s">
        <v>320</v>
      </c>
      <c r="E37" s="131" t="s">
        <v>85</v>
      </c>
      <c r="F37" s="136" t="s">
        <v>26</v>
      </c>
      <c r="G37" s="136">
        <v>3808</v>
      </c>
      <c r="H37" s="23">
        <v>0.18</v>
      </c>
      <c r="I37" s="129">
        <v>7300</v>
      </c>
      <c r="J37" s="129">
        <v>657</v>
      </c>
      <c r="K37" s="129">
        <v>657</v>
      </c>
      <c r="L37" s="130"/>
      <c r="M37" s="130">
        <v>8614</v>
      </c>
      <c r="N37" s="161">
        <v>73</v>
      </c>
      <c r="O37" s="132"/>
      <c r="P37" s="135"/>
      <c r="Q37" s="135"/>
      <c r="R37" s="132" t="s">
        <v>1264</v>
      </c>
      <c r="S37" s="138">
        <v>8541</v>
      </c>
      <c r="T37" s="131"/>
      <c r="U37" s="131"/>
      <c r="V37" s="41">
        <v>8541</v>
      </c>
    </row>
    <row r="38" spans="1:121" s="12" customFormat="1" ht="19.2" customHeight="1">
      <c r="A38" s="128">
        <v>46173</v>
      </c>
      <c r="B38" s="165" t="s">
        <v>1279</v>
      </c>
      <c r="C38" s="131" t="s">
        <v>319</v>
      </c>
      <c r="D38" s="131" t="s">
        <v>320</v>
      </c>
      <c r="E38" s="131" t="s">
        <v>85</v>
      </c>
      <c r="F38" s="136" t="s">
        <v>26</v>
      </c>
      <c r="G38" s="136">
        <v>3808</v>
      </c>
      <c r="H38" s="23">
        <v>0.18</v>
      </c>
      <c r="I38" s="129">
        <v>5200</v>
      </c>
      <c r="J38" s="129">
        <v>468</v>
      </c>
      <c r="K38" s="129">
        <v>468</v>
      </c>
      <c r="L38" s="130"/>
      <c r="M38" s="130">
        <v>6136</v>
      </c>
      <c r="N38" s="161">
        <v>52</v>
      </c>
      <c r="O38" s="132"/>
      <c r="P38" s="135"/>
      <c r="Q38" s="135"/>
      <c r="R38" s="132"/>
      <c r="S38" s="313">
        <v>6084</v>
      </c>
      <c r="T38" s="131"/>
      <c r="U38" s="131"/>
      <c r="V38" s="129">
        <v>6084</v>
      </c>
    </row>
    <row r="40" spans="1:121" s="12" customFormat="1" ht="24.6" customHeight="1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72" t="s">
        <v>14</v>
      </c>
      <c r="P40" s="46" t="s">
        <v>15</v>
      </c>
      <c r="Q40" s="46" t="s">
        <v>16</v>
      </c>
      <c r="R40" s="187" t="s">
        <v>17</v>
      </c>
      <c r="S40" s="47" t="s">
        <v>18</v>
      </c>
      <c r="T40" s="48" t="s">
        <v>19</v>
      </c>
      <c r="U40" s="46" t="s">
        <v>20</v>
      </c>
      <c r="V40" s="207" t="s">
        <v>21</v>
      </c>
      <c r="W40" s="50" t="s">
        <v>1196</v>
      </c>
      <c r="X40" s="50" t="s">
        <v>1259</v>
      </c>
      <c r="Y40" t="s">
        <v>1260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 spans="1:121" s="325" customFormat="1" ht="19.95" customHeight="1">
      <c r="A41" s="339">
        <v>45900</v>
      </c>
      <c r="B41" s="327" t="s">
        <v>780</v>
      </c>
      <c r="C41" s="327" t="s">
        <v>319</v>
      </c>
      <c r="D41" s="327" t="s">
        <v>320</v>
      </c>
      <c r="E41" s="327" t="s">
        <v>89</v>
      </c>
      <c r="F41" s="332" t="s">
        <v>26</v>
      </c>
      <c r="G41" s="332">
        <v>998531</v>
      </c>
      <c r="H41" s="317">
        <v>0.18</v>
      </c>
      <c r="I41" s="340">
        <v>4800</v>
      </c>
      <c r="J41" s="340">
        <v>432</v>
      </c>
      <c r="K41" s="340">
        <v>432</v>
      </c>
      <c r="L41" s="340"/>
      <c r="M41" s="340">
        <v>5664</v>
      </c>
      <c r="N41" s="341">
        <v>48</v>
      </c>
      <c r="O41" s="342"/>
      <c r="P41" s="343"/>
      <c r="Q41" s="343"/>
      <c r="R41" s="344" t="s">
        <v>580</v>
      </c>
      <c r="S41" s="323">
        <v>5616</v>
      </c>
      <c r="T41" s="327"/>
      <c r="U41" s="327"/>
      <c r="V41" s="324">
        <v>5616</v>
      </c>
    </row>
    <row r="42" spans="1:121" ht="19.95" customHeight="1">
      <c r="A42" s="2">
        <v>45930</v>
      </c>
      <c r="B42" s="3" t="s">
        <v>823</v>
      </c>
      <c r="C42" s="7" t="s">
        <v>319</v>
      </c>
      <c r="D42" s="7" t="s">
        <v>320</v>
      </c>
      <c r="E42" s="7" t="s">
        <v>89</v>
      </c>
      <c r="F42" s="5" t="s">
        <v>26</v>
      </c>
      <c r="G42" s="4">
        <v>998531</v>
      </c>
      <c r="H42" s="23">
        <v>0.18</v>
      </c>
      <c r="I42" s="9">
        <v>19200</v>
      </c>
      <c r="J42" s="9">
        <v>1728</v>
      </c>
      <c r="K42" s="9">
        <v>1728</v>
      </c>
      <c r="L42" s="41"/>
      <c r="M42" s="41">
        <v>22656</v>
      </c>
      <c r="N42" s="67">
        <v>192</v>
      </c>
      <c r="O42" s="157"/>
      <c r="P42" s="57"/>
      <c r="Q42" s="59"/>
      <c r="R42" s="117" t="s">
        <v>879</v>
      </c>
      <c r="S42" s="138">
        <v>22464</v>
      </c>
      <c r="T42" s="3"/>
      <c r="U42" s="3"/>
      <c r="V42" s="41">
        <v>22464</v>
      </c>
    </row>
    <row r="43" spans="1:121" ht="20.399999999999999" customHeight="1">
      <c r="A43" s="121">
        <v>45961</v>
      </c>
      <c r="B43" s="3" t="s">
        <v>865</v>
      </c>
      <c r="C43" s="7" t="s">
        <v>319</v>
      </c>
      <c r="D43" s="7" t="s">
        <v>320</v>
      </c>
      <c r="E43" s="7" t="s">
        <v>89</v>
      </c>
      <c r="F43" s="5" t="s">
        <v>26</v>
      </c>
      <c r="G43" s="4">
        <v>998531</v>
      </c>
      <c r="H43" s="23">
        <v>0.18</v>
      </c>
      <c r="I43" s="124">
        <v>21600</v>
      </c>
      <c r="J43" s="124">
        <v>1944</v>
      </c>
      <c r="K43" s="124">
        <v>1944</v>
      </c>
      <c r="L43" s="125"/>
      <c r="M43" s="125">
        <v>25488</v>
      </c>
      <c r="N43" s="160">
        <v>216</v>
      </c>
      <c r="O43" s="184"/>
      <c r="P43" s="133"/>
      <c r="Q43" s="133"/>
      <c r="R43" s="127" t="s">
        <v>882</v>
      </c>
      <c r="S43" s="138">
        <v>25272</v>
      </c>
      <c r="T43" s="126"/>
      <c r="U43" s="126"/>
      <c r="V43" s="41">
        <v>25272</v>
      </c>
    </row>
    <row r="44" spans="1:121" s="11" customFormat="1" ht="19.95" customHeight="1">
      <c r="A44" s="226">
        <v>45991</v>
      </c>
      <c r="B44" s="7" t="s">
        <v>919</v>
      </c>
      <c r="C44" s="163" t="s">
        <v>319</v>
      </c>
      <c r="D44" s="163" t="s">
        <v>320</v>
      </c>
      <c r="E44" s="163" t="s">
        <v>89</v>
      </c>
      <c r="F44" s="137" t="s">
        <v>26</v>
      </c>
      <c r="G44" s="137">
        <v>998531</v>
      </c>
      <c r="H44" s="221">
        <v>0.18</v>
      </c>
      <c r="I44" s="214">
        <v>21600</v>
      </c>
      <c r="J44" s="229">
        <v>1944</v>
      </c>
      <c r="K44" s="214">
        <v>1944</v>
      </c>
      <c r="L44" s="222"/>
      <c r="M44" s="222">
        <v>25488</v>
      </c>
      <c r="N44" s="216">
        <v>216</v>
      </c>
      <c r="O44" s="223"/>
      <c r="P44" s="224"/>
      <c r="Q44" s="224"/>
      <c r="R44" s="225" t="s">
        <v>959</v>
      </c>
      <c r="S44" s="138">
        <v>25272</v>
      </c>
      <c r="T44" s="163"/>
      <c r="U44" s="163"/>
      <c r="V44" s="70">
        <v>25272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</row>
    <row r="45" spans="1:121" s="12" customFormat="1" ht="19.95" customHeight="1">
      <c r="A45" s="128">
        <v>46022</v>
      </c>
      <c r="B45" s="3" t="s">
        <v>995</v>
      </c>
      <c r="C45" s="131" t="s">
        <v>319</v>
      </c>
      <c r="D45" s="131" t="s">
        <v>320</v>
      </c>
      <c r="E45" s="131" t="s">
        <v>89</v>
      </c>
      <c r="F45" s="136" t="s">
        <v>26</v>
      </c>
      <c r="G45" s="136">
        <v>998531</v>
      </c>
      <c r="H45" s="23">
        <v>0.18</v>
      </c>
      <c r="I45" s="129">
        <v>33550</v>
      </c>
      <c r="J45" s="167">
        <v>3019.5</v>
      </c>
      <c r="K45" s="129">
        <v>3019.5</v>
      </c>
      <c r="L45" s="130"/>
      <c r="M45" s="130">
        <v>39589</v>
      </c>
      <c r="N45" s="161">
        <v>335.5</v>
      </c>
      <c r="O45" s="185"/>
      <c r="P45" s="135"/>
      <c r="Q45" s="135"/>
      <c r="R45" s="132" t="s">
        <v>1160</v>
      </c>
      <c r="S45" s="138">
        <v>39253.5</v>
      </c>
      <c r="T45" s="131"/>
      <c r="U45" s="131"/>
      <c r="V45" s="41">
        <v>39253.5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</row>
    <row r="46" spans="1:121" s="12" customFormat="1" ht="19.95" customHeight="1">
      <c r="A46" s="128">
        <v>46053</v>
      </c>
      <c r="B46" s="131" t="s">
        <v>1075</v>
      </c>
      <c r="C46" s="131" t="s">
        <v>319</v>
      </c>
      <c r="D46" s="131" t="s">
        <v>320</v>
      </c>
      <c r="E46" s="131" t="s">
        <v>89</v>
      </c>
      <c r="F46" s="136" t="s">
        <v>26</v>
      </c>
      <c r="G46" s="136">
        <v>998531</v>
      </c>
      <c r="H46" s="23">
        <v>0.18</v>
      </c>
      <c r="I46" s="129">
        <v>19200</v>
      </c>
      <c r="J46" s="129">
        <v>1728</v>
      </c>
      <c r="K46" s="129">
        <v>1728</v>
      </c>
      <c r="L46" s="130"/>
      <c r="M46" s="130">
        <v>22656</v>
      </c>
      <c r="N46" s="161">
        <v>192</v>
      </c>
      <c r="O46" s="132"/>
      <c r="P46" s="135"/>
      <c r="Q46" s="135"/>
      <c r="R46" s="132" t="s">
        <v>1161</v>
      </c>
      <c r="S46" s="138">
        <v>22464</v>
      </c>
      <c r="T46" s="131"/>
      <c r="U46" s="131"/>
      <c r="V46" s="41">
        <v>22464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</row>
    <row r="47" spans="1:121" s="12" customFormat="1" ht="19.95" customHeight="1">
      <c r="A47" s="128">
        <v>46081</v>
      </c>
      <c r="B47" s="131" t="s">
        <v>1115</v>
      </c>
      <c r="C47" s="131" t="s">
        <v>319</v>
      </c>
      <c r="D47" s="131" t="s">
        <v>320</v>
      </c>
      <c r="E47" s="131" t="s">
        <v>89</v>
      </c>
      <c r="F47" s="136" t="s">
        <v>26</v>
      </c>
      <c r="G47" s="136">
        <v>3808</v>
      </c>
      <c r="H47" s="23">
        <v>0.18</v>
      </c>
      <c r="I47" s="129">
        <v>18625</v>
      </c>
      <c r="J47" s="129">
        <v>1676.25</v>
      </c>
      <c r="K47" s="129">
        <v>1676.25</v>
      </c>
      <c r="L47" s="130"/>
      <c r="M47" s="130">
        <v>21977.5</v>
      </c>
      <c r="N47" s="161">
        <v>186.25</v>
      </c>
      <c r="O47" s="132"/>
      <c r="P47" s="135"/>
      <c r="Q47" s="135"/>
      <c r="R47" s="132" t="s">
        <v>1162</v>
      </c>
      <c r="S47" s="138">
        <v>21791.25</v>
      </c>
      <c r="T47" s="131"/>
      <c r="U47" s="131"/>
      <c r="V47" s="41">
        <v>21791.25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</row>
    <row r="48" spans="1:121" s="12" customFormat="1" ht="19.95" customHeight="1">
      <c r="A48" s="128">
        <v>46112</v>
      </c>
      <c r="B48" s="131" t="s">
        <v>1154</v>
      </c>
      <c r="C48" s="131" t="s">
        <v>319</v>
      </c>
      <c r="D48" s="131" t="s">
        <v>320</v>
      </c>
      <c r="E48" s="131" t="s">
        <v>89</v>
      </c>
      <c r="F48" s="136" t="s">
        <v>26</v>
      </c>
      <c r="G48" s="136">
        <v>3808</v>
      </c>
      <c r="H48" s="23">
        <v>0.18</v>
      </c>
      <c r="I48" s="129">
        <v>18850</v>
      </c>
      <c r="J48" s="129">
        <v>1696.5</v>
      </c>
      <c r="K48" s="129">
        <v>1696.5</v>
      </c>
      <c r="L48" s="130"/>
      <c r="M48" s="130">
        <v>22243</v>
      </c>
      <c r="N48" s="161">
        <v>188.5</v>
      </c>
      <c r="O48" s="132"/>
      <c r="P48" s="135"/>
      <c r="Q48" s="135"/>
      <c r="R48" s="132" t="s">
        <v>1263</v>
      </c>
      <c r="S48" s="138">
        <v>22054.5</v>
      </c>
      <c r="T48" s="131"/>
      <c r="U48" s="131"/>
      <c r="V48" s="41">
        <v>22054.5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2DDF-5361-4E1B-B3A8-EB751C7BBC18}">
  <dimension ref="A1:DI54"/>
  <sheetViews>
    <sheetView topLeftCell="A31" workbookViewId="0">
      <selection activeCell="C4" sqref="C4"/>
    </sheetView>
  </sheetViews>
  <sheetFormatPr defaultRowHeight="14.4"/>
  <cols>
    <col min="1" max="1" width="12.33203125" customWidth="1"/>
    <col min="2" max="2" width="18" customWidth="1"/>
    <col min="3" max="3" width="30.109375" customWidth="1"/>
    <col min="4" max="4" width="18.44140625" customWidth="1"/>
    <col min="5" max="5" width="11.88671875" customWidth="1"/>
    <col min="13" max="13" width="11.44140625" customWidth="1"/>
    <col min="16" max="16" width="12.44140625" customWidth="1"/>
    <col min="17" max="17" width="12.109375" customWidth="1"/>
  </cols>
  <sheetData>
    <row r="1" spans="1:105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</row>
    <row r="2" spans="1:105" s="12" customFormat="1" ht="19.2" customHeight="1">
      <c r="A2" s="128">
        <v>46147</v>
      </c>
      <c r="B2" s="165" t="s">
        <v>1269</v>
      </c>
      <c r="C2" s="131" t="s">
        <v>955</v>
      </c>
      <c r="D2" s="131" t="s">
        <v>205</v>
      </c>
      <c r="E2" s="131" t="s">
        <v>67</v>
      </c>
      <c r="F2" s="136" t="s">
        <v>26</v>
      </c>
      <c r="G2" s="136">
        <v>3808</v>
      </c>
      <c r="H2" s="23">
        <v>0.18</v>
      </c>
      <c r="I2" s="129">
        <v>18550</v>
      </c>
      <c r="J2" s="129">
        <f t="shared" ref="J2:J41" si="0">I2*9/100</f>
        <v>1669.5</v>
      </c>
      <c r="K2" s="129">
        <f t="shared" ref="K2:K41" si="1">I2*9/100</f>
        <v>1669.5</v>
      </c>
      <c r="L2" s="130"/>
      <c r="M2" s="130">
        <f>I2+J2+K2</f>
        <v>21889</v>
      </c>
      <c r="N2" s="161">
        <f>Table432[[#This Row],[Taxable Amount]]*1%</f>
        <v>219</v>
      </c>
      <c r="O2" s="132"/>
      <c r="P2" s="135"/>
      <c r="Q2" s="135"/>
      <c r="R2" s="132"/>
    </row>
    <row r="3" spans="1:105" s="12" customFormat="1" ht="19.2" customHeight="1">
      <c r="A3" s="226">
        <v>46147</v>
      </c>
      <c r="B3" s="165" t="s">
        <v>1247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23">
        <v>0.18</v>
      </c>
      <c r="I3" s="129">
        <v>10200</v>
      </c>
      <c r="J3" s="129">
        <f t="shared" si="0"/>
        <v>918</v>
      </c>
      <c r="K3" s="129">
        <f t="shared" si="1"/>
        <v>918</v>
      </c>
      <c r="L3" s="130"/>
      <c r="M3" s="130">
        <f t="shared" ref="M3:M41" si="2">I3+J3+K3</f>
        <v>12036</v>
      </c>
      <c r="N3" s="161">
        <f>Table432[[#This Row],[Taxable Amount]]*1%</f>
        <v>150</v>
      </c>
      <c r="O3" s="132"/>
      <c r="P3" s="135"/>
      <c r="Q3" s="135"/>
      <c r="R3" s="132"/>
    </row>
    <row r="4" spans="1:105" s="12" customFormat="1" ht="19.2" customHeight="1">
      <c r="A4" s="226">
        <v>46147</v>
      </c>
      <c r="B4" s="165" t="s">
        <v>1249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23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30"/>
      <c r="M4" s="130">
        <f t="shared" si="2"/>
        <v>5782</v>
      </c>
      <c r="N4" s="161">
        <f>Table432[[#This Row],[Taxable Amount]]*1%</f>
        <v>269.58</v>
      </c>
      <c r="O4" s="132"/>
      <c r="P4" s="135"/>
      <c r="Q4" s="135"/>
      <c r="R4" s="132"/>
    </row>
    <row r="5" spans="1:105" s="12" customFormat="1" ht="19.2" customHeight="1">
      <c r="A5" s="226">
        <v>46147</v>
      </c>
      <c r="B5" s="165" t="s">
        <v>1250</v>
      </c>
      <c r="C5" s="131" t="s">
        <v>674</v>
      </c>
      <c r="D5" s="131" t="s">
        <v>675</v>
      </c>
      <c r="E5" s="131" t="s">
        <v>684</v>
      </c>
      <c r="F5" s="136" t="s">
        <v>26</v>
      </c>
      <c r="G5" s="136">
        <v>3808</v>
      </c>
      <c r="H5" s="23">
        <v>0.18</v>
      </c>
      <c r="I5" s="129">
        <v>2400</v>
      </c>
      <c r="J5" s="129">
        <f t="shared" si="0"/>
        <v>216</v>
      </c>
      <c r="K5" s="129">
        <f t="shared" si="1"/>
        <v>216</v>
      </c>
      <c r="L5" s="130"/>
      <c r="M5" s="130">
        <f t="shared" si="2"/>
        <v>2832</v>
      </c>
      <c r="N5" s="161">
        <f>Table432[[#This Row],[Taxable Amount]]*1%</f>
        <v>66.5</v>
      </c>
      <c r="O5" s="132"/>
      <c r="P5" s="135"/>
      <c r="Q5" s="135"/>
      <c r="R5" s="132"/>
    </row>
    <row r="6" spans="1:105" s="12" customFormat="1" ht="19.2" customHeight="1">
      <c r="A6" s="226">
        <v>46147</v>
      </c>
      <c r="B6" s="165" t="s">
        <v>1251</v>
      </c>
      <c r="C6" s="131" t="s">
        <v>674</v>
      </c>
      <c r="D6" s="131" t="s">
        <v>675</v>
      </c>
      <c r="E6" s="131" t="s">
        <v>956</v>
      </c>
      <c r="F6" s="136" t="s">
        <v>26</v>
      </c>
      <c r="G6" s="136">
        <v>3808</v>
      </c>
      <c r="H6" s="23">
        <v>0.18</v>
      </c>
      <c r="I6" s="129">
        <v>1800</v>
      </c>
      <c r="J6" s="129">
        <f t="shared" si="0"/>
        <v>162</v>
      </c>
      <c r="K6" s="129">
        <f t="shared" si="1"/>
        <v>162</v>
      </c>
      <c r="L6" s="130"/>
      <c r="M6" s="130">
        <f t="shared" si="2"/>
        <v>2124</v>
      </c>
      <c r="N6" s="161">
        <f>Table432[[#This Row],[Taxable Amount]]*1%</f>
        <v>439.74</v>
      </c>
      <c r="O6" s="132"/>
      <c r="P6" s="135"/>
      <c r="Q6" s="135"/>
      <c r="R6" s="132"/>
    </row>
    <row r="7" spans="1:105" s="12" customFormat="1" ht="19.2" customHeight="1">
      <c r="A7" s="226">
        <v>46147</v>
      </c>
      <c r="B7" s="165" t="s">
        <v>1252</v>
      </c>
      <c r="C7" s="131" t="s">
        <v>674</v>
      </c>
      <c r="D7" s="131" t="s">
        <v>675</v>
      </c>
      <c r="E7" s="131" t="s">
        <v>716</v>
      </c>
      <c r="F7" s="136" t="s">
        <v>26</v>
      </c>
      <c r="G7" s="136">
        <v>3808</v>
      </c>
      <c r="H7" s="23">
        <v>0.18</v>
      </c>
      <c r="I7" s="129">
        <v>2150</v>
      </c>
      <c r="J7" s="129">
        <f t="shared" si="0"/>
        <v>193.5</v>
      </c>
      <c r="K7" s="129">
        <f t="shared" si="1"/>
        <v>193.5</v>
      </c>
      <c r="L7" s="130"/>
      <c r="M7" s="130">
        <f t="shared" si="2"/>
        <v>2537</v>
      </c>
      <c r="N7" s="161">
        <f>Table432[[#This Row],[Taxable Amount]]*1%</f>
        <v>270</v>
      </c>
      <c r="O7" s="132"/>
      <c r="P7" s="135"/>
      <c r="Q7" s="135"/>
      <c r="R7" s="132"/>
    </row>
    <row r="8" spans="1:105" s="12" customFormat="1" ht="19.2" customHeight="1">
      <c r="A8" s="226">
        <v>46147</v>
      </c>
      <c r="B8" s="165" t="s">
        <v>1253</v>
      </c>
      <c r="C8" s="131" t="s">
        <v>674</v>
      </c>
      <c r="D8" s="131" t="s">
        <v>675</v>
      </c>
      <c r="E8" s="131" t="s">
        <v>811</v>
      </c>
      <c r="F8" s="136" t="s">
        <v>26</v>
      </c>
      <c r="G8" s="136">
        <v>3808</v>
      </c>
      <c r="H8" s="23">
        <v>0.18</v>
      </c>
      <c r="I8" s="129">
        <v>7000</v>
      </c>
      <c r="J8" s="129">
        <f t="shared" si="0"/>
        <v>630</v>
      </c>
      <c r="K8" s="129">
        <f t="shared" si="1"/>
        <v>630</v>
      </c>
      <c r="L8" s="130"/>
      <c r="M8" s="130">
        <f t="shared" si="2"/>
        <v>8260</v>
      </c>
      <c r="N8" s="161">
        <f>Table432[[#This Row],[Taxable Amount]]*1%</f>
        <v>49</v>
      </c>
      <c r="O8" s="132"/>
      <c r="P8" s="135"/>
      <c r="Q8" s="135"/>
      <c r="R8" s="132"/>
    </row>
    <row r="9" spans="1:105" s="12" customFormat="1" ht="19.2" customHeight="1">
      <c r="A9" s="226">
        <v>46147</v>
      </c>
      <c r="B9" s="165" t="s">
        <v>1254</v>
      </c>
      <c r="C9" s="131" t="s">
        <v>674</v>
      </c>
      <c r="D9" s="131" t="s">
        <v>675</v>
      </c>
      <c r="E9" s="131" t="s">
        <v>1265</v>
      </c>
      <c r="F9" s="136" t="s">
        <v>26</v>
      </c>
      <c r="G9" s="136">
        <v>3808</v>
      </c>
      <c r="H9" s="23">
        <v>0.18</v>
      </c>
      <c r="I9" s="129">
        <v>5500</v>
      </c>
      <c r="J9" s="129">
        <f t="shared" si="0"/>
        <v>495</v>
      </c>
      <c r="K9" s="129">
        <f t="shared" si="1"/>
        <v>495</v>
      </c>
      <c r="L9" s="130"/>
      <c r="M9" s="130">
        <f t="shared" si="2"/>
        <v>6490</v>
      </c>
      <c r="N9" s="161">
        <f>Table432[[#This Row],[Taxable Amount]]*1%</f>
        <v>395.36</v>
      </c>
      <c r="O9" s="132"/>
      <c r="P9" s="135"/>
      <c r="Q9" s="135"/>
      <c r="R9" s="132"/>
    </row>
    <row r="10" spans="1:105" s="12" customFormat="1" ht="19.2" customHeight="1">
      <c r="A10" s="226">
        <v>46147</v>
      </c>
      <c r="B10" s="165" t="s">
        <v>1255</v>
      </c>
      <c r="C10" s="131" t="s">
        <v>674</v>
      </c>
      <c r="D10" s="131" t="s">
        <v>675</v>
      </c>
      <c r="E10" s="131" t="s">
        <v>956</v>
      </c>
      <c r="F10" s="136" t="s">
        <v>26</v>
      </c>
      <c r="G10" s="136">
        <v>3808</v>
      </c>
      <c r="H10" s="23">
        <v>0.18</v>
      </c>
      <c r="I10" s="129">
        <v>550</v>
      </c>
      <c r="J10" s="129">
        <f t="shared" si="0"/>
        <v>49.5</v>
      </c>
      <c r="K10" s="129">
        <f t="shared" si="1"/>
        <v>49.5</v>
      </c>
      <c r="L10" s="130"/>
      <c r="M10" s="130">
        <f t="shared" si="2"/>
        <v>649</v>
      </c>
      <c r="N10" s="161">
        <f>Table432[[#This Row],[Taxable Amount]]*1%</f>
        <v>49</v>
      </c>
      <c r="O10" s="132"/>
      <c r="P10" s="135"/>
      <c r="Q10" s="135"/>
      <c r="R10" s="132"/>
    </row>
    <row r="11" spans="1:105" s="11" customFormat="1" ht="19.2" customHeight="1">
      <c r="A11" s="226">
        <v>46149</v>
      </c>
      <c r="B11" s="393" t="s">
        <v>1330</v>
      </c>
      <c r="C11" s="163" t="s">
        <v>396</v>
      </c>
      <c r="D11" s="163" t="s">
        <v>397</v>
      </c>
      <c r="E11" s="163" t="s">
        <v>260</v>
      </c>
      <c r="F11" s="137" t="s">
        <v>26</v>
      </c>
      <c r="G11" s="137">
        <v>3808</v>
      </c>
      <c r="H11" s="221">
        <v>0.18</v>
      </c>
      <c r="I11" s="214">
        <v>6000</v>
      </c>
      <c r="J11" s="214">
        <f t="shared" si="0"/>
        <v>540</v>
      </c>
      <c r="K11" s="214">
        <f t="shared" si="1"/>
        <v>540</v>
      </c>
      <c r="L11" s="222"/>
      <c r="M11" s="130">
        <f t="shared" si="2"/>
        <v>7080</v>
      </c>
      <c r="N11" s="216">
        <f>Table432[[#This Row],[Taxable Amount]]*1%</f>
        <v>850</v>
      </c>
      <c r="O11" s="225"/>
      <c r="P11" s="394"/>
      <c r="Q11" s="224"/>
      <c r="R11" s="225"/>
    </row>
    <row r="12" spans="1:105" s="12" customFormat="1" ht="19.2" customHeight="1">
      <c r="A12" s="128">
        <v>46155</v>
      </c>
      <c r="B12" s="165" t="s">
        <v>1256</v>
      </c>
      <c r="C12" s="131" t="s">
        <v>1102</v>
      </c>
      <c r="D12" s="131" t="s">
        <v>1103</v>
      </c>
      <c r="E12" s="131" t="s">
        <v>67</v>
      </c>
      <c r="F12" s="136" t="s">
        <v>37</v>
      </c>
      <c r="G12" s="136">
        <v>3808</v>
      </c>
      <c r="H12" s="23">
        <v>0.18</v>
      </c>
      <c r="I12" s="129">
        <v>53976.6</v>
      </c>
      <c r="J12" s="129">
        <f t="shared" si="0"/>
        <v>4857.8939999999993</v>
      </c>
      <c r="K12" s="129">
        <f t="shared" si="1"/>
        <v>4857.8939999999993</v>
      </c>
      <c r="L12" s="130"/>
      <c r="M12" s="130">
        <f t="shared" si="2"/>
        <v>63692.387999999999</v>
      </c>
      <c r="N12" s="161">
        <f>Table432[[#This Row],[Taxable Amount]]*1%</f>
        <v>109.54</v>
      </c>
      <c r="O12" s="132"/>
      <c r="P12" s="417"/>
      <c r="Q12" s="205"/>
      <c r="R12" s="132"/>
    </row>
    <row r="13" spans="1:105" s="12" customFormat="1" ht="19.2" customHeight="1">
      <c r="A13" s="128">
        <v>46155</v>
      </c>
      <c r="B13" s="165" t="s">
        <v>1266</v>
      </c>
      <c r="C13" s="131" t="s">
        <v>518</v>
      </c>
      <c r="D13" s="131" t="s">
        <v>519</v>
      </c>
      <c r="E13" s="131" t="s">
        <v>520</v>
      </c>
      <c r="F13" s="136" t="s">
        <v>37</v>
      </c>
      <c r="G13" s="136">
        <v>3808</v>
      </c>
      <c r="H13" s="23">
        <v>0.18</v>
      </c>
      <c r="I13" s="129">
        <v>26432</v>
      </c>
      <c r="J13" s="129">
        <f t="shared" si="0"/>
        <v>2378.88</v>
      </c>
      <c r="K13" s="129">
        <f t="shared" si="1"/>
        <v>2378.88</v>
      </c>
      <c r="L13" s="130"/>
      <c r="M13" s="130">
        <f t="shared" si="2"/>
        <v>31189.760000000002</v>
      </c>
      <c r="N13" s="161">
        <f>Table432[[#This Row],[Taxable Amount]]*1%</f>
        <v>153.86000000000001</v>
      </c>
      <c r="O13" s="132"/>
      <c r="P13" s="135"/>
      <c r="Q13" s="135"/>
      <c r="R13" s="132"/>
    </row>
    <row r="14" spans="1:105" s="12" customFormat="1" ht="19.2" customHeight="1">
      <c r="A14" s="128">
        <v>46167</v>
      </c>
      <c r="B14" s="165" t="s">
        <v>1270</v>
      </c>
      <c r="C14" s="131" t="s">
        <v>1102</v>
      </c>
      <c r="D14" s="131" t="s">
        <v>1103</v>
      </c>
      <c r="E14" s="131" t="s">
        <v>1331</v>
      </c>
      <c r="F14" s="136" t="s">
        <v>37</v>
      </c>
      <c r="G14" s="136">
        <v>3808</v>
      </c>
      <c r="H14" s="23">
        <v>0.18</v>
      </c>
      <c r="I14" s="129">
        <v>78227.460000000006</v>
      </c>
      <c r="J14" s="129">
        <f t="shared" si="0"/>
        <v>7040.4714000000004</v>
      </c>
      <c r="K14" s="129">
        <f t="shared" si="1"/>
        <v>7040.4714000000004</v>
      </c>
      <c r="L14" s="130"/>
      <c r="M14" s="130">
        <f t="shared" si="2"/>
        <v>92308.402799999996</v>
      </c>
      <c r="N14" s="161">
        <f>Table432[[#This Row],[Taxable Amount]]*1%</f>
        <v>143.5</v>
      </c>
      <c r="O14" s="132"/>
      <c r="P14" s="135"/>
      <c r="Q14" s="135"/>
      <c r="R14" s="132"/>
    </row>
    <row r="15" spans="1:105" s="12" customFormat="1" ht="19.2" customHeight="1">
      <c r="A15" s="128">
        <v>46167</v>
      </c>
      <c r="B15" s="165" t="s">
        <v>1271</v>
      </c>
      <c r="C15" s="131" t="s">
        <v>319</v>
      </c>
      <c r="D15" s="131" t="s">
        <v>320</v>
      </c>
      <c r="E15" s="131" t="s">
        <v>59</v>
      </c>
      <c r="F15" s="136" t="s">
        <v>26</v>
      </c>
      <c r="G15" s="136">
        <v>3808</v>
      </c>
      <c r="H15" s="23">
        <v>0.18</v>
      </c>
      <c r="I15" s="129">
        <v>16875</v>
      </c>
      <c r="J15" s="129">
        <f t="shared" si="0"/>
        <v>1518.75</v>
      </c>
      <c r="K15" s="129">
        <f t="shared" si="1"/>
        <v>1518.75</v>
      </c>
      <c r="L15" s="130"/>
      <c r="M15" s="130">
        <f t="shared" si="2"/>
        <v>19912.5</v>
      </c>
      <c r="N15" s="161">
        <f>Table432[[#This Row],[Taxable Amount]]*1%</f>
        <v>318.32</v>
      </c>
      <c r="O15" s="132"/>
      <c r="P15" s="135"/>
      <c r="Q15" s="135"/>
      <c r="R15" s="132"/>
    </row>
    <row r="16" spans="1:105" s="12" customFormat="1" ht="19.2" customHeight="1">
      <c r="A16" s="128">
        <v>46167</v>
      </c>
      <c r="B16" s="165" t="s">
        <v>1272</v>
      </c>
      <c r="C16" s="131" t="s">
        <v>637</v>
      </c>
      <c r="D16" s="131" t="s">
        <v>638</v>
      </c>
      <c r="E16" s="131" t="s">
        <v>629</v>
      </c>
      <c r="F16" s="136" t="s">
        <v>26</v>
      </c>
      <c r="G16" s="136">
        <v>3808</v>
      </c>
      <c r="H16" s="23">
        <v>0.18</v>
      </c>
      <c r="I16" s="129">
        <v>12400</v>
      </c>
      <c r="J16" s="129">
        <f t="shared" si="0"/>
        <v>1116</v>
      </c>
      <c r="K16" s="129">
        <f t="shared" si="1"/>
        <v>1116</v>
      </c>
      <c r="L16" s="130"/>
      <c r="M16" s="130">
        <f t="shared" si="2"/>
        <v>14632</v>
      </c>
      <c r="N16" s="161">
        <f>Table432[[#This Row],[Taxable Amount]]*1%</f>
        <v>42.9</v>
      </c>
      <c r="O16" s="132"/>
      <c r="P16" s="135"/>
      <c r="Q16" s="135"/>
      <c r="R16" s="132"/>
    </row>
    <row r="17" spans="1:18" s="12" customFormat="1" ht="19.2" customHeight="1">
      <c r="A17" s="128">
        <v>46167</v>
      </c>
      <c r="B17" s="165" t="s">
        <v>1273</v>
      </c>
      <c r="C17" s="131" t="s">
        <v>42</v>
      </c>
      <c r="D17" s="131" t="s">
        <v>730</v>
      </c>
      <c r="E17" s="131" t="s">
        <v>953</v>
      </c>
      <c r="F17" s="136" t="s">
        <v>26</v>
      </c>
      <c r="G17" s="136">
        <v>3808</v>
      </c>
      <c r="H17" s="23">
        <v>0.18</v>
      </c>
      <c r="I17" s="129">
        <v>13010</v>
      </c>
      <c r="J17" s="129">
        <f t="shared" si="0"/>
        <v>1170.9000000000001</v>
      </c>
      <c r="K17" s="129">
        <f t="shared" si="1"/>
        <v>1170.9000000000001</v>
      </c>
      <c r="L17" s="130"/>
      <c r="M17" s="130">
        <f t="shared" si="2"/>
        <v>15351.8</v>
      </c>
      <c r="N17" s="161">
        <f>Table432[[#This Row],[Taxable Amount]]*1%</f>
        <v>154.88</v>
      </c>
      <c r="O17" s="132"/>
      <c r="P17" s="135"/>
      <c r="Q17" s="135"/>
      <c r="R17" s="132"/>
    </row>
    <row r="18" spans="1:18" s="12" customFormat="1" ht="19.2" customHeight="1">
      <c r="A18" s="128">
        <v>46167</v>
      </c>
      <c r="B18" s="165" t="s">
        <v>1274</v>
      </c>
      <c r="C18" s="131" t="s">
        <v>42</v>
      </c>
      <c r="D18" s="131" t="s">
        <v>730</v>
      </c>
      <c r="E18" s="131" t="s">
        <v>101</v>
      </c>
      <c r="F18" s="136" t="s">
        <v>26</v>
      </c>
      <c r="G18" s="136">
        <v>3808</v>
      </c>
      <c r="H18" s="23">
        <v>0.18</v>
      </c>
      <c r="I18" s="129">
        <v>6750</v>
      </c>
      <c r="J18" s="129">
        <f t="shared" si="0"/>
        <v>607.5</v>
      </c>
      <c r="K18" s="129">
        <f t="shared" si="1"/>
        <v>607.5</v>
      </c>
      <c r="L18" s="130"/>
      <c r="M18" s="130">
        <f t="shared" si="2"/>
        <v>7965</v>
      </c>
      <c r="N18" s="161">
        <f>Table432[[#This Row],[Taxable Amount]]*1%</f>
        <v>1120</v>
      </c>
      <c r="O18" s="132"/>
      <c r="P18" s="135"/>
      <c r="Q18" s="135"/>
      <c r="R18" s="132"/>
    </row>
    <row r="19" spans="1:18" s="12" customFormat="1" ht="19.2" customHeight="1">
      <c r="A19" s="128">
        <v>46167</v>
      </c>
      <c r="B19" s="165" t="s">
        <v>1275</v>
      </c>
      <c r="C19" s="131" t="s">
        <v>42</v>
      </c>
      <c r="D19" s="131" t="s">
        <v>730</v>
      </c>
      <c r="E19" s="131" t="s">
        <v>44</v>
      </c>
      <c r="F19" s="136" t="s">
        <v>26</v>
      </c>
      <c r="G19" s="136">
        <v>3808</v>
      </c>
      <c r="H19" s="23">
        <v>0.18</v>
      </c>
      <c r="I19" s="129">
        <v>3300</v>
      </c>
      <c r="J19" s="129">
        <f t="shared" si="0"/>
        <v>297</v>
      </c>
      <c r="K19" s="129">
        <f t="shared" si="1"/>
        <v>297</v>
      </c>
      <c r="L19" s="130"/>
      <c r="M19" s="130">
        <f t="shared" si="2"/>
        <v>3894</v>
      </c>
      <c r="N19" s="161">
        <f>Table432[[#This Row],[Taxable Amount]]*1%</f>
        <v>1459.49</v>
      </c>
      <c r="O19" s="132"/>
      <c r="P19" s="135"/>
      <c r="Q19" s="135"/>
      <c r="R19" s="132"/>
    </row>
    <row r="20" spans="1:18" s="12" customFormat="1" ht="19.2" customHeight="1">
      <c r="A20" s="128">
        <v>46167</v>
      </c>
      <c r="B20" s="165" t="s">
        <v>1276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23">
        <v>0.18</v>
      </c>
      <c r="I20" s="129">
        <v>63950</v>
      </c>
      <c r="J20" s="129">
        <f t="shared" si="0"/>
        <v>5755.5</v>
      </c>
      <c r="K20" s="129">
        <f t="shared" si="1"/>
        <v>5755.5</v>
      </c>
      <c r="L20" s="130"/>
      <c r="M20" s="130">
        <f t="shared" si="2"/>
        <v>75461</v>
      </c>
      <c r="N20" s="161">
        <f>Table432[[#This Row],[Taxable Amount]]*1%</f>
        <v>113.77</v>
      </c>
      <c r="O20" s="132"/>
      <c r="P20" s="135"/>
      <c r="Q20" s="135"/>
      <c r="R20" s="132"/>
    </row>
    <row r="21" spans="1:18" s="326" customFormat="1" ht="19.2" customHeight="1">
      <c r="A21" s="314">
        <v>46167</v>
      </c>
      <c r="B21" s="390" t="s">
        <v>1277</v>
      </c>
      <c r="C21" s="315" t="s">
        <v>883</v>
      </c>
      <c r="D21" s="315" t="s">
        <v>884</v>
      </c>
      <c r="E21" s="315" t="s">
        <v>89</v>
      </c>
      <c r="F21" s="316" t="s">
        <v>26</v>
      </c>
      <c r="G21" s="316">
        <v>3808</v>
      </c>
      <c r="H21" s="317">
        <v>0.18</v>
      </c>
      <c r="I21" s="318">
        <v>4999</v>
      </c>
      <c r="J21" s="318">
        <f t="shared" si="0"/>
        <v>449.91</v>
      </c>
      <c r="K21" s="318">
        <f t="shared" si="1"/>
        <v>449.91</v>
      </c>
      <c r="L21" s="319"/>
      <c r="M21" s="130">
        <f t="shared" si="2"/>
        <v>5898.82</v>
      </c>
      <c r="N21" s="320">
        <f>Table432[[#This Row],[Taxable Amount]]*1%</f>
        <v>20</v>
      </c>
      <c r="O21" s="321"/>
      <c r="P21" s="392" t="s">
        <v>1248</v>
      </c>
      <c r="Q21" s="322"/>
      <c r="R21" s="321"/>
    </row>
    <row r="22" spans="1:18" s="12" customFormat="1" ht="19.2" customHeight="1">
      <c r="A22" s="128">
        <v>46169</v>
      </c>
      <c r="B22" s="165" t="s">
        <v>1278</v>
      </c>
      <c r="C22" s="131" t="s">
        <v>470</v>
      </c>
      <c r="D22" s="131" t="s">
        <v>471</v>
      </c>
      <c r="E22" s="131" t="s">
        <v>472</v>
      </c>
      <c r="F22" s="136" t="s">
        <v>37</v>
      </c>
      <c r="G22" s="136">
        <v>3808</v>
      </c>
      <c r="H22" s="23">
        <v>0.18</v>
      </c>
      <c r="I22" s="129">
        <v>34615.839999999997</v>
      </c>
      <c r="J22" s="129">
        <f t="shared" si="0"/>
        <v>3115.4255999999996</v>
      </c>
      <c r="K22" s="129">
        <f t="shared" si="1"/>
        <v>3115.4255999999996</v>
      </c>
      <c r="L22" s="130"/>
      <c r="M22" s="130">
        <f t="shared" si="2"/>
        <v>40846.691200000001</v>
      </c>
      <c r="N22" s="161">
        <f>Table432[[#This Row],[Taxable Amount]]*1%</f>
        <v>43.5</v>
      </c>
      <c r="O22" s="132"/>
      <c r="P22" s="135"/>
      <c r="Q22" s="135"/>
      <c r="R22" s="132"/>
    </row>
    <row r="23" spans="1:18" s="12" customFormat="1" ht="19.2" customHeight="1">
      <c r="A23" s="128">
        <v>46173</v>
      </c>
      <c r="B23" s="165" t="s">
        <v>1279</v>
      </c>
      <c r="C23" s="131" t="s">
        <v>319</v>
      </c>
      <c r="D23" s="131" t="s">
        <v>320</v>
      </c>
      <c r="E23" s="131" t="s">
        <v>85</v>
      </c>
      <c r="F23" s="136" t="s">
        <v>26</v>
      </c>
      <c r="G23" s="136">
        <v>3808</v>
      </c>
      <c r="H23" s="23">
        <v>0.18</v>
      </c>
      <c r="I23" s="129">
        <v>5200</v>
      </c>
      <c r="J23" s="129">
        <f t="shared" si="0"/>
        <v>468</v>
      </c>
      <c r="K23" s="129">
        <f t="shared" si="1"/>
        <v>468</v>
      </c>
      <c r="L23" s="130"/>
      <c r="M23" s="130">
        <f t="shared" si="2"/>
        <v>6136</v>
      </c>
      <c r="N23" s="161">
        <f>Table432[[#This Row],[Taxable Amount]]*1%</f>
        <v>155.02000000000001</v>
      </c>
      <c r="O23" s="132"/>
      <c r="P23" s="135"/>
      <c r="Q23" s="135"/>
      <c r="R23" s="132"/>
    </row>
    <row r="24" spans="1:18" s="12" customFormat="1" ht="19.2" customHeight="1">
      <c r="A24" s="128">
        <v>46173</v>
      </c>
      <c r="B24" s="165" t="s">
        <v>1280</v>
      </c>
      <c r="C24" s="131" t="s">
        <v>116</v>
      </c>
      <c r="D24" s="131" t="s">
        <v>117</v>
      </c>
      <c r="E24" s="131" t="s">
        <v>59</v>
      </c>
      <c r="F24" s="136" t="s">
        <v>26</v>
      </c>
      <c r="G24" s="136">
        <v>3808</v>
      </c>
      <c r="H24" s="23">
        <v>0.18</v>
      </c>
      <c r="I24" s="129">
        <v>17300</v>
      </c>
      <c r="J24" s="129">
        <f t="shared" si="0"/>
        <v>1557</v>
      </c>
      <c r="K24" s="129">
        <f t="shared" si="1"/>
        <v>1557</v>
      </c>
      <c r="L24" s="130"/>
      <c r="M24" s="130">
        <f t="shared" si="2"/>
        <v>20414</v>
      </c>
      <c r="N24" s="161">
        <f>Table432[[#This Row],[Taxable Amount]]*1%</f>
        <v>9</v>
      </c>
      <c r="O24" s="132"/>
      <c r="P24" s="135"/>
      <c r="Q24" s="135"/>
      <c r="R24" s="132"/>
    </row>
    <row r="25" spans="1:18" s="12" customFormat="1" ht="19.2" customHeight="1">
      <c r="A25" s="128">
        <v>46173</v>
      </c>
      <c r="B25" s="165" t="s">
        <v>1281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23">
        <v>0.18</v>
      </c>
      <c r="I25" s="129">
        <v>1205.1600000000001</v>
      </c>
      <c r="J25" s="129">
        <f t="shared" si="0"/>
        <v>108.46440000000001</v>
      </c>
      <c r="K25" s="129">
        <f t="shared" si="1"/>
        <v>108.46440000000001</v>
      </c>
      <c r="L25" s="130"/>
      <c r="M25" s="130">
        <f t="shared" si="2"/>
        <v>1422.0888000000002</v>
      </c>
      <c r="N25" s="161">
        <f>Table432[[#This Row],[Taxable Amount]]*1%</f>
        <v>554.11</v>
      </c>
      <c r="O25" s="132"/>
      <c r="P25" s="135"/>
      <c r="Q25" s="135"/>
      <c r="R25" s="132"/>
    </row>
    <row r="26" spans="1:18" s="12" customFormat="1" ht="19.2" customHeight="1">
      <c r="A26" s="128">
        <v>46173</v>
      </c>
      <c r="B26" s="165" t="s">
        <v>1282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23">
        <v>0.18</v>
      </c>
      <c r="I26" s="129">
        <v>1448.35</v>
      </c>
      <c r="J26" s="129">
        <f t="shared" si="0"/>
        <v>130.35149999999999</v>
      </c>
      <c r="K26" s="129">
        <f t="shared" si="1"/>
        <v>130.35149999999999</v>
      </c>
      <c r="L26" s="130"/>
      <c r="M26" s="130">
        <f t="shared" si="2"/>
        <v>1709.0529999999999</v>
      </c>
      <c r="N26" s="161">
        <f>Table432[[#This Row],[Taxable Amount]]*1%</f>
        <v>50.75</v>
      </c>
      <c r="O26" s="132"/>
      <c r="P26" s="135"/>
      <c r="Q26" s="135"/>
      <c r="R26" s="132"/>
    </row>
    <row r="27" spans="1:18" s="12" customFormat="1" ht="19.2" customHeight="1">
      <c r="A27" s="128">
        <v>46173</v>
      </c>
      <c r="B27" s="165" t="s">
        <v>1283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23">
        <v>0.18</v>
      </c>
      <c r="I27" s="129">
        <v>2008.6</v>
      </c>
      <c r="J27" s="129">
        <f t="shared" si="0"/>
        <v>180.77399999999997</v>
      </c>
      <c r="K27" s="129">
        <f t="shared" si="1"/>
        <v>180.77399999999997</v>
      </c>
      <c r="L27" s="130"/>
      <c r="M27" s="130">
        <f t="shared" si="2"/>
        <v>2370.1479999999997</v>
      </c>
      <c r="N27" s="161">
        <f>Table432[[#This Row],[Taxable Amount]]*1%</f>
        <v>82.8</v>
      </c>
      <c r="O27" s="132"/>
      <c r="P27" s="135"/>
      <c r="Q27" s="135"/>
      <c r="R27" s="132"/>
    </row>
    <row r="28" spans="1:18" s="12" customFormat="1" ht="19.2" customHeight="1">
      <c r="A28" s="128">
        <v>46173</v>
      </c>
      <c r="B28" s="165" t="s">
        <v>1284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23">
        <v>0.18</v>
      </c>
      <c r="I28" s="129">
        <v>1035.8399999999999</v>
      </c>
      <c r="J28" s="129">
        <f t="shared" si="0"/>
        <v>93.2256</v>
      </c>
      <c r="K28" s="129">
        <f t="shared" si="1"/>
        <v>93.2256</v>
      </c>
      <c r="L28" s="130"/>
      <c r="M28" s="130">
        <f t="shared" si="2"/>
        <v>1222.2911999999999</v>
      </c>
      <c r="N28" s="161">
        <f>Table432[[#This Row],[Taxable Amount]]*1%</f>
        <v>50.75</v>
      </c>
      <c r="O28" s="132"/>
      <c r="P28" s="135"/>
      <c r="Q28" s="135"/>
      <c r="R28" s="132"/>
    </row>
    <row r="29" spans="1:18" s="12" customFormat="1" ht="19.2" customHeight="1">
      <c r="A29" s="128">
        <v>46173</v>
      </c>
      <c r="B29" s="165" t="s">
        <v>1285</v>
      </c>
      <c r="C29" s="131" t="s">
        <v>390</v>
      </c>
      <c r="D29" s="131" t="s">
        <v>391</v>
      </c>
      <c r="E29" s="131" t="s">
        <v>260</v>
      </c>
      <c r="F29" s="136" t="s">
        <v>26</v>
      </c>
      <c r="G29" s="136">
        <v>3808</v>
      </c>
      <c r="H29" s="23">
        <v>0.18</v>
      </c>
      <c r="I29" s="129">
        <v>972.76</v>
      </c>
      <c r="J29" s="129">
        <f t="shared" si="0"/>
        <v>87.548400000000001</v>
      </c>
      <c r="K29" s="129">
        <f t="shared" si="1"/>
        <v>87.548400000000001</v>
      </c>
      <c r="L29" s="130"/>
      <c r="M29" s="130">
        <f t="shared" si="2"/>
        <v>1147.8567999999998</v>
      </c>
      <c r="N29" s="161">
        <f>Table432[[#This Row],[Taxable Amount]]*1%</f>
        <v>61.300000000000004</v>
      </c>
      <c r="O29" s="132"/>
      <c r="P29" s="135"/>
      <c r="Q29" s="135"/>
      <c r="R29" s="132"/>
    </row>
    <row r="30" spans="1:18" s="12" customFormat="1" ht="19.2" customHeight="1">
      <c r="A30" s="128">
        <v>46173</v>
      </c>
      <c r="B30" s="165" t="s">
        <v>1286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23">
        <v>0.18</v>
      </c>
      <c r="I30" s="129">
        <v>930.43</v>
      </c>
      <c r="J30" s="129">
        <f t="shared" si="0"/>
        <v>83.738699999999994</v>
      </c>
      <c r="K30" s="129">
        <f t="shared" si="1"/>
        <v>83.738699999999994</v>
      </c>
      <c r="L30" s="130"/>
      <c r="M30" s="130">
        <f t="shared" si="2"/>
        <v>1097.9074000000001</v>
      </c>
      <c r="N30" s="161">
        <f>Table432[[#This Row],[Taxable Amount]]*1%</f>
        <v>50</v>
      </c>
      <c r="O30" s="132"/>
      <c r="P30" s="135"/>
      <c r="Q30" s="135"/>
      <c r="R30" s="132"/>
    </row>
    <row r="31" spans="1:18" s="12" customFormat="1" ht="19.2" customHeight="1">
      <c r="A31" s="128">
        <v>46173</v>
      </c>
      <c r="B31" s="165" t="s">
        <v>1287</v>
      </c>
      <c r="C31" s="131" t="s">
        <v>390</v>
      </c>
      <c r="D31" s="131" t="s">
        <v>391</v>
      </c>
      <c r="E31" s="131" t="s">
        <v>260</v>
      </c>
      <c r="F31" s="136" t="s">
        <v>26</v>
      </c>
      <c r="G31" s="136">
        <v>3808</v>
      </c>
      <c r="H31" s="23">
        <v>0.18</v>
      </c>
      <c r="I31" s="129">
        <v>698.86</v>
      </c>
      <c r="J31" s="129">
        <f t="shared" si="0"/>
        <v>62.897399999999998</v>
      </c>
      <c r="K31" s="129">
        <f t="shared" si="1"/>
        <v>62.897399999999998</v>
      </c>
      <c r="L31" s="130"/>
      <c r="M31" s="130">
        <f t="shared" si="2"/>
        <v>824.65479999999991</v>
      </c>
      <c r="N31" s="161">
        <f>Table432[[#This Row],[Taxable Amount]]*1%</f>
        <v>192.5</v>
      </c>
      <c r="O31" s="132"/>
      <c r="P31" s="135"/>
      <c r="Q31" s="135"/>
      <c r="R31" s="132"/>
    </row>
    <row r="32" spans="1:18" s="12" customFormat="1" ht="19.2" customHeight="1">
      <c r="A32" s="128">
        <v>46173</v>
      </c>
      <c r="B32" s="165" t="s">
        <v>1288</v>
      </c>
      <c r="C32" s="131" t="s">
        <v>290</v>
      </c>
      <c r="D32" s="131" t="s">
        <v>291</v>
      </c>
      <c r="E32" s="131" t="s">
        <v>25</v>
      </c>
      <c r="F32" s="136" t="s">
        <v>26</v>
      </c>
      <c r="G32" s="136">
        <v>3808</v>
      </c>
      <c r="H32" s="23">
        <v>0.18</v>
      </c>
      <c r="I32" s="129">
        <v>4500</v>
      </c>
      <c r="J32" s="129">
        <f t="shared" si="0"/>
        <v>405</v>
      </c>
      <c r="K32" s="129">
        <f t="shared" si="1"/>
        <v>405</v>
      </c>
      <c r="L32" s="130"/>
      <c r="M32" s="130">
        <f t="shared" si="2"/>
        <v>5310</v>
      </c>
      <c r="N32" s="161">
        <f>Table432[[#This Row],[Taxable Amount]]*1%</f>
        <v>39</v>
      </c>
      <c r="O32" s="132"/>
      <c r="P32" s="135"/>
      <c r="Q32" s="135"/>
      <c r="R32" s="132"/>
    </row>
    <row r="33" spans="1:105" s="12" customFormat="1" ht="19.2" customHeight="1">
      <c r="A33" s="128">
        <v>46173</v>
      </c>
      <c r="B33" s="165" t="s">
        <v>1289</v>
      </c>
      <c r="C33" s="131" t="s">
        <v>372</v>
      </c>
      <c r="D33" s="131" t="s">
        <v>794</v>
      </c>
      <c r="E33" s="131" t="s">
        <v>374</v>
      </c>
      <c r="F33" s="136" t="s">
        <v>26</v>
      </c>
      <c r="G33" s="136">
        <v>3808</v>
      </c>
      <c r="H33" s="23">
        <v>0.18</v>
      </c>
      <c r="I33" s="129">
        <v>2500</v>
      </c>
      <c r="J33" s="129">
        <f t="shared" si="0"/>
        <v>225</v>
      </c>
      <c r="K33" s="129">
        <f t="shared" si="1"/>
        <v>225</v>
      </c>
      <c r="L33" s="130"/>
      <c r="M33" s="130">
        <f t="shared" si="2"/>
        <v>2950</v>
      </c>
      <c r="N33" s="161">
        <f>Table432[[#This Row],[Taxable Amount]]*1%</f>
        <v>755.87</v>
      </c>
      <c r="O33" s="132"/>
      <c r="P33" s="135"/>
      <c r="Q33" s="135"/>
      <c r="R33" s="132"/>
    </row>
    <row r="34" spans="1:105" s="12" customFormat="1" ht="19.2" customHeight="1">
      <c r="A34" s="128">
        <v>46173</v>
      </c>
      <c r="B34" s="165" t="s">
        <v>1290</v>
      </c>
      <c r="C34" s="131" t="s">
        <v>372</v>
      </c>
      <c r="D34" s="131" t="s">
        <v>794</v>
      </c>
      <c r="E34" s="131" t="s">
        <v>374</v>
      </c>
      <c r="F34" s="136" t="s">
        <v>26</v>
      </c>
      <c r="G34" s="136">
        <v>3808</v>
      </c>
      <c r="H34" s="23">
        <v>0.18</v>
      </c>
      <c r="I34" s="129">
        <v>2500</v>
      </c>
      <c r="J34" s="129">
        <f t="shared" si="0"/>
        <v>225</v>
      </c>
      <c r="K34" s="129">
        <f t="shared" si="1"/>
        <v>225</v>
      </c>
      <c r="L34" s="130"/>
      <c r="M34" s="130">
        <f t="shared" si="2"/>
        <v>2950</v>
      </c>
      <c r="N34" s="161">
        <f>Table432[[#This Row],[Taxable Amount]]*1%</f>
        <v>755.87</v>
      </c>
      <c r="O34" s="132"/>
      <c r="P34" s="135"/>
      <c r="Q34" s="135"/>
      <c r="R34" s="132"/>
    </row>
    <row r="35" spans="1:105" s="12" customFormat="1" ht="19.2" customHeight="1">
      <c r="A35" s="128">
        <v>46173</v>
      </c>
      <c r="B35" s="165" t="s">
        <v>1291</v>
      </c>
      <c r="C35" s="131" t="s">
        <v>444</v>
      </c>
      <c r="D35" s="131" t="s">
        <v>445</v>
      </c>
      <c r="E35" s="131" t="s">
        <v>232</v>
      </c>
      <c r="F35" s="136" t="s">
        <v>26</v>
      </c>
      <c r="G35" s="136">
        <v>3808</v>
      </c>
      <c r="H35" s="23">
        <v>0.18</v>
      </c>
      <c r="I35" s="129">
        <v>3300</v>
      </c>
      <c r="J35" s="129">
        <f t="shared" si="0"/>
        <v>297</v>
      </c>
      <c r="K35" s="129">
        <f t="shared" si="1"/>
        <v>297</v>
      </c>
      <c r="L35" s="130"/>
      <c r="M35" s="130">
        <f t="shared" si="2"/>
        <v>3894</v>
      </c>
      <c r="N35" s="161">
        <f>Table432[[#This Row],[Taxable Amount]]*1%</f>
        <v>86.5</v>
      </c>
      <c r="O35" s="132"/>
      <c r="P35" s="135"/>
      <c r="Q35" s="135"/>
      <c r="R35" s="132"/>
    </row>
    <row r="36" spans="1:105" s="12" customFormat="1" ht="19.2" customHeight="1">
      <c r="A36" s="128">
        <v>46173</v>
      </c>
      <c r="B36" s="165" t="s">
        <v>1292</v>
      </c>
      <c r="C36" s="131" t="s">
        <v>1185</v>
      </c>
      <c r="D36" s="131" t="s">
        <v>1186</v>
      </c>
      <c r="E36" s="131" t="s">
        <v>36</v>
      </c>
      <c r="F36" s="136" t="s">
        <v>26</v>
      </c>
      <c r="G36" s="136">
        <v>3808</v>
      </c>
      <c r="H36" s="23">
        <v>0.18</v>
      </c>
      <c r="I36" s="129">
        <v>4400</v>
      </c>
      <c r="J36" s="129">
        <f t="shared" si="0"/>
        <v>396</v>
      </c>
      <c r="K36" s="129">
        <f t="shared" si="1"/>
        <v>396</v>
      </c>
      <c r="L36" s="130"/>
      <c r="M36" s="130">
        <f t="shared" si="2"/>
        <v>5192</v>
      </c>
      <c r="N36" s="161">
        <f>Table432[[#This Row],[Taxable Amount]]*1%</f>
        <v>82.8</v>
      </c>
      <c r="O36" s="132"/>
      <c r="P36" s="135"/>
      <c r="Q36" s="135"/>
      <c r="R36" s="132"/>
    </row>
    <row r="37" spans="1:105" s="12" customFormat="1" ht="19.2" customHeight="1">
      <c r="A37" s="128">
        <v>46173</v>
      </c>
      <c r="B37" s="165" t="s">
        <v>1293</v>
      </c>
      <c r="C37" s="131" t="s">
        <v>885</v>
      </c>
      <c r="D37" s="131" t="s">
        <v>886</v>
      </c>
      <c r="E37" s="131" t="s">
        <v>59</v>
      </c>
      <c r="F37" s="136" t="s">
        <v>26</v>
      </c>
      <c r="G37" s="136">
        <v>3808</v>
      </c>
      <c r="H37" s="23">
        <v>0.18</v>
      </c>
      <c r="I37" s="129">
        <v>2200</v>
      </c>
      <c r="J37" s="129">
        <f t="shared" si="0"/>
        <v>198</v>
      </c>
      <c r="K37" s="129">
        <f t="shared" si="1"/>
        <v>198</v>
      </c>
      <c r="L37" s="130"/>
      <c r="M37" s="130">
        <f t="shared" si="2"/>
        <v>2596</v>
      </c>
      <c r="N37" s="161">
        <f>Table432[[#This Row],[Taxable Amount]]*1%</f>
        <v>34.49</v>
      </c>
      <c r="O37" s="132"/>
      <c r="P37" s="135"/>
      <c r="Q37" s="135"/>
      <c r="R37" s="132"/>
    </row>
    <row r="38" spans="1:105" s="12" customFormat="1" ht="19.2" customHeight="1">
      <c r="A38" s="408">
        <v>46173</v>
      </c>
      <c r="B38" s="131" t="s">
        <v>1294</v>
      </c>
      <c r="C38" s="131" t="s">
        <v>981</v>
      </c>
      <c r="D38" s="131" t="s">
        <v>982</v>
      </c>
      <c r="E38" s="131" t="s">
        <v>1053</v>
      </c>
      <c r="F38" s="136" t="s">
        <v>26</v>
      </c>
      <c r="G38" s="136">
        <v>3808</v>
      </c>
      <c r="H38" s="23">
        <v>0.18</v>
      </c>
      <c r="I38" s="129">
        <v>31500</v>
      </c>
      <c r="J38" s="129">
        <f t="shared" si="0"/>
        <v>2835</v>
      </c>
      <c r="K38" s="129">
        <f t="shared" si="1"/>
        <v>2835</v>
      </c>
      <c r="L38" s="130"/>
      <c r="M38" s="130">
        <f t="shared" si="2"/>
        <v>37170</v>
      </c>
      <c r="N38" s="161">
        <f>Table432[[#This Row],[Taxable Amount]]*1%</f>
        <v>60</v>
      </c>
      <c r="O38" s="132"/>
      <c r="P38" s="135"/>
      <c r="Q38" s="135"/>
      <c r="R38" s="187" t="s">
        <v>17</v>
      </c>
    </row>
    <row r="39" spans="1:105" s="448" customFormat="1" ht="19.95" customHeight="1">
      <c r="A39" s="432">
        <v>45535</v>
      </c>
      <c r="B39" s="433" t="s">
        <v>381</v>
      </c>
      <c r="C39" s="433" t="s">
        <v>157</v>
      </c>
      <c r="D39" s="433" t="s">
        <v>158</v>
      </c>
      <c r="E39" s="433" t="s">
        <v>59</v>
      </c>
      <c r="F39" s="434" t="s">
        <v>26</v>
      </c>
      <c r="G39" s="435">
        <v>998531</v>
      </c>
      <c r="H39" s="436">
        <v>0.18</v>
      </c>
      <c r="I39" s="437">
        <v>37600</v>
      </c>
      <c r="J39" s="437">
        <f t="shared" si="0"/>
        <v>3384</v>
      </c>
      <c r="K39" s="437">
        <f t="shared" si="1"/>
        <v>3384</v>
      </c>
      <c r="L39" s="438"/>
      <c r="M39" s="130">
        <f t="shared" si="2"/>
        <v>44368</v>
      </c>
      <c r="N39" s="440">
        <f>Table432[[#This Row],[Taxable Amount]]*1%</f>
        <v>82.8</v>
      </c>
      <c r="O39" s="441">
        <v>0</v>
      </c>
      <c r="P39" s="442"/>
      <c r="Q39" s="443"/>
      <c r="R39" s="444" t="s">
        <v>333</v>
      </c>
    </row>
    <row r="40" spans="1:105" s="448" customFormat="1" ht="19.95" customHeight="1">
      <c r="A40" s="432">
        <v>45716</v>
      </c>
      <c r="B40" s="433" t="s">
        <v>559</v>
      </c>
      <c r="C40" s="433" t="s">
        <v>157</v>
      </c>
      <c r="D40" s="433" t="s">
        <v>158</v>
      </c>
      <c r="E40" s="433" t="s">
        <v>67</v>
      </c>
      <c r="F40" s="434" t="s">
        <v>560</v>
      </c>
      <c r="G40" s="435">
        <v>998531</v>
      </c>
      <c r="H40" s="436">
        <v>0.18</v>
      </c>
      <c r="I40" s="437">
        <v>10440</v>
      </c>
      <c r="J40" s="437">
        <f t="shared" si="0"/>
        <v>939.6</v>
      </c>
      <c r="K40" s="437">
        <f t="shared" si="1"/>
        <v>939.6</v>
      </c>
      <c r="L40" s="438"/>
      <c r="M40" s="130">
        <f t="shared" si="2"/>
        <v>12319.2</v>
      </c>
      <c r="N40" s="440">
        <f>Table432[[#This Row],[Taxable Amount]]*1%</f>
        <v>291.33</v>
      </c>
      <c r="O40" s="441">
        <v>0</v>
      </c>
      <c r="P40" s="442"/>
      <c r="Q40" s="443"/>
      <c r="R40" s="449" t="s">
        <v>473</v>
      </c>
    </row>
    <row r="41" spans="1:105" s="448" customFormat="1" ht="19.95" customHeight="1">
      <c r="A41" s="432">
        <v>45777</v>
      </c>
      <c r="B41" s="433" t="s">
        <v>625</v>
      </c>
      <c r="C41" s="433" t="s">
        <v>157</v>
      </c>
      <c r="D41" s="433" t="s">
        <v>158</v>
      </c>
      <c r="E41" s="433" t="s">
        <v>67</v>
      </c>
      <c r="F41" s="434" t="s">
        <v>560</v>
      </c>
      <c r="G41" s="435">
        <v>998531</v>
      </c>
      <c r="H41" s="436">
        <v>0.18</v>
      </c>
      <c r="I41" s="437">
        <v>4320</v>
      </c>
      <c r="J41" s="437">
        <f t="shared" si="0"/>
        <v>388.8</v>
      </c>
      <c r="K41" s="437">
        <f t="shared" si="1"/>
        <v>388.8</v>
      </c>
      <c r="L41" s="438"/>
      <c r="M41" s="130">
        <f t="shared" si="2"/>
        <v>5097.6000000000004</v>
      </c>
      <c r="N41" s="440">
        <f>Table432[[#This Row],[Taxable Amount]]*1%</f>
        <v>153</v>
      </c>
      <c r="O41" s="441"/>
      <c r="P41" s="442"/>
      <c r="Q41" s="443"/>
      <c r="R41" s="449" t="s">
        <v>613</v>
      </c>
    </row>
    <row r="43" spans="1:105">
      <c r="B43" s="464" t="s">
        <v>1332</v>
      </c>
    </row>
    <row r="44" spans="1:105" s="12" customFormat="1" ht="24.6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72" t="s">
        <v>14</v>
      </c>
      <c r="P44" s="46" t="s">
        <v>1335</v>
      </c>
      <c r="Q44" s="46" t="s">
        <v>16</v>
      </c>
      <c r="R44" s="187" t="s">
        <v>17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</row>
    <row r="45" spans="1:105" s="325" customFormat="1" ht="19.95" customHeight="1">
      <c r="A45" s="314">
        <v>46137</v>
      </c>
      <c r="B45" s="315" t="s">
        <v>1213</v>
      </c>
      <c r="C45" s="315" t="s">
        <v>637</v>
      </c>
      <c r="D45" s="315" t="s">
        <v>638</v>
      </c>
      <c r="E45" s="315" t="s">
        <v>629</v>
      </c>
      <c r="F45" s="316" t="s">
        <v>26</v>
      </c>
      <c r="G45" s="316">
        <v>3808</v>
      </c>
      <c r="H45" s="317">
        <v>0.18</v>
      </c>
      <c r="I45" s="318">
        <v>12400</v>
      </c>
      <c r="J45" s="318">
        <f t="shared" ref="J45" si="3">I45*9/100</f>
        <v>1116</v>
      </c>
      <c r="K45" s="318">
        <f t="shared" ref="K45" si="4">I45*9/100</f>
        <v>1116</v>
      </c>
      <c r="L45" s="319"/>
      <c r="M45" s="319">
        <f>I45+J45+K45</f>
        <v>14632</v>
      </c>
      <c r="N45" s="320">
        <f>Table432[[#This Row],[Taxable Amount]]*1%</f>
        <v>59.5</v>
      </c>
      <c r="O45" s="321"/>
      <c r="P45" s="322" t="s">
        <v>54</v>
      </c>
      <c r="Q45" s="465" t="s">
        <v>1334</v>
      </c>
      <c r="R45" s="321" t="s">
        <v>1264</v>
      </c>
    </row>
    <row r="46" spans="1:105" s="326" customFormat="1" ht="19.2" customHeight="1">
      <c r="A46" s="314">
        <v>46142</v>
      </c>
      <c r="B46" s="390" t="s">
        <v>1246</v>
      </c>
      <c r="C46" s="315" t="s">
        <v>955</v>
      </c>
      <c r="D46" s="315" t="s">
        <v>205</v>
      </c>
      <c r="E46" s="315" t="s">
        <v>67</v>
      </c>
      <c r="F46" s="316" t="s">
        <v>26</v>
      </c>
      <c r="G46" s="316">
        <v>3808</v>
      </c>
      <c r="H46" s="317">
        <v>0.18</v>
      </c>
      <c r="I46" s="318">
        <v>18550</v>
      </c>
      <c r="J46" s="318">
        <f t="shared" ref="J46" si="5">I46*9/100</f>
        <v>1669.5</v>
      </c>
      <c r="K46" s="318">
        <f t="shared" ref="K46" si="6">I46*9/100</f>
        <v>1669.5</v>
      </c>
      <c r="L46" s="319"/>
      <c r="M46" s="319">
        <f t="shared" ref="M46:M54" si="7">I46+J46+K46</f>
        <v>21889</v>
      </c>
      <c r="N46" s="320">
        <f>Table432[[#This Row],[Taxable Amount]]*1%</f>
        <v>82.8</v>
      </c>
      <c r="O46" s="321"/>
      <c r="P46" s="322" t="s">
        <v>54</v>
      </c>
      <c r="Q46" s="465" t="s">
        <v>1334</v>
      </c>
      <c r="R46" s="321" t="s">
        <v>1264</v>
      </c>
    </row>
    <row r="47" spans="1:105" s="325" customFormat="1" ht="19.95" customHeight="1">
      <c r="A47" s="345">
        <v>45596</v>
      </c>
      <c r="B47" s="327" t="s">
        <v>280</v>
      </c>
      <c r="C47" s="327" t="s">
        <v>157</v>
      </c>
      <c r="D47" s="327" t="s">
        <v>158</v>
      </c>
      <c r="E47" s="327" t="s">
        <v>59</v>
      </c>
      <c r="F47" s="332" t="s">
        <v>26</v>
      </c>
      <c r="G47" s="346">
        <v>998531</v>
      </c>
      <c r="H47" s="317">
        <v>0.18</v>
      </c>
      <c r="I47" s="340">
        <v>8400</v>
      </c>
      <c r="J47" s="340">
        <v>756</v>
      </c>
      <c r="K47" s="340">
        <v>756</v>
      </c>
      <c r="L47" s="324"/>
      <c r="M47" s="319">
        <f t="shared" si="7"/>
        <v>9912</v>
      </c>
      <c r="N47" s="348">
        <v>84</v>
      </c>
      <c r="O47" s="349">
        <v>0</v>
      </c>
      <c r="P47" s="322" t="s">
        <v>54</v>
      </c>
      <c r="Q47" s="465" t="s">
        <v>1334</v>
      </c>
      <c r="R47" s="344" t="s">
        <v>431</v>
      </c>
    </row>
    <row r="48" spans="1:105" s="325" customFormat="1" ht="19.95" customHeight="1">
      <c r="A48" s="345">
        <v>45596</v>
      </c>
      <c r="B48" s="327" t="s">
        <v>432</v>
      </c>
      <c r="C48" s="327" t="s">
        <v>157</v>
      </c>
      <c r="D48" s="327" t="s">
        <v>158</v>
      </c>
      <c r="E48" s="327" t="s">
        <v>59</v>
      </c>
      <c r="F48" s="332" t="s">
        <v>26</v>
      </c>
      <c r="G48" s="346">
        <v>998531</v>
      </c>
      <c r="H48" s="317">
        <v>0.18</v>
      </c>
      <c r="I48" s="340">
        <v>12240</v>
      </c>
      <c r="J48" s="340">
        <v>1101.5999999999999</v>
      </c>
      <c r="K48" s="340">
        <v>1101.5999999999999</v>
      </c>
      <c r="L48" s="324"/>
      <c r="M48" s="319">
        <f t="shared" si="7"/>
        <v>14443.2</v>
      </c>
      <c r="N48" s="348">
        <v>122.4</v>
      </c>
      <c r="O48" s="349">
        <v>0</v>
      </c>
      <c r="P48" s="322" t="s">
        <v>54</v>
      </c>
      <c r="Q48" s="465" t="s">
        <v>1334</v>
      </c>
      <c r="R48" s="359" t="s">
        <v>313</v>
      </c>
    </row>
    <row r="49" spans="1:113" s="325" customFormat="1" ht="19.95" customHeight="1">
      <c r="A49" s="345">
        <v>45626</v>
      </c>
      <c r="B49" s="327" t="s">
        <v>458</v>
      </c>
      <c r="C49" s="327" t="s">
        <v>157</v>
      </c>
      <c r="D49" s="327" t="s">
        <v>158</v>
      </c>
      <c r="E49" s="327" t="s">
        <v>59</v>
      </c>
      <c r="F49" s="332" t="s">
        <v>26</v>
      </c>
      <c r="G49" s="346">
        <v>998531</v>
      </c>
      <c r="H49" s="317">
        <v>0.18</v>
      </c>
      <c r="I49" s="340">
        <v>8400</v>
      </c>
      <c r="J49" s="340">
        <v>756</v>
      </c>
      <c r="K49" s="340">
        <v>756</v>
      </c>
      <c r="L49" s="324"/>
      <c r="M49" s="319">
        <f t="shared" si="7"/>
        <v>9912</v>
      </c>
      <c r="N49" s="348">
        <v>84</v>
      </c>
      <c r="O49" s="349">
        <v>0</v>
      </c>
      <c r="P49" s="322" t="s">
        <v>54</v>
      </c>
      <c r="Q49" s="465" t="s">
        <v>1334</v>
      </c>
      <c r="R49" s="359" t="s">
        <v>385</v>
      </c>
    </row>
    <row r="50" spans="1:113" s="325" customFormat="1" ht="19.95" customHeight="1">
      <c r="A50" s="345">
        <v>45777</v>
      </c>
      <c r="B50" s="327" t="s">
        <v>633</v>
      </c>
      <c r="C50" s="327" t="s">
        <v>157</v>
      </c>
      <c r="D50" s="327" t="s">
        <v>158</v>
      </c>
      <c r="E50" s="327" t="s">
        <v>634</v>
      </c>
      <c r="F50" s="332" t="s">
        <v>26</v>
      </c>
      <c r="G50" s="346">
        <v>998531</v>
      </c>
      <c r="H50" s="317">
        <v>0.18</v>
      </c>
      <c r="I50" s="340">
        <v>15000</v>
      </c>
      <c r="J50" s="340">
        <f t="shared" ref="J50" si="8">I50*9/100</f>
        <v>1350</v>
      </c>
      <c r="K50" s="340">
        <f t="shared" ref="K50" si="9">I50*9/100</f>
        <v>1350</v>
      </c>
      <c r="L50" s="324"/>
      <c r="M50" s="319">
        <f t="shared" si="7"/>
        <v>17700</v>
      </c>
      <c r="N50" s="348">
        <f>Table432[[#This Row],[Taxable Amount]]*1%</f>
        <v>173</v>
      </c>
      <c r="O50" s="349"/>
      <c r="P50" s="322" t="s">
        <v>54</v>
      </c>
      <c r="Q50" s="465" t="s">
        <v>1334</v>
      </c>
      <c r="R50" s="350" t="s">
        <v>541</v>
      </c>
    </row>
    <row r="51" spans="1:113" s="326" customFormat="1" ht="19.95" customHeight="1">
      <c r="A51" s="314">
        <v>46041</v>
      </c>
      <c r="B51" s="327" t="s">
        <v>1032</v>
      </c>
      <c r="C51" s="315" t="s">
        <v>883</v>
      </c>
      <c r="D51" s="315" t="s">
        <v>884</v>
      </c>
      <c r="E51" s="315" t="s">
        <v>89</v>
      </c>
      <c r="F51" s="316" t="s">
        <v>26</v>
      </c>
      <c r="G51" s="316">
        <v>998531</v>
      </c>
      <c r="H51" s="317">
        <v>0.18</v>
      </c>
      <c r="I51" s="318">
        <v>3333</v>
      </c>
      <c r="J51" s="318">
        <v>299.97000000000003</v>
      </c>
      <c r="K51" s="318">
        <v>299.97000000000003</v>
      </c>
      <c r="L51" s="319"/>
      <c r="M51" s="319">
        <f t="shared" si="7"/>
        <v>3932.9400000000005</v>
      </c>
      <c r="N51" s="320">
        <v>33.33</v>
      </c>
      <c r="O51" s="321"/>
      <c r="P51" s="322" t="s">
        <v>54</v>
      </c>
      <c r="Q51" s="465" t="s">
        <v>1334</v>
      </c>
      <c r="R51" s="321" t="s">
        <v>1161</v>
      </c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5"/>
      <c r="BE51" s="325"/>
      <c r="BF51" s="325"/>
      <c r="BG51" s="325"/>
      <c r="BH51" s="325"/>
      <c r="BI51" s="325"/>
      <c r="BJ51" s="325"/>
      <c r="BK51" s="325"/>
      <c r="BL51" s="325"/>
      <c r="BM51" s="325"/>
      <c r="BN51" s="325"/>
      <c r="BO51" s="325"/>
      <c r="BP51" s="325"/>
      <c r="BQ51" s="325"/>
      <c r="BR51" s="325"/>
      <c r="BS51" s="325"/>
      <c r="BT51" s="325"/>
      <c r="BU51" s="325"/>
      <c r="BV51" s="325"/>
      <c r="BW51" s="325"/>
      <c r="BX51" s="325"/>
      <c r="BY51" s="325"/>
      <c r="BZ51" s="325"/>
      <c r="CA51" s="325"/>
      <c r="CB51" s="325"/>
      <c r="CC51" s="325"/>
      <c r="CD51" s="325"/>
      <c r="CE51" s="325"/>
      <c r="CF51" s="325"/>
      <c r="CG51" s="325"/>
      <c r="CH51" s="325"/>
      <c r="CI51" s="325"/>
      <c r="CJ51" s="325"/>
      <c r="CK51" s="325"/>
      <c r="CL51" s="325"/>
      <c r="CM51" s="325"/>
      <c r="CN51" s="325"/>
      <c r="CO51" s="325"/>
      <c r="CP51" s="325"/>
      <c r="CQ51" s="325"/>
      <c r="CR51" s="325"/>
      <c r="CS51" s="325"/>
      <c r="CT51" s="325"/>
      <c r="CU51" s="325"/>
      <c r="CV51" s="325"/>
      <c r="CW51" s="325"/>
      <c r="CX51" s="325"/>
      <c r="CY51" s="325"/>
      <c r="CZ51" s="325"/>
      <c r="DA51" s="325"/>
      <c r="DB51" s="325"/>
      <c r="DC51" s="325"/>
      <c r="DD51" s="325"/>
      <c r="DE51" s="325"/>
      <c r="DF51" s="325"/>
      <c r="DG51" s="325"/>
      <c r="DH51" s="325"/>
      <c r="DI51" s="325"/>
    </row>
    <row r="52" spans="1:113" s="326" customFormat="1" ht="19.95" customHeight="1">
      <c r="A52" s="314">
        <v>46112</v>
      </c>
      <c r="B52" s="315" t="s">
        <v>1178</v>
      </c>
      <c r="C52" s="315" t="s">
        <v>883</v>
      </c>
      <c r="D52" s="315" t="s">
        <v>884</v>
      </c>
      <c r="E52" s="315" t="s">
        <v>89</v>
      </c>
      <c r="F52" s="316" t="s">
        <v>26</v>
      </c>
      <c r="G52" s="316">
        <v>3808</v>
      </c>
      <c r="H52" s="317">
        <v>0.18</v>
      </c>
      <c r="I52" s="318">
        <v>1666.5</v>
      </c>
      <c r="J52" s="318">
        <v>149.98500000000001</v>
      </c>
      <c r="K52" s="318">
        <v>149.98500000000001</v>
      </c>
      <c r="L52" s="319"/>
      <c r="M52" s="319">
        <f t="shared" si="7"/>
        <v>1966.4700000000003</v>
      </c>
      <c r="N52" s="320">
        <v>16.664999999999999</v>
      </c>
      <c r="O52" s="321"/>
      <c r="P52" s="322" t="s">
        <v>54</v>
      </c>
      <c r="Q52" s="465" t="s">
        <v>1334</v>
      </c>
      <c r="R52" s="321" t="s">
        <v>1263</v>
      </c>
      <c r="S52" s="325"/>
      <c r="T52" s="325"/>
      <c r="U52" s="325"/>
      <c r="V52" s="325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  <c r="AV52" s="325"/>
      <c r="AW52" s="325"/>
      <c r="AX52" s="325"/>
      <c r="AY52" s="325"/>
      <c r="AZ52" s="325"/>
      <c r="BA52" s="325"/>
      <c r="BB52" s="325"/>
      <c r="BC52" s="325"/>
      <c r="BD52" s="325"/>
      <c r="BE52" s="325"/>
      <c r="BF52" s="325"/>
      <c r="BG52" s="325"/>
      <c r="BH52" s="325"/>
      <c r="BI52" s="325"/>
      <c r="BJ52" s="325"/>
      <c r="BK52" s="325"/>
      <c r="BL52" s="325"/>
      <c r="BM52" s="325"/>
      <c r="BN52" s="325"/>
      <c r="BO52" s="325"/>
      <c r="BP52" s="325"/>
      <c r="BQ52" s="325"/>
      <c r="BR52" s="325"/>
      <c r="BS52" s="325"/>
      <c r="BT52" s="325"/>
      <c r="BU52" s="325"/>
      <c r="BV52" s="325"/>
      <c r="BW52" s="325"/>
      <c r="BX52" s="325"/>
      <c r="BY52" s="325"/>
      <c r="BZ52" s="325"/>
      <c r="CA52" s="325"/>
      <c r="CB52" s="325"/>
      <c r="CC52" s="325"/>
      <c r="CD52" s="325"/>
      <c r="CE52" s="325"/>
      <c r="CF52" s="325"/>
      <c r="CG52" s="325"/>
      <c r="CH52" s="325"/>
      <c r="CI52" s="325"/>
      <c r="CJ52" s="325"/>
      <c r="CK52" s="325"/>
      <c r="CL52" s="325"/>
      <c r="CM52" s="325"/>
      <c r="CN52" s="325"/>
      <c r="CO52" s="325"/>
      <c r="CP52" s="325"/>
      <c r="CQ52" s="325"/>
      <c r="CR52" s="325"/>
      <c r="CS52" s="325"/>
      <c r="CT52" s="325"/>
      <c r="CU52" s="325"/>
      <c r="CV52" s="325"/>
      <c r="CW52" s="325"/>
      <c r="CX52" s="325"/>
      <c r="CY52" s="325"/>
      <c r="CZ52" s="325"/>
      <c r="DA52" s="325"/>
      <c r="DB52" s="325"/>
      <c r="DC52" s="325"/>
      <c r="DD52" s="325"/>
      <c r="DE52" s="325"/>
      <c r="DF52" s="325"/>
      <c r="DG52" s="325"/>
      <c r="DH52" s="325"/>
      <c r="DI52" s="325"/>
    </row>
    <row r="53" spans="1:113" s="326" customFormat="1" ht="19.95" customHeight="1">
      <c r="A53" s="314">
        <v>46112</v>
      </c>
      <c r="B53" s="315" t="s">
        <v>1179</v>
      </c>
      <c r="C53" s="315" t="s">
        <v>883</v>
      </c>
      <c r="D53" s="315" t="s">
        <v>884</v>
      </c>
      <c r="E53" s="315" t="s">
        <v>89</v>
      </c>
      <c r="F53" s="316" t="s">
        <v>26</v>
      </c>
      <c r="G53" s="316">
        <v>3808</v>
      </c>
      <c r="H53" s="317">
        <v>0.18</v>
      </c>
      <c r="I53" s="318">
        <v>1666.5</v>
      </c>
      <c r="J53" s="318">
        <v>149.98500000000001</v>
      </c>
      <c r="K53" s="318">
        <v>149.98500000000001</v>
      </c>
      <c r="L53" s="319"/>
      <c r="M53" s="319">
        <f t="shared" si="7"/>
        <v>1966.4700000000003</v>
      </c>
      <c r="N53" s="320">
        <v>16.664999999999999</v>
      </c>
      <c r="O53" s="321"/>
      <c r="P53" s="322" t="s">
        <v>54</v>
      </c>
      <c r="Q53" s="465" t="s">
        <v>1334</v>
      </c>
      <c r="R53" s="321" t="s">
        <v>1263</v>
      </c>
      <c r="S53" s="325"/>
      <c r="T53" s="325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  <c r="AV53" s="325"/>
      <c r="AW53" s="325"/>
      <c r="AX53" s="325"/>
      <c r="AY53" s="325"/>
      <c r="AZ53" s="325"/>
      <c r="BA53" s="325"/>
      <c r="BB53" s="325"/>
      <c r="BC53" s="325"/>
      <c r="BD53" s="325"/>
      <c r="BE53" s="325"/>
      <c r="BF53" s="325"/>
      <c r="BG53" s="325"/>
      <c r="BH53" s="325"/>
      <c r="BI53" s="325"/>
      <c r="BJ53" s="325"/>
      <c r="BK53" s="325"/>
      <c r="BL53" s="325"/>
      <c r="BM53" s="325"/>
      <c r="BN53" s="325"/>
      <c r="BO53" s="325"/>
      <c r="BP53" s="325"/>
      <c r="BQ53" s="325"/>
      <c r="BR53" s="325"/>
      <c r="BS53" s="325"/>
      <c r="BT53" s="325"/>
      <c r="BU53" s="325"/>
      <c r="BV53" s="325"/>
      <c r="BW53" s="325"/>
      <c r="BX53" s="325"/>
      <c r="BY53" s="325"/>
      <c r="BZ53" s="325"/>
      <c r="CA53" s="325"/>
      <c r="CB53" s="325"/>
      <c r="CC53" s="325"/>
      <c r="CD53" s="325"/>
      <c r="CE53" s="325"/>
      <c r="CF53" s="325"/>
      <c r="CG53" s="325"/>
      <c r="CH53" s="325"/>
      <c r="CI53" s="325"/>
      <c r="CJ53" s="325"/>
      <c r="CK53" s="325"/>
      <c r="CL53" s="325"/>
      <c r="CM53" s="325"/>
      <c r="CN53" s="325"/>
      <c r="CO53" s="325"/>
      <c r="CP53" s="325"/>
      <c r="CQ53" s="325"/>
      <c r="CR53" s="325"/>
      <c r="CS53" s="325"/>
      <c r="CT53" s="325"/>
      <c r="CU53" s="325"/>
      <c r="CV53" s="325"/>
      <c r="CW53" s="325"/>
      <c r="CX53" s="325"/>
      <c r="CY53" s="325"/>
      <c r="CZ53" s="325"/>
      <c r="DA53" s="325"/>
      <c r="DB53" s="325"/>
      <c r="DC53" s="325"/>
      <c r="DD53" s="325"/>
      <c r="DE53" s="325"/>
      <c r="DF53" s="325"/>
      <c r="DG53" s="325"/>
      <c r="DH53" s="325"/>
      <c r="DI53" s="325"/>
    </row>
    <row r="54" spans="1:113" s="326" customFormat="1" ht="19.95" customHeight="1">
      <c r="A54" s="314">
        <v>46112</v>
      </c>
      <c r="B54" s="315" t="s">
        <v>1180</v>
      </c>
      <c r="C54" s="315" t="s">
        <v>883</v>
      </c>
      <c r="D54" s="315" t="s">
        <v>884</v>
      </c>
      <c r="E54" s="315" t="s">
        <v>89</v>
      </c>
      <c r="F54" s="316" t="s">
        <v>26</v>
      </c>
      <c r="G54" s="316">
        <v>3808</v>
      </c>
      <c r="H54" s="317">
        <v>0.18</v>
      </c>
      <c r="I54" s="318">
        <v>1666.5</v>
      </c>
      <c r="J54" s="318">
        <v>149.98500000000001</v>
      </c>
      <c r="K54" s="318">
        <v>149.98500000000001</v>
      </c>
      <c r="L54" s="319"/>
      <c r="M54" s="319">
        <f t="shared" si="7"/>
        <v>1966.4700000000003</v>
      </c>
      <c r="N54" s="320">
        <v>16.664999999999999</v>
      </c>
      <c r="O54" s="321"/>
      <c r="P54" s="322" t="s">
        <v>54</v>
      </c>
      <c r="Q54" s="465" t="s">
        <v>1334</v>
      </c>
      <c r="R54" s="321" t="s">
        <v>1263</v>
      </c>
      <c r="S54" s="325"/>
      <c r="T54" s="325"/>
      <c r="U54" s="325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  <c r="AV54" s="325"/>
      <c r="AW54" s="325"/>
      <c r="AX54" s="325"/>
      <c r="AY54" s="325"/>
      <c r="AZ54" s="325"/>
      <c r="BA54" s="325"/>
      <c r="BB54" s="325"/>
      <c r="BC54" s="325"/>
      <c r="BD54" s="325"/>
      <c r="BE54" s="325"/>
      <c r="BF54" s="325"/>
      <c r="BG54" s="325"/>
      <c r="BH54" s="325"/>
      <c r="BI54" s="325"/>
      <c r="BJ54" s="325"/>
      <c r="BK54" s="325"/>
      <c r="BL54" s="325"/>
      <c r="BM54" s="325"/>
      <c r="BN54" s="325"/>
      <c r="BO54" s="325"/>
      <c r="BP54" s="325"/>
      <c r="BQ54" s="325"/>
      <c r="BR54" s="325"/>
      <c r="BS54" s="325"/>
      <c r="BT54" s="325"/>
      <c r="BU54" s="325"/>
      <c r="BV54" s="325"/>
      <c r="BW54" s="325"/>
      <c r="BX54" s="325"/>
      <c r="BY54" s="325"/>
      <c r="BZ54" s="325"/>
      <c r="CA54" s="325"/>
      <c r="CB54" s="325"/>
      <c r="CC54" s="325"/>
      <c r="CD54" s="325"/>
      <c r="CE54" s="325"/>
      <c r="CF54" s="325"/>
      <c r="CG54" s="325"/>
      <c r="CH54" s="325"/>
      <c r="CI54" s="325"/>
      <c r="CJ54" s="325"/>
      <c r="CK54" s="325"/>
      <c r="CL54" s="325"/>
      <c r="CM54" s="325"/>
      <c r="CN54" s="325"/>
      <c r="CO54" s="325"/>
      <c r="CP54" s="325"/>
      <c r="CQ54" s="325"/>
      <c r="CR54" s="325"/>
      <c r="CS54" s="325"/>
      <c r="CT54" s="325"/>
      <c r="CU54" s="325"/>
      <c r="CV54" s="325"/>
      <c r="CW54" s="325"/>
      <c r="CX54" s="325"/>
      <c r="CY54" s="325"/>
      <c r="CZ54" s="325"/>
      <c r="DA54" s="325"/>
      <c r="DB54" s="325"/>
      <c r="DC54" s="325"/>
      <c r="DD54" s="325"/>
      <c r="DE54" s="325"/>
      <c r="DF54" s="325"/>
      <c r="DG54" s="325"/>
      <c r="DH54" s="325"/>
      <c r="DI54" s="32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484F-E90B-4229-9BF6-B00BCE3B3D1A}">
  <dimension ref="A1:DQ74"/>
  <sheetViews>
    <sheetView topLeftCell="A57" workbookViewId="0">
      <selection activeCell="N74" sqref="N74"/>
    </sheetView>
  </sheetViews>
  <sheetFormatPr defaultRowHeight="14.4"/>
  <cols>
    <col min="1" max="1" width="12.44140625" customWidth="1"/>
    <col min="2" max="2" width="14" customWidth="1"/>
    <col min="3" max="3" width="31.6640625" customWidth="1"/>
    <col min="4" max="4" width="17.33203125" customWidth="1"/>
    <col min="5" max="5" width="15.6640625" customWidth="1"/>
    <col min="6" max="6" width="5.33203125" customWidth="1"/>
    <col min="7" max="7" width="8.33203125" customWidth="1"/>
    <col min="8" max="8" width="6.33203125" customWidth="1"/>
    <col min="9" max="9" width="11.44140625" customWidth="1"/>
    <col min="13" max="13" width="11" customWidth="1"/>
    <col min="17" max="17" width="10.109375" bestFit="1" customWidth="1"/>
    <col min="20" max="20" width="10.33203125" bestFit="1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/>
      <c r="X1" s="50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s="12" customFormat="1" ht="19.95" customHeight="1">
      <c r="A2" s="128">
        <v>46083</v>
      </c>
      <c r="B2" s="131" t="s">
        <v>1134</v>
      </c>
      <c r="C2" s="131" t="s">
        <v>173</v>
      </c>
      <c r="D2" s="131" t="s">
        <v>174</v>
      </c>
      <c r="E2" s="131" t="s">
        <v>62</v>
      </c>
      <c r="F2" s="136" t="s">
        <v>26</v>
      </c>
      <c r="G2" s="136">
        <v>3808</v>
      </c>
      <c r="H2" s="23">
        <v>0.18</v>
      </c>
      <c r="I2" s="129">
        <v>8800</v>
      </c>
      <c r="J2" s="129">
        <f t="shared" ref="J2:J45" si="0">I2*9/100</f>
        <v>792</v>
      </c>
      <c r="K2" s="129">
        <f t="shared" ref="K2:K45" si="1">I2*9/100</f>
        <v>792</v>
      </c>
      <c r="L2" s="130"/>
      <c r="M2" s="130">
        <f>Table432[[#This Row],[Taxable Amount]]+Table432[[#This Row],[SGST]]+Table432[[#This Row],[CGST]]</f>
        <v>25842</v>
      </c>
      <c r="N2" s="161"/>
      <c r="O2" s="132"/>
      <c r="P2" s="135"/>
      <c r="Q2" s="135"/>
      <c r="R2" s="132"/>
      <c r="S2" s="138"/>
      <c r="T2" s="131"/>
      <c r="U2" s="131"/>
      <c r="V2" s="41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</row>
    <row r="3" spans="1:121" s="12" customFormat="1" ht="19.95" customHeight="1">
      <c r="A3" s="128">
        <v>46086</v>
      </c>
      <c r="B3" s="131" t="s">
        <v>1135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23">
        <v>0.18</v>
      </c>
      <c r="I3" s="129">
        <v>9600</v>
      </c>
      <c r="J3" s="129">
        <f t="shared" si="0"/>
        <v>864</v>
      </c>
      <c r="K3" s="129">
        <f t="shared" si="1"/>
        <v>864</v>
      </c>
      <c r="L3" s="130"/>
      <c r="M3" s="130">
        <f>Table432[[#This Row],[Taxable Amount]]+Table432[[#This Row],[SGST]]+Table432[[#This Row],[CGST]]</f>
        <v>17700</v>
      </c>
      <c r="N3" s="161"/>
      <c r="O3" s="132"/>
      <c r="P3" s="135"/>
      <c r="Q3" s="135"/>
      <c r="R3" s="132"/>
      <c r="S3" s="138"/>
      <c r="T3" s="131"/>
      <c r="U3" s="131"/>
      <c r="V3" s="41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1" s="12" customFormat="1" ht="19.95" customHeight="1">
      <c r="A4" s="128">
        <v>46086</v>
      </c>
      <c r="B4" s="131" t="s">
        <v>1136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23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30"/>
      <c r="M4" s="130">
        <f>Table432[[#This Row],[Taxable Amount]]+Table432[[#This Row],[SGST]]+Table432[[#This Row],[CGST]]</f>
        <v>31810.440000000002</v>
      </c>
      <c r="N4" s="161"/>
      <c r="O4" s="132"/>
      <c r="P4" s="135"/>
      <c r="Q4" s="135"/>
      <c r="R4" s="132"/>
      <c r="S4" s="138"/>
      <c r="T4" s="131"/>
      <c r="U4" s="131"/>
      <c r="V4" s="41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</row>
    <row r="5" spans="1:121" s="12" customFormat="1" ht="19.95" customHeight="1">
      <c r="A5" s="128">
        <v>46086</v>
      </c>
      <c r="B5" s="131" t="s">
        <v>1137</v>
      </c>
      <c r="C5" s="131" t="s">
        <v>887</v>
      </c>
      <c r="D5" s="131" t="s">
        <v>1163</v>
      </c>
      <c r="E5" s="131" t="s">
        <v>1164</v>
      </c>
      <c r="F5" s="136" t="s">
        <v>26</v>
      </c>
      <c r="G5" s="136">
        <v>3808</v>
      </c>
      <c r="H5" s="23">
        <v>0.18</v>
      </c>
      <c r="I5" s="129">
        <v>2000</v>
      </c>
      <c r="J5" s="129">
        <f t="shared" si="0"/>
        <v>180</v>
      </c>
      <c r="K5" s="129">
        <f t="shared" si="1"/>
        <v>180</v>
      </c>
      <c r="L5" s="130"/>
      <c r="M5" s="130">
        <f>Table432[[#This Row],[Taxable Amount]]+Table432[[#This Row],[SGST]]+Table432[[#This Row],[CGST]]</f>
        <v>7847</v>
      </c>
      <c r="N5" s="161"/>
      <c r="O5" s="132"/>
      <c r="P5" s="135"/>
      <c r="Q5" s="135"/>
      <c r="R5" s="132"/>
      <c r="S5" s="138"/>
      <c r="T5" s="131"/>
      <c r="U5" s="131"/>
      <c r="V5" s="41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</row>
    <row r="6" spans="1:121" s="12" customFormat="1" ht="19.95" customHeight="1">
      <c r="A6" s="128">
        <v>46086</v>
      </c>
      <c r="B6" s="131" t="s">
        <v>1138</v>
      </c>
      <c r="C6" s="131" t="s">
        <v>674</v>
      </c>
      <c r="D6" s="131" t="s">
        <v>675</v>
      </c>
      <c r="E6" s="131" t="s">
        <v>684</v>
      </c>
      <c r="F6" s="136" t="s">
        <v>26</v>
      </c>
      <c r="G6" s="136">
        <v>3808</v>
      </c>
      <c r="H6" s="23">
        <v>0.18</v>
      </c>
      <c r="I6" s="129">
        <v>3000</v>
      </c>
      <c r="J6" s="129">
        <f t="shared" si="0"/>
        <v>270</v>
      </c>
      <c r="K6" s="129">
        <f t="shared" si="1"/>
        <v>270</v>
      </c>
      <c r="L6" s="130"/>
      <c r="M6" s="130">
        <f>Table432[[#This Row],[Taxable Amount]]+Table432[[#This Row],[SGST]]+Table432[[#This Row],[CGST]]</f>
        <v>51889.320000000007</v>
      </c>
      <c r="N6" s="161"/>
      <c r="O6" s="132"/>
      <c r="P6" s="135"/>
      <c r="Q6" s="135"/>
      <c r="R6" s="132"/>
      <c r="S6" s="138"/>
      <c r="T6" s="131"/>
      <c r="U6" s="131"/>
      <c r="V6" s="41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</row>
    <row r="7" spans="1:121" s="12" customFormat="1" ht="19.95" customHeight="1">
      <c r="A7" s="128">
        <v>46086</v>
      </c>
      <c r="B7" s="131" t="s">
        <v>1139</v>
      </c>
      <c r="C7" s="131" t="s">
        <v>674</v>
      </c>
      <c r="D7" s="131" t="s">
        <v>675</v>
      </c>
      <c r="E7" s="131" t="s">
        <v>956</v>
      </c>
      <c r="F7" s="136" t="s">
        <v>26</v>
      </c>
      <c r="G7" s="136">
        <v>3808</v>
      </c>
      <c r="H7" s="23">
        <v>0.18</v>
      </c>
      <c r="I7" s="129">
        <v>2200</v>
      </c>
      <c r="J7" s="129">
        <f t="shared" si="0"/>
        <v>198</v>
      </c>
      <c r="K7" s="129">
        <f t="shared" si="1"/>
        <v>198</v>
      </c>
      <c r="L7" s="130"/>
      <c r="M7" s="130">
        <f>Table432[[#This Row],[Taxable Amount]]+Table432[[#This Row],[SGST]]+Table432[[#This Row],[CGST]]</f>
        <v>31860</v>
      </c>
      <c r="N7" s="161"/>
      <c r="O7" s="132"/>
      <c r="P7" s="135"/>
      <c r="Q7" s="135"/>
      <c r="R7" s="132"/>
      <c r="S7" s="138"/>
      <c r="T7" s="131"/>
      <c r="U7" s="131"/>
      <c r="V7" s="41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s="12" customFormat="1" ht="19.95" customHeight="1">
      <c r="A8" s="128">
        <v>46086</v>
      </c>
      <c r="B8" s="131" t="s">
        <v>1140</v>
      </c>
      <c r="C8" s="131" t="s">
        <v>674</v>
      </c>
      <c r="D8" s="131" t="s">
        <v>675</v>
      </c>
      <c r="E8" s="131" t="s">
        <v>716</v>
      </c>
      <c r="F8" s="136" t="s">
        <v>26</v>
      </c>
      <c r="G8" s="136">
        <v>3808</v>
      </c>
      <c r="H8" s="23">
        <v>0.18</v>
      </c>
      <c r="I8" s="129">
        <v>2800</v>
      </c>
      <c r="J8" s="129">
        <f t="shared" si="0"/>
        <v>252</v>
      </c>
      <c r="K8" s="129">
        <f t="shared" si="1"/>
        <v>252</v>
      </c>
      <c r="L8" s="130"/>
      <c r="M8" s="130">
        <f>Table432[[#This Row],[Taxable Amount]]+Table432[[#This Row],[SGST]]+Table432[[#This Row],[CGST]]</f>
        <v>5782</v>
      </c>
      <c r="N8" s="161"/>
      <c r="O8" s="132"/>
      <c r="P8" s="135"/>
      <c r="Q8" s="135"/>
      <c r="R8" s="132"/>
      <c r="S8" s="138"/>
      <c r="T8" s="131"/>
      <c r="U8" s="131"/>
      <c r="V8" s="41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12" customFormat="1" ht="19.95" customHeight="1">
      <c r="A9" s="128">
        <v>46086</v>
      </c>
      <c r="B9" s="131" t="s">
        <v>1141</v>
      </c>
      <c r="C9" s="131" t="s">
        <v>674</v>
      </c>
      <c r="D9" s="131" t="s">
        <v>675</v>
      </c>
      <c r="E9" s="131" t="s">
        <v>811</v>
      </c>
      <c r="F9" s="136" t="s">
        <v>26</v>
      </c>
      <c r="G9" s="136">
        <v>3808</v>
      </c>
      <c r="H9" s="23">
        <v>0.18</v>
      </c>
      <c r="I9" s="129">
        <v>9000</v>
      </c>
      <c r="J9" s="129">
        <f t="shared" si="0"/>
        <v>810</v>
      </c>
      <c r="K9" s="129">
        <f t="shared" si="1"/>
        <v>810</v>
      </c>
      <c r="L9" s="130"/>
      <c r="M9" s="130">
        <f>Table432[[#This Row],[Taxable Amount]]+Table432[[#This Row],[SGST]]+Table432[[#This Row],[CGST]]</f>
        <v>46652.479999999996</v>
      </c>
      <c r="N9" s="161"/>
      <c r="O9" s="132"/>
      <c r="P9" s="135"/>
      <c r="Q9" s="135"/>
      <c r="R9" s="132"/>
      <c r="S9" s="138"/>
      <c r="T9" s="131"/>
      <c r="U9" s="131"/>
      <c r="V9" s="41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 s="12" customFormat="1" ht="19.95" customHeight="1">
      <c r="A10" s="128">
        <v>46086</v>
      </c>
      <c r="B10" s="131" t="s">
        <v>1142</v>
      </c>
      <c r="C10" s="131" t="s">
        <v>674</v>
      </c>
      <c r="D10" s="131" t="s">
        <v>675</v>
      </c>
      <c r="E10" s="131" t="s">
        <v>813</v>
      </c>
      <c r="F10" s="136" t="s">
        <v>26</v>
      </c>
      <c r="G10" s="136">
        <v>3808</v>
      </c>
      <c r="H10" s="23">
        <v>0.18</v>
      </c>
      <c r="I10" s="129">
        <v>4200</v>
      </c>
      <c r="J10" s="129">
        <f t="shared" si="0"/>
        <v>378</v>
      </c>
      <c r="K10" s="129">
        <f t="shared" si="1"/>
        <v>378</v>
      </c>
      <c r="L10" s="130"/>
      <c r="M10" s="130">
        <f>Table432[[#This Row],[Taxable Amount]]+Table432[[#This Row],[SGST]]+Table432[[#This Row],[CGST]]</f>
        <v>5782</v>
      </c>
      <c r="N10" s="161"/>
      <c r="O10" s="132"/>
      <c r="P10" s="135"/>
      <c r="Q10" s="135"/>
      <c r="R10" s="132"/>
      <c r="S10" s="138"/>
      <c r="T10" s="131"/>
      <c r="U10" s="131"/>
      <c r="V10" s="41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</row>
    <row r="11" spans="1:121" s="12" customFormat="1" ht="19.95" customHeight="1">
      <c r="A11" s="128">
        <v>46086</v>
      </c>
      <c r="B11" s="131" t="s">
        <v>1143</v>
      </c>
      <c r="C11" s="131" t="s">
        <v>674</v>
      </c>
      <c r="D11" s="131" t="s">
        <v>675</v>
      </c>
      <c r="E11" s="131" t="s">
        <v>815</v>
      </c>
      <c r="F11" s="136" t="s">
        <v>26</v>
      </c>
      <c r="G11" s="136">
        <v>3808</v>
      </c>
      <c r="H11" s="23">
        <v>0.18</v>
      </c>
      <c r="I11" s="129">
        <v>500</v>
      </c>
      <c r="J11" s="129">
        <f t="shared" si="0"/>
        <v>45</v>
      </c>
      <c r="K11" s="129">
        <f t="shared" si="1"/>
        <v>45</v>
      </c>
      <c r="L11" s="130"/>
      <c r="M11" s="130">
        <f>Table432[[#This Row],[Taxable Amount]]+Table432[[#This Row],[SGST]]+Table432[[#This Row],[CGST]]</f>
        <v>100300</v>
      </c>
      <c r="N11" s="161"/>
      <c r="O11" s="132"/>
      <c r="P11" s="135"/>
      <c r="Q11" s="135"/>
      <c r="R11" s="132"/>
      <c r="S11" s="138"/>
      <c r="T11" s="131"/>
      <c r="U11" s="131"/>
      <c r="V11" s="4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121" s="12" customFormat="1" ht="19.95" customHeight="1">
      <c r="A12" s="128">
        <v>46086</v>
      </c>
      <c r="B12" s="131" t="s">
        <v>1144</v>
      </c>
      <c r="C12" s="131" t="s">
        <v>1102</v>
      </c>
      <c r="D12" s="131" t="s">
        <v>1103</v>
      </c>
      <c r="E12" s="131" t="s">
        <v>67</v>
      </c>
      <c r="F12" s="136" t="s">
        <v>37</v>
      </c>
      <c r="G12" s="136">
        <v>3808</v>
      </c>
      <c r="H12" s="23">
        <v>0.18</v>
      </c>
      <c r="I12" s="129">
        <v>40140</v>
      </c>
      <c r="J12" s="129">
        <f t="shared" si="0"/>
        <v>3612.6</v>
      </c>
      <c r="K12" s="129">
        <f t="shared" si="1"/>
        <v>3612.6</v>
      </c>
      <c r="L12" s="130"/>
      <c r="M12" s="130">
        <f>Table432[[#This Row],[Taxable Amount]]+Table432[[#This Row],[SGST]]+Table432[[#This Row],[CGST]]</f>
        <v>12925.720000000001</v>
      </c>
      <c r="N12" s="161"/>
      <c r="O12" s="132"/>
      <c r="P12" s="135"/>
      <c r="Q12" s="135"/>
      <c r="R12" s="132"/>
      <c r="S12" s="138"/>
      <c r="T12" s="131"/>
      <c r="U12" s="131"/>
      <c r="V12" s="41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</row>
    <row r="13" spans="1:121" s="12" customFormat="1" ht="19.95" customHeight="1">
      <c r="A13" s="128">
        <v>46091</v>
      </c>
      <c r="B13" s="131" t="s">
        <v>1145</v>
      </c>
      <c r="C13" s="131" t="s">
        <v>470</v>
      </c>
      <c r="D13" s="131" t="s">
        <v>471</v>
      </c>
      <c r="E13" s="131" t="s">
        <v>1105</v>
      </c>
      <c r="F13" s="136" t="s">
        <v>37</v>
      </c>
      <c r="G13" s="136">
        <v>3808</v>
      </c>
      <c r="H13" s="23">
        <v>0.18</v>
      </c>
      <c r="I13" s="129">
        <v>66930</v>
      </c>
      <c r="J13" s="129">
        <f t="shared" si="0"/>
        <v>6023.7</v>
      </c>
      <c r="K13" s="129">
        <f t="shared" si="1"/>
        <v>6023.7</v>
      </c>
      <c r="L13" s="130"/>
      <c r="M13" s="130">
        <f>Table432[[#This Row],[Taxable Amount]]+Table432[[#This Row],[SGST]]+Table432[[#This Row],[CGST]]</f>
        <v>18155.480000000003</v>
      </c>
      <c r="N13" s="161"/>
      <c r="O13" s="132"/>
      <c r="P13" s="135"/>
      <c r="Q13" s="205"/>
      <c r="R13" s="132"/>
      <c r="S13" s="138"/>
      <c r="T13" s="131"/>
      <c r="U13" s="131"/>
      <c r="V13" s="41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121" s="12" customFormat="1" ht="19.95" customHeight="1">
      <c r="A14" s="128">
        <v>46097</v>
      </c>
      <c r="B14" s="131" t="s">
        <v>1146</v>
      </c>
      <c r="C14" s="131" t="s">
        <v>518</v>
      </c>
      <c r="D14" s="131" t="s">
        <v>519</v>
      </c>
      <c r="E14" s="131" t="s">
        <v>520</v>
      </c>
      <c r="F14" s="136" t="s">
        <v>37</v>
      </c>
      <c r="G14" s="136">
        <v>3808</v>
      </c>
      <c r="H14" s="23">
        <v>0.18</v>
      </c>
      <c r="I14" s="129">
        <v>61596</v>
      </c>
      <c r="J14" s="129">
        <f t="shared" si="0"/>
        <v>5543.64</v>
      </c>
      <c r="K14" s="129">
        <f t="shared" si="1"/>
        <v>5543.64</v>
      </c>
      <c r="L14" s="130"/>
      <c r="M14" s="130">
        <f>Table432[[#This Row],[Taxable Amount]]+Table432[[#This Row],[SGST]]+Table432[[#This Row],[CGST]]</f>
        <v>16933</v>
      </c>
      <c r="N14" s="161"/>
      <c r="O14" s="132"/>
      <c r="P14" s="135"/>
      <c r="Q14" s="135"/>
      <c r="R14" s="132"/>
      <c r="S14" s="138"/>
      <c r="T14" s="131"/>
      <c r="U14" s="131"/>
      <c r="V14" s="41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121" s="12" customFormat="1" ht="19.95" customHeight="1">
      <c r="A15" s="128">
        <v>46105</v>
      </c>
      <c r="B15" s="131" t="s">
        <v>1147</v>
      </c>
      <c r="C15" s="131" t="s">
        <v>319</v>
      </c>
      <c r="D15" s="131" t="s">
        <v>320</v>
      </c>
      <c r="E15" s="131" t="s">
        <v>59</v>
      </c>
      <c r="F15" s="136"/>
      <c r="G15" s="136">
        <v>3808</v>
      </c>
      <c r="H15" s="23">
        <v>0.18</v>
      </c>
      <c r="I15" s="129">
        <v>23825</v>
      </c>
      <c r="J15" s="129">
        <f t="shared" si="0"/>
        <v>2144.25</v>
      </c>
      <c r="K15" s="129">
        <f t="shared" si="1"/>
        <v>2144.25</v>
      </c>
      <c r="L15" s="130"/>
      <c r="M15" s="130">
        <f>Table432[[#This Row],[Taxable Amount]]+Table432[[#This Row],[SGST]]+Table432[[#This Row],[CGST]]</f>
        <v>37561.759999999995</v>
      </c>
      <c r="N15" s="161"/>
      <c r="O15" s="132"/>
      <c r="P15" s="135"/>
      <c r="Q15" s="135"/>
      <c r="R15" s="132"/>
      <c r="S15" s="138"/>
      <c r="T15" s="131"/>
      <c r="U15" s="131"/>
      <c r="V15" s="41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12" customFormat="1" ht="19.95" customHeight="1">
      <c r="A16" s="128">
        <v>46106</v>
      </c>
      <c r="B16" s="131" t="s">
        <v>1148</v>
      </c>
      <c r="C16" s="131" t="s">
        <v>637</v>
      </c>
      <c r="D16" s="131" t="s">
        <v>638</v>
      </c>
      <c r="E16" s="131" t="s">
        <v>629</v>
      </c>
      <c r="F16" s="136" t="s">
        <v>26</v>
      </c>
      <c r="G16" s="136">
        <v>3808</v>
      </c>
      <c r="H16" s="23">
        <v>0.18</v>
      </c>
      <c r="I16" s="129">
        <v>16000</v>
      </c>
      <c r="J16" s="129">
        <f t="shared" si="0"/>
        <v>1440</v>
      </c>
      <c r="K16" s="129">
        <f t="shared" si="1"/>
        <v>1440</v>
      </c>
      <c r="L16" s="130"/>
      <c r="M16" s="130">
        <f>Table432[[#This Row],[Taxable Amount]]+Table432[[#This Row],[SGST]]+Table432[[#This Row],[CGST]]</f>
        <v>5062.2000000000007</v>
      </c>
      <c r="N16" s="161"/>
      <c r="O16" s="132"/>
      <c r="P16" s="135"/>
      <c r="Q16" s="135"/>
      <c r="R16" s="132"/>
      <c r="S16" s="138"/>
      <c r="T16" s="131"/>
      <c r="U16" s="131"/>
      <c r="V16" s="41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s="12" customFormat="1" ht="19.95" customHeight="1">
      <c r="A17" s="128">
        <v>46106</v>
      </c>
      <c r="B17" s="131" t="s">
        <v>1149</v>
      </c>
      <c r="C17" s="131" t="s">
        <v>42</v>
      </c>
      <c r="D17" s="131" t="s">
        <v>730</v>
      </c>
      <c r="E17" s="131" t="s">
        <v>953</v>
      </c>
      <c r="F17" s="136" t="s">
        <v>26</v>
      </c>
      <c r="G17" s="136">
        <v>3808</v>
      </c>
      <c r="H17" s="23">
        <v>0.18</v>
      </c>
      <c r="I17" s="129">
        <v>12611</v>
      </c>
      <c r="J17" s="129">
        <f t="shared" si="0"/>
        <v>1134.99</v>
      </c>
      <c r="K17" s="129">
        <f t="shared" si="1"/>
        <v>1134.99</v>
      </c>
      <c r="L17" s="130"/>
      <c r="M17" s="130">
        <f>Table432[[#This Row],[Taxable Amount]]+Table432[[#This Row],[SGST]]+Table432[[#This Row],[CGST]]</f>
        <v>18275.839999999997</v>
      </c>
      <c r="N17" s="161"/>
      <c r="O17" s="132"/>
      <c r="P17" s="135"/>
      <c r="Q17" s="135"/>
      <c r="R17" s="132"/>
      <c r="S17" s="138"/>
      <c r="T17" s="131"/>
      <c r="U17" s="131"/>
      <c r="V17" s="41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12" customFormat="1" ht="19.95" customHeight="1">
      <c r="A18" s="128">
        <v>46106</v>
      </c>
      <c r="B18" s="131" t="s">
        <v>1150</v>
      </c>
      <c r="C18" s="131" t="s">
        <v>42</v>
      </c>
      <c r="D18" s="131" t="s">
        <v>730</v>
      </c>
      <c r="E18" s="131" t="s">
        <v>101</v>
      </c>
      <c r="F18" s="136" t="s">
        <v>26</v>
      </c>
      <c r="G18" s="136">
        <v>3808</v>
      </c>
      <c r="H18" s="23">
        <v>0.18</v>
      </c>
      <c r="I18" s="129">
        <v>6537</v>
      </c>
      <c r="J18" s="129">
        <f t="shared" si="0"/>
        <v>588.33000000000004</v>
      </c>
      <c r="K18" s="129">
        <f t="shared" si="1"/>
        <v>588.33000000000004</v>
      </c>
      <c r="L18" s="130"/>
      <c r="M18" s="130">
        <f>Table432[[#This Row],[Taxable Amount]]+Table432[[#This Row],[SGST]]+Table432[[#This Row],[CGST]]</f>
        <v>132160</v>
      </c>
      <c r="N18" s="161"/>
      <c r="O18" s="132"/>
      <c r="P18" s="135"/>
      <c r="Q18" s="135"/>
      <c r="R18" s="132"/>
      <c r="S18" s="138"/>
      <c r="T18" s="131"/>
      <c r="U18" s="131"/>
      <c r="V18" s="41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 s="12" customFormat="1" ht="19.95" customHeight="1">
      <c r="A19" s="128">
        <v>46106</v>
      </c>
      <c r="B19" s="131" t="s">
        <v>1151</v>
      </c>
      <c r="C19" s="131" t="s">
        <v>42</v>
      </c>
      <c r="D19" s="131" t="s">
        <v>730</v>
      </c>
      <c r="E19" s="131" t="s">
        <v>44</v>
      </c>
      <c r="F19" s="136" t="s">
        <v>26</v>
      </c>
      <c r="G19" s="136">
        <v>3808</v>
      </c>
      <c r="H19" s="23">
        <v>0.18</v>
      </c>
      <c r="I19" s="129">
        <v>13350</v>
      </c>
      <c r="J19" s="129">
        <f t="shared" si="0"/>
        <v>1201.5</v>
      </c>
      <c r="K19" s="129">
        <f t="shared" si="1"/>
        <v>1201.5</v>
      </c>
      <c r="L19" s="130"/>
      <c r="M19" s="130">
        <f>Table432[[#This Row],[Taxable Amount]]+Table432[[#This Row],[SGST]]+Table432[[#This Row],[CGST]]</f>
        <v>172219.82</v>
      </c>
      <c r="N19" s="161"/>
      <c r="O19" s="132"/>
      <c r="P19" s="135"/>
      <c r="Q19" s="135"/>
      <c r="R19" s="132"/>
      <c r="S19" s="138"/>
      <c r="T19" s="131"/>
      <c r="U19" s="131"/>
      <c r="V19" s="41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 spans="1:121" s="12" customFormat="1" ht="19.95" customHeight="1">
      <c r="A20" s="128">
        <v>46106</v>
      </c>
      <c r="B20" s="131" t="s">
        <v>1152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23">
        <v>0.18</v>
      </c>
      <c r="I20" s="129">
        <v>60550</v>
      </c>
      <c r="J20" s="129">
        <f t="shared" si="0"/>
        <v>5449.5</v>
      </c>
      <c r="K20" s="129">
        <f t="shared" si="1"/>
        <v>5449.5</v>
      </c>
      <c r="L20" s="130"/>
      <c r="M20" s="130">
        <f>Table432[[#This Row],[Taxable Amount]]+Table432[[#This Row],[SGST]]+Table432[[#This Row],[CGST]]</f>
        <v>13424.86</v>
      </c>
      <c r="N20" s="161"/>
      <c r="O20" s="132"/>
      <c r="P20" s="135"/>
      <c r="Q20" s="135"/>
      <c r="R20" s="132"/>
      <c r="S20" s="138"/>
      <c r="T20" s="131"/>
      <c r="U20" s="131"/>
      <c r="V20" s="41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 s="12" customFormat="1" ht="19.95" customHeight="1">
      <c r="A21" s="128">
        <v>46112</v>
      </c>
      <c r="B21" s="131" t="s">
        <v>1153</v>
      </c>
      <c r="C21" s="131" t="s">
        <v>319</v>
      </c>
      <c r="D21" s="131" t="s">
        <v>320</v>
      </c>
      <c r="E21" s="131" t="s">
        <v>85</v>
      </c>
      <c r="F21" s="136" t="s">
        <v>26</v>
      </c>
      <c r="G21" s="136">
        <v>3808</v>
      </c>
      <c r="H21" s="23">
        <v>0.18</v>
      </c>
      <c r="I21" s="129">
        <v>16600</v>
      </c>
      <c r="J21" s="129">
        <f t="shared" si="0"/>
        <v>1494</v>
      </c>
      <c r="K21" s="129">
        <f t="shared" si="1"/>
        <v>1494</v>
      </c>
      <c r="L21" s="130"/>
      <c r="M21" s="130">
        <f>Table432[[#This Row],[Taxable Amount]]+Table432[[#This Row],[SGST]]+Table432[[#This Row],[CGST]]</f>
        <v>2360</v>
      </c>
      <c r="N21" s="161"/>
      <c r="O21" s="132"/>
      <c r="P21" s="135"/>
      <c r="Q21" s="135"/>
      <c r="R21" s="132"/>
      <c r="S21" s="138"/>
      <c r="T21" s="131"/>
      <c r="U21" s="131"/>
      <c r="V21" s="4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</row>
    <row r="22" spans="1:121" s="12" customFormat="1" ht="19.95" customHeight="1">
      <c r="A22" s="128">
        <v>46112</v>
      </c>
      <c r="B22" s="131" t="s">
        <v>1154</v>
      </c>
      <c r="C22" s="131" t="s">
        <v>319</v>
      </c>
      <c r="D22" s="131" t="s">
        <v>320</v>
      </c>
      <c r="E22" s="131" t="s">
        <v>89</v>
      </c>
      <c r="F22" s="136" t="s">
        <v>26</v>
      </c>
      <c r="G22" s="136">
        <v>3808</v>
      </c>
      <c r="H22" s="23">
        <v>0.18</v>
      </c>
      <c r="I22" s="129">
        <v>18850</v>
      </c>
      <c r="J22" s="129">
        <f t="shared" si="0"/>
        <v>1696.5</v>
      </c>
      <c r="K22" s="129">
        <f t="shared" si="1"/>
        <v>1696.5</v>
      </c>
      <c r="L22" s="130"/>
      <c r="M22" s="130">
        <f>Table432[[#This Row],[Taxable Amount]]+Table432[[#This Row],[SGST]]+Table432[[#This Row],[CGST]]</f>
        <v>5133</v>
      </c>
      <c r="N22" s="161"/>
      <c r="O22" s="132"/>
      <c r="P22" s="135"/>
      <c r="Q22" s="135"/>
      <c r="R22" s="132"/>
      <c r="S22" s="138"/>
      <c r="T22" s="131"/>
      <c r="U22" s="131"/>
      <c r="V22" s="41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</row>
    <row r="23" spans="1:121" s="12" customFormat="1" ht="19.95" customHeight="1">
      <c r="A23" s="128">
        <v>46112</v>
      </c>
      <c r="B23" s="131" t="s">
        <v>1155</v>
      </c>
      <c r="C23" s="131" t="s">
        <v>116</v>
      </c>
      <c r="D23" s="131" t="s">
        <v>117</v>
      </c>
      <c r="E23" s="131" t="s">
        <v>59</v>
      </c>
      <c r="F23" s="136" t="s">
        <v>26</v>
      </c>
      <c r="G23" s="136">
        <v>3808</v>
      </c>
      <c r="H23" s="23">
        <v>0.18</v>
      </c>
      <c r="I23" s="129">
        <v>17300</v>
      </c>
      <c r="J23" s="129">
        <f t="shared" si="0"/>
        <v>1557</v>
      </c>
      <c r="K23" s="129">
        <f t="shared" si="1"/>
        <v>1557</v>
      </c>
      <c r="L23" s="130"/>
      <c r="M23" s="130">
        <f>Table432[[#This Row],[Taxable Amount]]+Table432[[#This Row],[SGST]]+Table432[[#This Row],[CGST]]</f>
        <v>18292.36</v>
      </c>
      <c r="N23" s="161"/>
      <c r="O23" s="132"/>
      <c r="P23" s="135"/>
      <c r="Q23" s="135"/>
      <c r="R23" s="132"/>
      <c r="S23" s="138"/>
      <c r="T23" s="131"/>
      <c r="U23" s="131"/>
      <c r="V23" s="41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</row>
    <row r="24" spans="1:121" s="12" customFormat="1" ht="19.95" customHeight="1">
      <c r="A24" s="128">
        <v>46112</v>
      </c>
      <c r="B24" s="131" t="s">
        <v>1156</v>
      </c>
      <c r="C24" s="131" t="s">
        <v>390</v>
      </c>
      <c r="D24" s="131" t="s">
        <v>391</v>
      </c>
      <c r="E24" s="131" t="s">
        <v>260</v>
      </c>
      <c r="F24" s="136" t="s">
        <v>26</v>
      </c>
      <c r="G24" s="136">
        <v>3808</v>
      </c>
      <c r="H24" s="23">
        <v>0.18</v>
      </c>
      <c r="I24" s="129">
        <v>1205.1600000000001</v>
      </c>
      <c r="J24" s="129">
        <f t="shared" si="0"/>
        <v>108.46440000000001</v>
      </c>
      <c r="K24" s="129">
        <f t="shared" si="1"/>
        <v>108.46440000000001</v>
      </c>
      <c r="L24" s="130"/>
      <c r="M24" s="130">
        <f>Table432[[#This Row],[Taxable Amount]]+Table432[[#This Row],[SGST]]+Table432[[#This Row],[CGST]]</f>
        <v>1062</v>
      </c>
      <c r="N24" s="161"/>
      <c r="O24" s="132"/>
      <c r="P24" s="135"/>
      <c r="Q24" s="135"/>
      <c r="R24" s="132"/>
      <c r="S24" s="138"/>
      <c r="T24" s="131"/>
      <c r="U24" s="131"/>
      <c r="V24" s="41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</row>
    <row r="25" spans="1:121" s="12" customFormat="1" ht="19.95" customHeight="1">
      <c r="A25" s="128">
        <v>46112</v>
      </c>
      <c r="B25" s="131" t="s">
        <v>1157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23">
        <v>0.18</v>
      </c>
      <c r="I25" s="129">
        <v>1448.35</v>
      </c>
      <c r="J25" s="129">
        <f t="shared" si="0"/>
        <v>130.35149999999999</v>
      </c>
      <c r="K25" s="129">
        <f t="shared" si="1"/>
        <v>130.35149999999999</v>
      </c>
      <c r="L25" s="130"/>
      <c r="M25" s="130">
        <f>Table432[[#This Row],[Taxable Amount]]+Table432[[#This Row],[SGST]]+Table432[[#This Row],[CGST]]</f>
        <v>65384.979999999996</v>
      </c>
      <c r="N25" s="161"/>
      <c r="O25" s="132"/>
      <c r="P25" s="135"/>
      <c r="Q25" s="135"/>
      <c r="R25" s="132"/>
      <c r="S25" s="138"/>
      <c r="T25" s="131"/>
      <c r="U25" s="131"/>
      <c r="V25" s="41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</row>
    <row r="26" spans="1:121" s="12" customFormat="1" ht="19.95" customHeight="1">
      <c r="A26" s="128">
        <v>46112</v>
      </c>
      <c r="B26" s="131" t="s">
        <v>1158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23">
        <v>0.18</v>
      </c>
      <c r="I26" s="129">
        <v>2008.6</v>
      </c>
      <c r="J26" s="129">
        <f t="shared" si="0"/>
        <v>180.77399999999997</v>
      </c>
      <c r="K26" s="129">
        <f t="shared" si="1"/>
        <v>180.77399999999997</v>
      </c>
      <c r="L26" s="130"/>
      <c r="M26" s="130">
        <f>Table432[[#This Row],[Taxable Amount]]+Table432[[#This Row],[SGST]]+Table432[[#This Row],[CGST]]</f>
        <v>5988.5</v>
      </c>
      <c r="N26" s="161"/>
      <c r="O26" s="132"/>
      <c r="P26" s="135"/>
      <c r="Q26" s="135"/>
      <c r="R26" s="132"/>
      <c r="S26" s="138"/>
      <c r="T26" s="131"/>
      <c r="U26" s="131"/>
      <c r="V26" s="41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</row>
    <row r="27" spans="1:121" s="12" customFormat="1" ht="19.95" customHeight="1">
      <c r="A27" s="128">
        <v>46112</v>
      </c>
      <c r="B27" s="131" t="s">
        <v>1159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23">
        <v>0.18</v>
      </c>
      <c r="I27" s="129">
        <v>1035.8399999999999</v>
      </c>
      <c r="J27" s="129">
        <f t="shared" si="0"/>
        <v>93.2256</v>
      </c>
      <c r="K27" s="129">
        <f t="shared" si="1"/>
        <v>93.2256</v>
      </c>
      <c r="L27" s="130"/>
      <c r="M27" s="130">
        <f>Table432[[#This Row],[Taxable Amount]]+Table432[[#This Row],[SGST]]+Table432[[#This Row],[CGST]]</f>
        <v>9770.4000000000015</v>
      </c>
      <c r="N27" s="161"/>
      <c r="O27" s="132"/>
      <c r="P27" s="135"/>
      <c r="Q27" s="135"/>
      <c r="R27" s="132"/>
      <c r="S27" s="138"/>
      <c r="T27" s="131"/>
      <c r="U27" s="131"/>
      <c r="V27" s="41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 spans="1:121" s="12" customFormat="1" ht="19.95" customHeight="1">
      <c r="A28" s="128">
        <v>46112</v>
      </c>
      <c r="B28" s="131" t="s">
        <v>1167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23">
        <v>0.18</v>
      </c>
      <c r="I28" s="129">
        <v>972.76</v>
      </c>
      <c r="J28" s="129">
        <f t="shared" si="0"/>
        <v>87.548400000000001</v>
      </c>
      <c r="K28" s="129">
        <f t="shared" si="1"/>
        <v>87.548400000000001</v>
      </c>
      <c r="L28" s="130"/>
      <c r="M28" s="130">
        <f>Table432[[#This Row],[Taxable Amount]]+Table432[[#This Row],[SGST]]+Table432[[#This Row],[CGST]]</f>
        <v>5988.5</v>
      </c>
      <c r="N28" s="161"/>
      <c r="O28" s="132"/>
      <c r="P28" s="135"/>
      <c r="Q28" s="135"/>
      <c r="R28" s="132"/>
      <c r="S28" s="138"/>
      <c r="T28" s="131"/>
      <c r="U28" s="131"/>
      <c r="V28" s="41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</row>
    <row r="29" spans="1:121" s="12" customFormat="1" ht="19.95" customHeight="1">
      <c r="A29" s="128">
        <v>46112</v>
      </c>
      <c r="B29" s="131" t="s">
        <v>1168</v>
      </c>
      <c r="C29" s="131" t="s">
        <v>390</v>
      </c>
      <c r="D29" s="131" t="s">
        <v>391</v>
      </c>
      <c r="E29" s="131" t="s">
        <v>260</v>
      </c>
      <c r="F29" s="136" t="s">
        <v>26</v>
      </c>
      <c r="G29" s="136">
        <v>3808</v>
      </c>
      <c r="H29" s="23">
        <v>0.18</v>
      </c>
      <c r="I29" s="129">
        <v>930.43</v>
      </c>
      <c r="J29" s="129">
        <f t="shared" si="0"/>
        <v>83.738699999999994</v>
      </c>
      <c r="K29" s="129">
        <f t="shared" si="1"/>
        <v>83.738699999999994</v>
      </c>
      <c r="L29" s="130"/>
      <c r="M29" s="130">
        <f>Table432[[#This Row],[Taxable Amount]]+Table432[[#This Row],[SGST]]+Table432[[#This Row],[CGST]]</f>
        <v>7233.4</v>
      </c>
      <c r="N29" s="161"/>
      <c r="O29" s="132"/>
      <c r="P29" s="135"/>
      <c r="Q29" s="135"/>
      <c r="R29" s="132"/>
      <c r="S29" s="138"/>
      <c r="T29" s="131"/>
      <c r="U29" s="131"/>
      <c r="V29" s="41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</row>
    <row r="30" spans="1:121" s="12" customFormat="1" ht="19.95" customHeight="1">
      <c r="A30" s="128">
        <v>46112</v>
      </c>
      <c r="B30" s="131" t="s">
        <v>1169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23">
        <v>0.18</v>
      </c>
      <c r="I30" s="129">
        <v>698.86</v>
      </c>
      <c r="J30" s="129">
        <f t="shared" si="0"/>
        <v>62.897399999999998</v>
      </c>
      <c r="K30" s="129">
        <f t="shared" si="1"/>
        <v>62.897399999999998</v>
      </c>
      <c r="L30" s="130"/>
      <c r="M30" s="130">
        <f>Table432[[#This Row],[Taxable Amount]]+Table432[[#This Row],[SGST]]+Table432[[#This Row],[CGST]]</f>
        <v>5900</v>
      </c>
      <c r="N30" s="161"/>
      <c r="O30" s="132"/>
      <c r="P30" s="135"/>
      <c r="Q30" s="135"/>
      <c r="R30" s="132"/>
      <c r="S30" s="138"/>
      <c r="T30" s="131"/>
      <c r="U30" s="131"/>
      <c r="V30" s="41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</row>
    <row r="31" spans="1:121" s="12" customFormat="1" ht="19.95" customHeight="1">
      <c r="A31" s="128">
        <v>46112</v>
      </c>
      <c r="B31" s="131" t="s">
        <v>1170</v>
      </c>
      <c r="C31" s="131" t="s">
        <v>290</v>
      </c>
      <c r="D31" s="131" t="s">
        <v>291</v>
      </c>
      <c r="E31" s="131" t="s">
        <v>25</v>
      </c>
      <c r="F31" s="136" t="s">
        <v>26</v>
      </c>
      <c r="G31" s="136">
        <v>3808</v>
      </c>
      <c r="H31" s="23">
        <v>0.18</v>
      </c>
      <c r="I31" s="129">
        <v>3000</v>
      </c>
      <c r="J31" s="129">
        <f t="shared" si="0"/>
        <v>270</v>
      </c>
      <c r="K31" s="129">
        <f t="shared" si="1"/>
        <v>270</v>
      </c>
      <c r="L31" s="130"/>
      <c r="M31" s="130">
        <f>Table432[[#This Row],[Taxable Amount]]+Table432[[#This Row],[SGST]]+Table432[[#This Row],[CGST]]</f>
        <v>22715</v>
      </c>
      <c r="N31" s="161"/>
      <c r="O31" s="132"/>
      <c r="P31" s="135"/>
      <c r="Q31" s="135"/>
      <c r="R31" s="132"/>
      <c r="S31" s="138"/>
      <c r="T31" s="131"/>
      <c r="U31" s="131"/>
      <c r="V31" s="4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</row>
    <row r="32" spans="1:121" s="12" customFormat="1" ht="19.95" customHeight="1">
      <c r="A32" s="128">
        <v>46112</v>
      </c>
      <c r="B32" s="131" t="s">
        <v>1171</v>
      </c>
      <c r="C32" s="131" t="s">
        <v>372</v>
      </c>
      <c r="D32" s="131" t="s">
        <v>794</v>
      </c>
      <c r="E32" s="131" t="s">
        <v>374</v>
      </c>
      <c r="F32" s="136" t="s">
        <v>26</v>
      </c>
      <c r="G32" s="136">
        <v>3808</v>
      </c>
      <c r="H32" s="23">
        <v>0.18</v>
      </c>
      <c r="I32" s="129">
        <v>2500</v>
      </c>
      <c r="J32" s="129">
        <f t="shared" si="0"/>
        <v>225</v>
      </c>
      <c r="K32" s="129">
        <f t="shared" si="1"/>
        <v>225</v>
      </c>
      <c r="L32" s="130"/>
      <c r="M32" s="130">
        <f>Table432[[#This Row],[Taxable Amount]]+Table432[[#This Row],[SGST]]+Table432[[#This Row],[CGST]]</f>
        <v>4602</v>
      </c>
      <c r="N32" s="161"/>
      <c r="O32" s="132"/>
      <c r="P32" s="135"/>
      <c r="Q32" s="135"/>
      <c r="R32" s="132"/>
      <c r="S32" s="138"/>
      <c r="T32" s="131"/>
      <c r="U32" s="131"/>
      <c r="V32" s="41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</row>
    <row r="33" spans="1:121" s="12" customFormat="1" ht="19.95" customHeight="1">
      <c r="A33" s="128">
        <v>46112</v>
      </c>
      <c r="B33" s="131" t="s">
        <v>1172</v>
      </c>
      <c r="C33" s="131" t="s">
        <v>372</v>
      </c>
      <c r="D33" s="131" t="s">
        <v>794</v>
      </c>
      <c r="E33" s="131" t="s">
        <v>374</v>
      </c>
      <c r="F33" s="136" t="s">
        <v>26</v>
      </c>
      <c r="G33" s="136">
        <v>3808</v>
      </c>
      <c r="H33" s="23">
        <v>0.18</v>
      </c>
      <c r="I33" s="129">
        <v>1250</v>
      </c>
      <c r="J33" s="129">
        <f t="shared" si="0"/>
        <v>112.5</v>
      </c>
      <c r="K33" s="129">
        <f t="shared" si="1"/>
        <v>112.5</v>
      </c>
      <c r="L33" s="130"/>
      <c r="M33" s="130">
        <f>Table432[[#This Row],[Taxable Amount]]+Table432[[#This Row],[SGST]]+Table432[[#This Row],[CGST]]</f>
        <v>89192.66</v>
      </c>
      <c r="N33" s="161"/>
      <c r="O33" s="132"/>
      <c r="P33" s="135"/>
      <c r="Q33" s="135"/>
      <c r="R33" s="132"/>
      <c r="S33" s="138"/>
      <c r="T33" s="131"/>
      <c r="U33" s="131"/>
      <c r="V33" s="41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</row>
    <row r="34" spans="1:121" s="12" customFormat="1" ht="19.95" customHeight="1">
      <c r="A34" s="128">
        <v>46112</v>
      </c>
      <c r="B34" s="131" t="s">
        <v>1173</v>
      </c>
      <c r="C34" s="131" t="s">
        <v>955</v>
      </c>
      <c r="D34" s="131" t="s">
        <v>205</v>
      </c>
      <c r="E34" s="131" t="s">
        <v>67</v>
      </c>
      <c r="F34" s="136" t="s">
        <v>26</v>
      </c>
      <c r="G34" s="136">
        <v>3808</v>
      </c>
      <c r="H34" s="23">
        <v>0.18</v>
      </c>
      <c r="I34" s="129">
        <v>10000</v>
      </c>
      <c r="J34" s="129">
        <f t="shared" si="0"/>
        <v>900</v>
      </c>
      <c r="K34" s="129">
        <f t="shared" si="1"/>
        <v>900</v>
      </c>
      <c r="L34" s="130"/>
      <c r="M34" s="130">
        <f>Table432[[#This Row],[Taxable Amount]]+Table432[[#This Row],[SGST]]+Table432[[#This Row],[CGST]]</f>
        <v>89192.66</v>
      </c>
      <c r="N34" s="161"/>
      <c r="O34" s="132"/>
      <c r="P34" s="135"/>
      <c r="Q34" s="135"/>
      <c r="R34" s="132"/>
      <c r="S34" s="138"/>
      <c r="T34" s="131"/>
      <c r="U34" s="131"/>
      <c r="V34" s="41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1:121" s="12" customFormat="1" ht="19.95" customHeight="1">
      <c r="A35" s="128">
        <v>46112</v>
      </c>
      <c r="B35" s="131" t="s">
        <v>1174</v>
      </c>
      <c r="C35" s="131" t="s">
        <v>981</v>
      </c>
      <c r="D35" s="131" t="s">
        <v>982</v>
      </c>
      <c r="E35" s="131" t="s">
        <v>1053</v>
      </c>
      <c r="F35" s="136" t="s">
        <v>26</v>
      </c>
      <c r="G35" s="136">
        <v>3808</v>
      </c>
      <c r="H35" s="23">
        <v>0.18</v>
      </c>
      <c r="I35" s="129">
        <v>40000</v>
      </c>
      <c r="J35" s="129">
        <f t="shared" si="0"/>
        <v>3600</v>
      </c>
      <c r="K35" s="129">
        <f t="shared" si="1"/>
        <v>3600</v>
      </c>
      <c r="L35" s="130"/>
      <c r="M35" s="130">
        <f>Table432[[#This Row],[Taxable Amount]]+Table432[[#This Row],[SGST]]+Table432[[#This Row],[CGST]]</f>
        <v>10207</v>
      </c>
      <c r="N35" s="161"/>
      <c r="O35" s="132"/>
      <c r="P35" s="135"/>
      <c r="Q35" s="135"/>
      <c r="R35" s="132"/>
      <c r="S35" s="138"/>
      <c r="T35" s="131"/>
      <c r="U35" s="131"/>
      <c r="V35" s="41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</row>
    <row r="36" spans="1:121" s="326" customFormat="1" ht="19.95" customHeight="1">
      <c r="A36" s="314">
        <v>46112</v>
      </c>
      <c r="B36" s="315" t="s">
        <v>1175</v>
      </c>
      <c r="C36" s="315" t="s">
        <v>23</v>
      </c>
      <c r="D36" s="315" t="s">
        <v>24</v>
      </c>
      <c r="E36" s="315" t="s">
        <v>25</v>
      </c>
      <c r="F36" s="316" t="s">
        <v>26</v>
      </c>
      <c r="G36" s="316">
        <v>3808</v>
      </c>
      <c r="H36" s="317">
        <v>0.18</v>
      </c>
      <c r="I36" s="318">
        <v>7350</v>
      </c>
      <c r="J36" s="318">
        <f t="shared" si="0"/>
        <v>661.5</v>
      </c>
      <c r="K36" s="318">
        <f t="shared" si="1"/>
        <v>661.5</v>
      </c>
      <c r="L36" s="319"/>
      <c r="M36" s="319">
        <f>Table432[[#This Row],[Taxable Amount]]+Table432[[#This Row],[SGST]]+Table432[[#This Row],[CGST]]</f>
        <v>9770.4000000000015</v>
      </c>
      <c r="N36" s="320"/>
      <c r="O36" s="321"/>
      <c r="P36" s="322"/>
      <c r="Q36" s="322"/>
      <c r="R36" s="321"/>
      <c r="S36" s="323"/>
      <c r="T36" s="315"/>
      <c r="U36" s="315"/>
      <c r="V36" s="324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/>
      <c r="AS36" s="325"/>
      <c r="AT36" s="325"/>
      <c r="AU36" s="325"/>
      <c r="AV36" s="325"/>
      <c r="AW36" s="325"/>
      <c r="AX36" s="325"/>
      <c r="AY36" s="325"/>
      <c r="AZ36" s="325"/>
      <c r="BA36" s="325"/>
      <c r="BB36" s="325"/>
      <c r="BC36" s="325"/>
      <c r="BD36" s="325"/>
      <c r="BE36" s="325"/>
      <c r="BF36" s="325"/>
      <c r="BG36" s="325"/>
      <c r="BH36" s="325"/>
      <c r="BI36" s="325"/>
      <c r="BJ36" s="325"/>
      <c r="BK36" s="325"/>
      <c r="BL36" s="325"/>
      <c r="BM36" s="325"/>
      <c r="BN36" s="325"/>
      <c r="BO36" s="325"/>
      <c r="BP36" s="325"/>
      <c r="BQ36" s="325"/>
      <c r="BR36" s="325"/>
      <c r="BS36" s="325"/>
      <c r="BT36" s="325"/>
      <c r="BU36" s="325"/>
      <c r="BV36" s="325"/>
      <c r="BW36" s="325"/>
      <c r="BX36" s="325"/>
      <c r="BY36" s="325"/>
      <c r="BZ36" s="325"/>
      <c r="CA36" s="325"/>
      <c r="CB36" s="325"/>
      <c r="CC36" s="325"/>
      <c r="CD36" s="325"/>
      <c r="CE36" s="325"/>
      <c r="CF36" s="325"/>
      <c r="CG36" s="325"/>
      <c r="CH36" s="325"/>
      <c r="CI36" s="325"/>
      <c r="CJ36" s="325"/>
      <c r="CK36" s="325"/>
      <c r="CL36" s="325"/>
      <c r="CM36" s="325"/>
      <c r="CN36" s="325"/>
      <c r="CO36" s="325"/>
      <c r="CP36" s="325"/>
      <c r="CQ36" s="325"/>
      <c r="CR36" s="325"/>
      <c r="CS36" s="325"/>
      <c r="CT36" s="325"/>
      <c r="CU36" s="325"/>
      <c r="CV36" s="325"/>
      <c r="CW36" s="325"/>
      <c r="CX36" s="325"/>
      <c r="CY36" s="325"/>
      <c r="CZ36" s="325"/>
      <c r="DA36" s="325"/>
      <c r="DB36" s="325"/>
      <c r="DC36" s="325"/>
      <c r="DD36" s="325"/>
      <c r="DE36" s="325"/>
      <c r="DF36" s="325"/>
      <c r="DG36" s="325"/>
      <c r="DH36" s="325"/>
      <c r="DI36" s="325"/>
      <c r="DJ36" s="325"/>
      <c r="DK36" s="325"/>
      <c r="DL36" s="325"/>
      <c r="DM36" s="325"/>
      <c r="DN36" s="325"/>
      <c r="DO36" s="325"/>
      <c r="DP36" s="325"/>
      <c r="DQ36" s="325"/>
    </row>
    <row r="37" spans="1:121" s="12" customFormat="1" ht="19.95" customHeight="1">
      <c r="A37" s="128">
        <v>46112</v>
      </c>
      <c r="B37" s="131" t="s">
        <v>1176</v>
      </c>
      <c r="C37" s="131" t="s">
        <v>444</v>
      </c>
      <c r="D37" s="131" t="s">
        <v>445</v>
      </c>
      <c r="E37" s="131" t="s">
        <v>232</v>
      </c>
      <c r="F37" s="136" t="s">
        <v>26</v>
      </c>
      <c r="G37" s="136">
        <v>3808</v>
      </c>
      <c r="H37" s="23">
        <v>0.18</v>
      </c>
      <c r="I37" s="129">
        <v>3750</v>
      </c>
      <c r="J37" s="129">
        <f t="shared" si="0"/>
        <v>337.5</v>
      </c>
      <c r="K37" s="129">
        <f t="shared" si="1"/>
        <v>337.5</v>
      </c>
      <c r="L37" s="130"/>
      <c r="M37" s="130">
        <f>Table432[[#This Row],[Taxable Amount]]+Table432[[#This Row],[SGST]]+Table432[[#This Row],[CGST]]</f>
        <v>4069.8199999999997</v>
      </c>
      <c r="N37" s="161"/>
      <c r="O37" s="132"/>
      <c r="P37" s="135"/>
      <c r="Q37" s="135"/>
      <c r="R37" s="132"/>
      <c r="S37" s="138"/>
      <c r="T37" s="131"/>
      <c r="U37" s="131"/>
      <c r="V37" s="41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</row>
    <row r="38" spans="1:121" s="12" customFormat="1" ht="19.95" customHeight="1">
      <c r="A38" s="128">
        <v>46112</v>
      </c>
      <c r="B38" s="131" t="s">
        <v>1177</v>
      </c>
      <c r="C38" s="131" t="s">
        <v>567</v>
      </c>
      <c r="D38" s="7" t="s">
        <v>568</v>
      </c>
      <c r="E38" s="131" t="s">
        <v>232</v>
      </c>
      <c r="F38" s="136" t="s">
        <v>26</v>
      </c>
      <c r="G38" s="136">
        <v>3808</v>
      </c>
      <c r="H38" s="23">
        <v>0.18</v>
      </c>
      <c r="I38" s="129">
        <v>3000</v>
      </c>
      <c r="J38" s="129">
        <f t="shared" si="0"/>
        <v>270</v>
      </c>
      <c r="K38" s="129">
        <f t="shared" si="1"/>
        <v>270</v>
      </c>
      <c r="L38" s="130"/>
      <c r="M38" s="130">
        <f>Table432[[#This Row],[Taxable Amount]]+Table432[[#This Row],[SGST]]+Table432[[#This Row],[CGST]]</f>
        <v>7080</v>
      </c>
      <c r="N38" s="161"/>
      <c r="O38" s="132"/>
      <c r="P38" s="135"/>
      <c r="Q38" s="135"/>
      <c r="R38" s="132"/>
      <c r="S38" s="138"/>
      <c r="T38" s="131"/>
      <c r="U38" s="131"/>
      <c r="V38" s="41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</row>
    <row r="39" spans="1:121" s="12" customFormat="1" ht="19.95" customHeight="1">
      <c r="A39" s="128">
        <v>46112</v>
      </c>
      <c r="B39" s="131" t="s">
        <v>1178</v>
      </c>
      <c r="C39" s="131" t="s">
        <v>883</v>
      </c>
      <c r="D39" s="131" t="s">
        <v>884</v>
      </c>
      <c r="E39" s="131" t="s">
        <v>89</v>
      </c>
      <c r="F39" s="136" t="s">
        <v>26</v>
      </c>
      <c r="G39" s="136">
        <v>3808</v>
      </c>
      <c r="H39" s="23">
        <v>0.18</v>
      </c>
      <c r="I39" s="129">
        <v>1666.5</v>
      </c>
      <c r="J39" s="129">
        <f t="shared" si="0"/>
        <v>149.98500000000001</v>
      </c>
      <c r="K39" s="129">
        <f t="shared" si="1"/>
        <v>149.98500000000001</v>
      </c>
      <c r="L39" s="130"/>
      <c r="M39" s="130">
        <f>Table432[[#This Row],[Taxable Amount]]+Table432[[#This Row],[SGST]]+Table432[[#This Row],[CGST]]</f>
        <v>9770.4000000000015</v>
      </c>
      <c r="N39" s="161"/>
      <c r="O39" s="132"/>
      <c r="P39" s="135"/>
      <c r="Q39" s="135"/>
      <c r="R39" s="132"/>
      <c r="S39" s="138"/>
      <c r="T39" s="131"/>
      <c r="U39" s="131"/>
      <c r="V39" s="41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</row>
    <row r="40" spans="1:121" s="12" customFormat="1" ht="19.95" customHeight="1">
      <c r="A40" s="128">
        <v>46112</v>
      </c>
      <c r="B40" s="131" t="s">
        <v>1179</v>
      </c>
      <c r="C40" s="131" t="s">
        <v>883</v>
      </c>
      <c r="D40" s="131" t="s">
        <v>884</v>
      </c>
      <c r="E40" s="131" t="s">
        <v>89</v>
      </c>
      <c r="F40" s="136" t="s">
        <v>26</v>
      </c>
      <c r="G40" s="136">
        <v>3808</v>
      </c>
      <c r="H40" s="23">
        <v>0.18</v>
      </c>
      <c r="I40" s="129">
        <v>1666.5</v>
      </c>
      <c r="J40" s="129">
        <f t="shared" si="0"/>
        <v>149.98500000000001</v>
      </c>
      <c r="K40" s="129">
        <f t="shared" si="1"/>
        <v>149.98500000000001</v>
      </c>
      <c r="L40" s="130"/>
      <c r="M40" s="130">
        <f>Table432[[#This Row],[Taxable Amount]]+Table432[[#This Row],[SGST]]+Table432[[#This Row],[CGST]]</f>
        <v>34376.94</v>
      </c>
      <c r="N40" s="161"/>
      <c r="O40" s="132"/>
      <c r="P40" s="135"/>
      <c r="Q40" s="135"/>
      <c r="R40" s="132"/>
      <c r="S40" s="138"/>
      <c r="T40" s="131"/>
      <c r="U40" s="131"/>
      <c r="V40" s="41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 spans="1:121" s="12" customFormat="1" ht="19.95" customHeight="1">
      <c r="A41" s="128">
        <v>46112</v>
      </c>
      <c r="B41" s="131" t="s">
        <v>1180</v>
      </c>
      <c r="C41" s="131" t="s">
        <v>883</v>
      </c>
      <c r="D41" s="131" t="s">
        <v>884</v>
      </c>
      <c r="E41" s="131" t="s">
        <v>89</v>
      </c>
      <c r="F41" s="136" t="s">
        <v>26</v>
      </c>
      <c r="G41" s="136">
        <v>3808</v>
      </c>
      <c r="H41" s="23">
        <v>0.18</v>
      </c>
      <c r="I41" s="129">
        <v>1666.5</v>
      </c>
      <c r="J41" s="129">
        <f t="shared" si="0"/>
        <v>149.98500000000001</v>
      </c>
      <c r="K41" s="129">
        <f t="shared" si="1"/>
        <v>149.98500000000001</v>
      </c>
      <c r="L41" s="130"/>
      <c r="M41" s="130">
        <f>Table432[[#This Row],[Taxable Amount]]+Table432[[#This Row],[SGST]]+Table432[[#This Row],[CGST]]</f>
        <v>18054</v>
      </c>
      <c r="N41" s="161"/>
      <c r="O41" s="132"/>
      <c r="P41" s="135"/>
      <c r="Q41" s="135"/>
      <c r="R41" s="132"/>
      <c r="S41" s="138"/>
      <c r="T41" s="131"/>
      <c r="U41" s="131"/>
      <c r="V41" s="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</row>
    <row r="42" spans="1:121" s="12" customFormat="1" ht="19.95" customHeight="1">
      <c r="A42" s="128">
        <v>46112</v>
      </c>
      <c r="B42" s="131" t="s">
        <v>1181</v>
      </c>
      <c r="C42" s="131" t="s">
        <v>885</v>
      </c>
      <c r="D42" s="131" t="s">
        <v>886</v>
      </c>
      <c r="E42" s="131" t="s">
        <v>59</v>
      </c>
      <c r="F42" s="136" t="s">
        <v>26</v>
      </c>
      <c r="G42" s="136">
        <v>3808</v>
      </c>
      <c r="H42" s="23">
        <v>0.18</v>
      </c>
      <c r="I42" s="129">
        <v>2200</v>
      </c>
      <c r="J42" s="129">
        <f t="shared" si="0"/>
        <v>198</v>
      </c>
      <c r="K42" s="129">
        <f t="shared" si="1"/>
        <v>198</v>
      </c>
      <c r="L42" s="130"/>
      <c r="M42" s="130">
        <f>Table432[[#This Row],[Taxable Amount]]+Table432[[#This Row],[SGST]]+Table432[[#This Row],[CGST]]</f>
        <v>5162.5</v>
      </c>
      <c r="N42" s="161"/>
      <c r="O42" s="132"/>
      <c r="P42" s="135"/>
      <c r="Q42" s="135"/>
      <c r="R42" s="132"/>
      <c r="S42" s="138"/>
      <c r="T42" s="131"/>
      <c r="U42" s="131"/>
      <c r="V42" s="41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</row>
    <row r="43" spans="1:121" s="12" customFormat="1" ht="19.95" customHeight="1">
      <c r="A43" s="128">
        <v>46112</v>
      </c>
      <c r="B43" s="131" t="s">
        <v>1182</v>
      </c>
      <c r="C43" s="131" t="s">
        <v>1185</v>
      </c>
      <c r="D43" s="131" t="s">
        <v>1186</v>
      </c>
      <c r="E43" s="131" t="s">
        <v>36</v>
      </c>
      <c r="F43" s="136" t="s">
        <v>26</v>
      </c>
      <c r="G43" s="136">
        <v>3808</v>
      </c>
      <c r="H43" s="23">
        <v>0.18</v>
      </c>
      <c r="I43" s="129">
        <v>4400</v>
      </c>
      <c r="J43" s="129">
        <f t="shared" si="0"/>
        <v>396</v>
      </c>
      <c r="K43" s="129">
        <f t="shared" si="1"/>
        <v>396</v>
      </c>
      <c r="L43" s="130"/>
      <c r="M43" s="130">
        <f>Table432[[#This Row],[Taxable Amount]]+Table432[[#This Row],[SGST]]+Table432[[#This Row],[CGST]]</f>
        <v>53410.34</v>
      </c>
      <c r="N43" s="161"/>
      <c r="O43" s="132"/>
      <c r="P43" s="135"/>
      <c r="Q43" s="135"/>
      <c r="R43" s="132"/>
      <c r="S43" s="138"/>
      <c r="T43" s="131"/>
      <c r="U43" s="131"/>
      <c r="V43" s="41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</row>
    <row r="44" spans="1:121" s="12" customFormat="1" ht="19.95" customHeight="1">
      <c r="A44" s="128">
        <v>46112</v>
      </c>
      <c r="B44" s="131" t="s">
        <v>1183</v>
      </c>
      <c r="C44" s="131" t="s">
        <v>1187</v>
      </c>
      <c r="D44" s="131" t="s">
        <v>1188</v>
      </c>
      <c r="E44" s="131" t="s">
        <v>44</v>
      </c>
      <c r="F44" s="136" t="s">
        <v>26</v>
      </c>
      <c r="G44" s="136">
        <v>3808</v>
      </c>
      <c r="H44" s="23">
        <v>0.18</v>
      </c>
      <c r="I44" s="129">
        <v>1750</v>
      </c>
      <c r="J44" s="129">
        <f t="shared" si="0"/>
        <v>157.5</v>
      </c>
      <c r="K44" s="129">
        <f t="shared" si="1"/>
        <v>157.5</v>
      </c>
      <c r="L44" s="130"/>
      <c r="M44" s="130">
        <f>Table432[[#This Row],[Taxable Amount]]+Table432[[#This Row],[SGST]]+Table432[[#This Row],[CGST]]</f>
        <v>20414</v>
      </c>
      <c r="N44" s="161"/>
      <c r="O44" s="132"/>
      <c r="P44" s="135"/>
      <c r="Q44" s="135"/>
      <c r="R44" s="132"/>
      <c r="S44" s="138"/>
      <c r="T44" s="131"/>
      <c r="U44" s="131"/>
      <c r="V44" s="41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</row>
    <row r="45" spans="1:121" s="12" customFormat="1" ht="19.95" customHeight="1">
      <c r="A45" s="128">
        <v>46112</v>
      </c>
      <c r="B45" s="131" t="s">
        <v>1184</v>
      </c>
      <c r="C45" s="131" t="s">
        <v>1187</v>
      </c>
      <c r="D45" s="131" t="s">
        <v>1188</v>
      </c>
      <c r="E45" s="131" t="s">
        <v>44</v>
      </c>
      <c r="F45" s="136" t="s">
        <v>26</v>
      </c>
      <c r="G45" s="136">
        <v>3808</v>
      </c>
      <c r="H45" s="23">
        <v>0.18</v>
      </c>
      <c r="I45" s="129">
        <v>1750</v>
      </c>
      <c r="J45" s="129">
        <f t="shared" si="0"/>
        <v>157.5</v>
      </c>
      <c r="K45" s="129">
        <f t="shared" si="1"/>
        <v>157.5</v>
      </c>
      <c r="L45" s="130"/>
      <c r="M45" s="130">
        <f>Table432[[#This Row],[Taxable Amount]]+Table432[[#This Row],[SGST]]+Table432[[#This Row],[CGST]]</f>
        <v>7021</v>
      </c>
      <c r="N45" s="161"/>
      <c r="O45" s="132"/>
      <c r="P45" s="135"/>
      <c r="Q45" s="135"/>
      <c r="R45" s="132"/>
      <c r="S45" s="138"/>
      <c r="T45" s="131"/>
      <c r="U45" s="131"/>
      <c r="V45" s="41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</row>
    <row r="46" spans="1:121">
      <c r="A46" t="s">
        <v>1192</v>
      </c>
    </row>
    <row r="47" spans="1:121" ht="21">
      <c r="A47" s="360" t="s">
        <v>1191</v>
      </c>
    </row>
    <row r="48" spans="1:121" s="326" customFormat="1" ht="19.95" customHeight="1">
      <c r="A48" s="314">
        <v>46078</v>
      </c>
      <c r="B48" s="315" t="s">
        <v>1112</v>
      </c>
      <c r="C48" s="315" t="s">
        <v>42</v>
      </c>
      <c r="D48" s="315" t="s">
        <v>730</v>
      </c>
      <c r="E48" s="315" t="s">
        <v>163</v>
      </c>
      <c r="F48" s="316" t="s">
        <v>26</v>
      </c>
      <c r="G48" s="316">
        <v>3808</v>
      </c>
      <c r="H48" s="317">
        <v>0.18</v>
      </c>
      <c r="I48" s="318">
        <v>25200</v>
      </c>
      <c r="J48" s="318">
        <f t="shared" ref="J48:J51" si="2">I48*9/100</f>
        <v>2268</v>
      </c>
      <c r="K48" s="318">
        <f t="shared" ref="K48:K51" si="3">I48*9/100</f>
        <v>2268</v>
      </c>
      <c r="L48" s="319"/>
      <c r="M48" s="319">
        <f>I48+J48+K48</f>
        <v>29736</v>
      </c>
      <c r="N48" s="320"/>
      <c r="O48" s="321"/>
      <c r="P48" s="322"/>
      <c r="Q48" s="322"/>
      <c r="R48" s="321" t="s">
        <v>1162</v>
      </c>
      <c r="S48" s="323"/>
      <c r="T48" s="315"/>
      <c r="U48" s="315"/>
      <c r="V48" s="324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  <c r="AV48" s="325"/>
      <c r="AW48" s="325"/>
      <c r="AX48" s="325"/>
      <c r="AY48" s="325"/>
      <c r="AZ48" s="325"/>
      <c r="BA48" s="325"/>
      <c r="BB48" s="325"/>
      <c r="BC48" s="325"/>
      <c r="BD48" s="325"/>
      <c r="BE48" s="325"/>
      <c r="BF48" s="325"/>
      <c r="BG48" s="325"/>
      <c r="BH48" s="325"/>
      <c r="BI48" s="325"/>
      <c r="BJ48" s="325"/>
      <c r="BK48" s="325"/>
      <c r="BL48" s="325"/>
      <c r="BM48" s="325"/>
      <c r="BN48" s="325"/>
      <c r="BO48" s="325"/>
      <c r="BP48" s="325"/>
      <c r="BQ48" s="325"/>
      <c r="BR48" s="325"/>
      <c r="BS48" s="325"/>
      <c r="BT48" s="325"/>
      <c r="BU48" s="325"/>
      <c r="BV48" s="325"/>
      <c r="BW48" s="325"/>
      <c r="BX48" s="325"/>
      <c r="BY48" s="325"/>
      <c r="BZ48" s="325"/>
      <c r="CA48" s="325"/>
      <c r="CB48" s="325"/>
      <c r="CC48" s="325"/>
      <c r="CD48" s="325"/>
      <c r="CE48" s="325"/>
      <c r="CF48" s="325"/>
      <c r="CG48" s="325"/>
      <c r="CH48" s="325"/>
      <c r="CI48" s="325"/>
      <c r="CJ48" s="325"/>
      <c r="CK48" s="325"/>
      <c r="CL48" s="325"/>
      <c r="CM48" s="325"/>
      <c r="CN48" s="325"/>
      <c r="CO48" s="325"/>
      <c r="CP48" s="325"/>
      <c r="CQ48" s="325"/>
      <c r="CR48" s="325"/>
      <c r="CS48" s="325"/>
      <c r="CT48" s="325"/>
      <c r="CU48" s="325"/>
      <c r="CV48" s="325"/>
      <c r="CW48" s="325"/>
      <c r="CX48" s="325"/>
      <c r="CY48" s="325"/>
      <c r="CZ48" s="325"/>
      <c r="DA48" s="325"/>
      <c r="DB48" s="325"/>
      <c r="DC48" s="325"/>
      <c r="DD48" s="325"/>
      <c r="DE48" s="325"/>
      <c r="DF48" s="325"/>
      <c r="DG48" s="325"/>
      <c r="DH48" s="325"/>
      <c r="DI48" s="325"/>
      <c r="DJ48" s="325"/>
      <c r="DK48" s="325"/>
      <c r="DL48" s="325"/>
      <c r="DM48" s="325"/>
      <c r="DN48" s="325"/>
      <c r="DO48" s="325"/>
      <c r="DP48" s="325"/>
      <c r="DQ48" s="325"/>
    </row>
    <row r="49" spans="1:121" s="326" customFormat="1" ht="19.95" customHeight="1">
      <c r="A49" s="314">
        <v>46034</v>
      </c>
      <c r="B49" s="327" t="s">
        <v>1029</v>
      </c>
      <c r="C49" s="315" t="s">
        <v>575</v>
      </c>
      <c r="D49" s="315" t="s">
        <v>576</v>
      </c>
      <c r="E49" s="315" t="s">
        <v>577</v>
      </c>
      <c r="F49" s="316" t="s">
        <v>26</v>
      </c>
      <c r="G49" s="316">
        <v>998531</v>
      </c>
      <c r="H49" s="317">
        <v>0.18</v>
      </c>
      <c r="I49" s="318">
        <v>29700</v>
      </c>
      <c r="J49" s="318">
        <f t="shared" si="2"/>
        <v>2673</v>
      </c>
      <c r="K49" s="318">
        <f t="shared" si="3"/>
        <v>2673</v>
      </c>
      <c r="L49" s="319"/>
      <c r="M49" s="319">
        <f t="shared" ref="M49:M74" si="4">I49+J49+K49</f>
        <v>35046</v>
      </c>
      <c r="N49" s="320"/>
      <c r="O49" s="321"/>
      <c r="P49" s="322"/>
      <c r="Q49" s="322"/>
      <c r="R49" s="321" t="s">
        <v>1161</v>
      </c>
      <c r="S49" s="323"/>
      <c r="T49" s="315"/>
      <c r="U49" s="315"/>
      <c r="V49" s="324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  <c r="AW49" s="325"/>
      <c r="AX49" s="325"/>
      <c r="AY49" s="325"/>
      <c r="AZ49" s="325"/>
      <c r="BA49" s="325"/>
      <c r="BB49" s="325"/>
      <c r="BC49" s="325"/>
      <c r="BD49" s="325"/>
      <c r="BE49" s="325"/>
      <c r="BF49" s="325"/>
      <c r="BG49" s="325"/>
      <c r="BH49" s="325"/>
      <c r="BI49" s="325"/>
      <c r="BJ49" s="325"/>
      <c r="BK49" s="325"/>
      <c r="BL49" s="325"/>
      <c r="BM49" s="325"/>
      <c r="BN49" s="325"/>
      <c r="BO49" s="325"/>
      <c r="BP49" s="325"/>
      <c r="BQ49" s="325"/>
      <c r="BR49" s="325"/>
      <c r="BS49" s="325"/>
      <c r="BT49" s="325"/>
      <c r="BU49" s="325"/>
      <c r="BV49" s="325"/>
      <c r="BW49" s="325"/>
      <c r="BX49" s="325"/>
      <c r="BY49" s="325"/>
      <c r="BZ49" s="325"/>
      <c r="CA49" s="325"/>
      <c r="CB49" s="325"/>
      <c r="CC49" s="325"/>
      <c r="CD49" s="325"/>
      <c r="CE49" s="325"/>
      <c r="CF49" s="325"/>
      <c r="CG49" s="325"/>
      <c r="CH49" s="325"/>
      <c r="CI49" s="325"/>
      <c r="CJ49" s="325"/>
      <c r="CK49" s="325"/>
      <c r="CL49" s="325"/>
      <c r="CM49" s="325"/>
      <c r="CN49" s="325"/>
      <c r="CO49" s="325"/>
      <c r="CP49" s="325"/>
      <c r="CQ49" s="325"/>
      <c r="CR49" s="325"/>
      <c r="CS49" s="325"/>
      <c r="CT49" s="325"/>
      <c r="CU49" s="325"/>
      <c r="CV49" s="325"/>
      <c r="CW49" s="325"/>
      <c r="CX49" s="325"/>
      <c r="CY49" s="325"/>
      <c r="CZ49" s="325"/>
      <c r="DA49" s="325"/>
      <c r="DB49" s="325"/>
      <c r="DC49" s="325"/>
      <c r="DD49" s="325"/>
      <c r="DE49" s="325"/>
      <c r="DF49" s="325"/>
      <c r="DG49" s="325"/>
      <c r="DH49" s="325"/>
      <c r="DI49" s="325"/>
      <c r="DJ49" s="325"/>
      <c r="DK49" s="325"/>
      <c r="DL49" s="325"/>
      <c r="DM49" s="325"/>
      <c r="DN49" s="325"/>
      <c r="DO49" s="325"/>
      <c r="DP49" s="325"/>
      <c r="DQ49" s="325"/>
    </row>
    <row r="50" spans="1:121" s="326" customFormat="1" ht="19.95" customHeight="1">
      <c r="A50" s="314">
        <v>46022</v>
      </c>
      <c r="B50" s="327" t="s">
        <v>1009</v>
      </c>
      <c r="C50" s="315" t="s">
        <v>883</v>
      </c>
      <c r="D50" s="315" t="s">
        <v>884</v>
      </c>
      <c r="E50" s="315" t="s">
        <v>89</v>
      </c>
      <c r="F50" s="316" t="s">
        <v>26</v>
      </c>
      <c r="G50" s="316">
        <v>998531</v>
      </c>
      <c r="H50" s="317">
        <v>0.18</v>
      </c>
      <c r="I50" s="318">
        <v>3333</v>
      </c>
      <c r="J50" s="328">
        <f t="shared" si="2"/>
        <v>299.97000000000003</v>
      </c>
      <c r="K50" s="318">
        <f t="shared" si="3"/>
        <v>299.97000000000003</v>
      </c>
      <c r="L50" s="319"/>
      <c r="M50" s="319">
        <f t="shared" si="4"/>
        <v>3932.9400000000005</v>
      </c>
      <c r="N50" s="320"/>
      <c r="O50" s="329"/>
      <c r="P50" s="322"/>
      <c r="Q50" s="322"/>
      <c r="R50" s="321" t="s">
        <v>1160</v>
      </c>
      <c r="S50" s="323"/>
      <c r="T50" s="315"/>
      <c r="U50" s="315"/>
      <c r="V50" s="324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/>
      <c r="AS50" s="325"/>
      <c r="AT50" s="325"/>
      <c r="AU50" s="325"/>
      <c r="AV50" s="325"/>
      <c r="AW50" s="325"/>
      <c r="AX50" s="325"/>
      <c r="AY50" s="325"/>
      <c r="AZ50" s="325"/>
      <c r="BA50" s="325"/>
      <c r="BB50" s="325"/>
      <c r="BC50" s="325"/>
      <c r="BD50" s="325"/>
      <c r="BE50" s="325"/>
      <c r="BF50" s="325"/>
      <c r="BG50" s="325"/>
      <c r="BH50" s="325"/>
      <c r="BI50" s="325"/>
      <c r="BJ50" s="325"/>
      <c r="BK50" s="325"/>
      <c r="BL50" s="325"/>
      <c r="BM50" s="325"/>
      <c r="BN50" s="325"/>
      <c r="BO50" s="325"/>
      <c r="BP50" s="325"/>
      <c r="BQ50" s="325"/>
      <c r="BR50" s="325"/>
      <c r="BS50" s="325"/>
      <c r="BT50" s="325"/>
      <c r="BU50" s="325"/>
      <c r="BV50" s="325"/>
      <c r="BW50" s="325"/>
      <c r="BX50" s="325"/>
      <c r="BY50" s="325"/>
      <c r="BZ50" s="325"/>
      <c r="CA50" s="325"/>
      <c r="CB50" s="325"/>
      <c r="CC50" s="325"/>
      <c r="CD50" s="325"/>
      <c r="CE50" s="325"/>
      <c r="CF50" s="325"/>
      <c r="CG50" s="325"/>
      <c r="CH50" s="325"/>
      <c r="CI50" s="325"/>
      <c r="CJ50" s="325"/>
      <c r="CK50" s="325"/>
      <c r="CL50" s="325"/>
      <c r="CM50" s="325"/>
      <c r="CN50" s="325"/>
      <c r="CO50" s="325"/>
      <c r="CP50" s="325"/>
      <c r="CQ50" s="325"/>
      <c r="CR50" s="325"/>
      <c r="CS50" s="325"/>
      <c r="CT50" s="325"/>
      <c r="CU50" s="325"/>
      <c r="CV50" s="325"/>
      <c r="CW50" s="325"/>
      <c r="CX50" s="325"/>
      <c r="CY50" s="325"/>
      <c r="CZ50" s="325"/>
      <c r="DA50" s="325"/>
      <c r="DB50" s="325"/>
      <c r="DC50" s="325"/>
      <c r="DD50" s="325"/>
      <c r="DE50" s="325"/>
      <c r="DF50" s="325"/>
      <c r="DG50" s="325"/>
      <c r="DH50" s="325"/>
      <c r="DI50" s="325"/>
      <c r="DJ50" s="325"/>
      <c r="DK50" s="325"/>
      <c r="DL50" s="325"/>
      <c r="DM50" s="325"/>
      <c r="DN50" s="325"/>
      <c r="DO50" s="325"/>
      <c r="DP50" s="325"/>
      <c r="DQ50" s="325"/>
    </row>
    <row r="51" spans="1:121" s="326" customFormat="1" ht="19.95" customHeight="1">
      <c r="A51" s="314">
        <v>45991</v>
      </c>
      <c r="B51" s="327" t="s">
        <v>933</v>
      </c>
      <c r="C51" s="315" t="s">
        <v>883</v>
      </c>
      <c r="D51" s="315" t="s">
        <v>884</v>
      </c>
      <c r="E51" s="315" t="s">
        <v>89</v>
      </c>
      <c r="F51" s="316" t="s">
        <v>26</v>
      </c>
      <c r="G51" s="316">
        <v>998531</v>
      </c>
      <c r="H51" s="317">
        <v>0.18</v>
      </c>
      <c r="I51" s="318">
        <v>3333</v>
      </c>
      <c r="J51" s="328">
        <f t="shared" si="2"/>
        <v>299.97000000000003</v>
      </c>
      <c r="K51" s="318">
        <f t="shared" si="3"/>
        <v>299.97000000000003</v>
      </c>
      <c r="L51" s="319"/>
      <c r="M51" s="319">
        <f t="shared" si="4"/>
        <v>3932.9400000000005</v>
      </c>
      <c r="N51" s="320"/>
      <c r="O51" s="329"/>
      <c r="P51" s="322"/>
      <c r="Q51" s="322"/>
      <c r="R51" s="321" t="s">
        <v>959</v>
      </c>
      <c r="S51" s="323"/>
      <c r="T51" s="315"/>
      <c r="U51" s="315"/>
      <c r="V51" s="324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5"/>
      <c r="BE51" s="325"/>
      <c r="BF51" s="325"/>
      <c r="BG51" s="325"/>
      <c r="BH51" s="325"/>
      <c r="BI51" s="325"/>
      <c r="BJ51" s="325"/>
      <c r="BK51" s="325"/>
      <c r="BL51" s="325"/>
      <c r="BM51" s="325"/>
      <c r="BN51" s="325"/>
      <c r="BO51" s="325"/>
      <c r="BP51" s="325"/>
      <c r="BQ51" s="325"/>
      <c r="BR51" s="325"/>
      <c r="BS51" s="325"/>
      <c r="BT51" s="325"/>
      <c r="BU51" s="325"/>
      <c r="BV51" s="325"/>
      <c r="BW51" s="325"/>
      <c r="BX51" s="325"/>
      <c r="BY51" s="325"/>
      <c r="BZ51" s="325"/>
      <c r="CA51" s="325"/>
      <c r="CB51" s="325"/>
      <c r="CC51" s="325"/>
      <c r="CD51" s="325"/>
      <c r="CE51" s="325"/>
      <c r="CF51" s="325"/>
      <c r="CG51" s="325"/>
      <c r="CH51" s="325"/>
      <c r="CI51" s="325"/>
      <c r="CJ51" s="325"/>
      <c r="CK51" s="325"/>
      <c r="CL51" s="325"/>
      <c r="CM51" s="325"/>
      <c r="CN51" s="325"/>
      <c r="CO51" s="325"/>
      <c r="CP51" s="325"/>
      <c r="CQ51" s="325"/>
      <c r="CR51" s="325"/>
      <c r="CS51" s="325"/>
      <c r="CT51" s="325"/>
      <c r="CU51" s="325"/>
      <c r="CV51" s="325"/>
      <c r="CW51" s="325"/>
      <c r="CX51" s="325"/>
      <c r="CY51" s="325"/>
      <c r="CZ51" s="325"/>
      <c r="DA51" s="325"/>
      <c r="DB51" s="325"/>
      <c r="DC51" s="325"/>
      <c r="DD51" s="325"/>
      <c r="DE51" s="325"/>
      <c r="DF51" s="325"/>
      <c r="DG51" s="325"/>
      <c r="DH51" s="325"/>
      <c r="DI51" s="325"/>
      <c r="DJ51" s="325"/>
      <c r="DK51" s="325"/>
      <c r="DL51" s="325"/>
      <c r="DM51" s="325"/>
      <c r="DN51" s="325"/>
      <c r="DO51" s="325"/>
      <c r="DP51" s="325"/>
      <c r="DQ51" s="325"/>
    </row>
    <row r="52" spans="1:121" s="325" customFormat="1" ht="19.95" customHeight="1">
      <c r="A52" s="330">
        <v>45961</v>
      </c>
      <c r="B52" s="327" t="s">
        <v>891</v>
      </c>
      <c r="C52" s="315" t="s">
        <v>883</v>
      </c>
      <c r="D52" s="315" t="s">
        <v>884</v>
      </c>
      <c r="E52" s="315" t="s">
        <v>59</v>
      </c>
      <c r="F52" s="316" t="s">
        <v>26</v>
      </c>
      <c r="G52" s="316">
        <v>998531</v>
      </c>
      <c r="H52" s="317">
        <v>0.18</v>
      </c>
      <c r="I52" s="318">
        <v>2500</v>
      </c>
      <c r="J52" s="318">
        <f>I52*9/100</f>
        <v>225</v>
      </c>
      <c r="K52" s="318">
        <f>I52*9/100</f>
        <v>225</v>
      </c>
      <c r="L52" s="319"/>
      <c r="M52" s="319">
        <f t="shared" si="4"/>
        <v>2950</v>
      </c>
      <c r="N52" s="320"/>
      <c r="O52" s="329"/>
      <c r="P52" s="322"/>
      <c r="Q52" s="322"/>
      <c r="R52" s="331" t="s">
        <v>882</v>
      </c>
      <c r="S52" s="323"/>
      <c r="T52" s="315"/>
      <c r="U52" s="315"/>
      <c r="V52" s="324"/>
    </row>
    <row r="53" spans="1:121" s="325" customFormat="1" ht="20.399999999999999" customHeight="1">
      <c r="A53" s="330">
        <v>45935</v>
      </c>
      <c r="B53" s="327" t="s">
        <v>851</v>
      </c>
      <c r="C53" s="327" t="s">
        <v>852</v>
      </c>
      <c r="D53" s="327" t="s">
        <v>853</v>
      </c>
      <c r="E53" s="327" t="s">
        <v>67</v>
      </c>
      <c r="F53" s="332" t="s">
        <v>26</v>
      </c>
      <c r="G53" s="332">
        <v>998531</v>
      </c>
      <c r="H53" s="317">
        <v>0.18</v>
      </c>
      <c r="I53" s="333">
        <v>3500</v>
      </c>
      <c r="J53" s="333">
        <f t="shared" ref="J53:J74" si="5">I53*9/100</f>
        <v>315</v>
      </c>
      <c r="K53" s="333">
        <f t="shared" ref="K53:K74" si="6">I53*9/100</f>
        <v>315</v>
      </c>
      <c r="L53" s="334"/>
      <c r="M53" s="319">
        <f t="shared" si="4"/>
        <v>4130</v>
      </c>
      <c r="N53" s="335"/>
      <c r="O53" s="336"/>
      <c r="P53" s="337"/>
      <c r="Q53" s="337"/>
      <c r="R53" s="331" t="s">
        <v>882</v>
      </c>
      <c r="S53" s="323"/>
      <c r="T53" s="338"/>
      <c r="U53" s="338"/>
      <c r="V53" s="324"/>
    </row>
    <row r="54" spans="1:121" s="325" customFormat="1" ht="19.95" customHeight="1">
      <c r="A54" s="339">
        <v>45900</v>
      </c>
      <c r="B54" s="327" t="s">
        <v>780</v>
      </c>
      <c r="C54" s="327" t="s">
        <v>319</v>
      </c>
      <c r="D54" s="327" t="s">
        <v>320</v>
      </c>
      <c r="E54" s="327" t="s">
        <v>89</v>
      </c>
      <c r="F54" s="332" t="s">
        <v>26</v>
      </c>
      <c r="G54" s="332">
        <v>998531</v>
      </c>
      <c r="H54" s="317">
        <v>0.18</v>
      </c>
      <c r="I54" s="340">
        <v>4800</v>
      </c>
      <c r="J54" s="340">
        <f t="shared" si="5"/>
        <v>432</v>
      </c>
      <c r="K54" s="340">
        <f t="shared" si="6"/>
        <v>432</v>
      </c>
      <c r="L54" s="340"/>
      <c r="M54" s="319">
        <f t="shared" si="4"/>
        <v>5664</v>
      </c>
      <c r="N54" s="341"/>
      <c r="O54" s="342"/>
      <c r="P54" s="343"/>
      <c r="Q54" s="343"/>
      <c r="R54" s="344" t="s">
        <v>580</v>
      </c>
      <c r="S54" s="323"/>
      <c r="T54" s="327"/>
      <c r="U54" s="327"/>
      <c r="V54" s="324"/>
    </row>
    <row r="55" spans="1:121" s="325" customFormat="1" ht="19.95" customHeight="1">
      <c r="A55" s="345">
        <v>45813</v>
      </c>
      <c r="B55" s="327" t="s">
        <v>682</v>
      </c>
      <c r="C55" s="327" t="s">
        <v>337</v>
      </c>
      <c r="D55" s="327" t="s">
        <v>338</v>
      </c>
      <c r="E55" s="327" t="s">
        <v>339</v>
      </c>
      <c r="F55" s="332" t="s">
        <v>37</v>
      </c>
      <c r="G55" s="346">
        <v>998531</v>
      </c>
      <c r="H55" s="317">
        <v>0.18</v>
      </c>
      <c r="I55" s="340">
        <v>17556</v>
      </c>
      <c r="J55" s="340">
        <f t="shared" si="5"/>
        <v>1580.04</v>
      </c>
      <c r="K55" s="340">
        <f t="shared" si="6"/>
        <v>1580.04</v>
      </c>
      <c r="L55" s="324"/>
      <c r="M55" s="319">
        <f t="shared" si="4"/>
        <v>20716.080000000002</v>
      </c>
      <c r="N55" s="348"/>
      <c r="O55" s="349"/>
      <c r="P55" s="343"/>
      <c r="Q55" s="343"/>
      <c r="R55" s="350" t="s">
        <v>413</v>
      </c>
      <c r="S55" s="323"/>
      <c r="T55" s="351"/>
      <c r="U55" s="327"/>
      <c r="V55" s="324"/>
      <c r="W55" s="352"/>
      <c r="X55" s="352"/>
    </row>
    <row r="56" spans="1:121" s="325" customFormat="1" ht="19.95" customHeight="1">
      <c r="A56" s="345">
        <v>45808</v>
      </c>
      <c r="B56" s="327" t="s">
        <v>651</v>
      </c>
      <c r="C56" s="327" t="s">
        <v>337</v>
      </c>
      <c r="D56" s="353" t="s">
        <v>338</v>
      </c>
      <c r="E56" s="327" t="s">
        <v>59</v>
      </c>
      <c r="F56" s="332" t="s">
        <v>26</v>
      </c>
      <c r="G56" s="346">
        <v>998531</v>
      </c>
      <c r="H56" s="317">
        <v>0.18</v>
      </c>
      <c r="I56" s="340">
        <v>7000</v>
      </c>
      <c r="J56" s="340">
        <f t="shared" si="5"/>
        <v>630</v>
      </c>
      <c r="K56" s="340">
        <f t="shared" si="6"/>
        <v>630</v>
      </c>
      <c r="L56" s="324"/>
      <c r="M56" s="319">
        <f t="shared" si="4"/>
        <v>8260</v>
      </c>
      <c r="N56" s="348"/>
      <c r="O56" s="349"/>
      <c r="P56" s="354"/>
      <c r="Q56" s="343"/>
      <c r="R56" s="350" t="s">
        <v>413</v>
      </c>
      <c r="S56" s="323"/>
      <c r="T56" s="351"/>
      <c r="U56" s="327"/>
      <c r="V56" s="324"/>
      <c r="W56" s="352"/>
      <c r="X56" s="352"/>
    </row>
    <row r="57" spans="1:121" s="325" customFormat="1" ht="19.95" customHeight="1">
      <c r="A57" s="345">
        <v>45777</v>
      </c>
      <c r="B57" s="327" t="s">
        <v>625</v>
      </c>
      <c r="C57" s="327" t="s">
        <v>157</v>
      </c>
      <c r="D57" s="327" t="s">
        <v>158</v>
      </c>
      <c r="E57" s="327" t="s">
        <v>67</v>
      </c>
      <c r="F57" s="332" t="s">
        <v>560</v>
      </c>
      <c r="G57" s="346">
        <v>998531</v>
      </c>
      <c r="H57" s="317">
        <v>0.18</v>
      </c>
      <c r="I57" s="340">
        <v>4320</v>
      </c>
      <c r="J57" s="340">
        <f t="shared" si="5"/>
        <v>388.8</v>
      </c>
      <c r="K57" s="340">
        <f t="shared" si="6"/>
        <v>388.8</v>
      </c>
      <c r="L57" s="324"/>
      <c r="M57" s="319">
        <f t="shared" si="4"/>
        <v>5097.6000000000004</v>
      </c>
      <c r="N57" s="348">
        <v>43</v>
      </c>
      <c r="O57" s="349"/>
      <c r="P57" s="354">
        <v>4277</v>
      </c>
      <c r="Q57" s="355">
        <v>45805</v>
      </c>
      <c r="R57" s="344" t="s">
        <v>613</v>
      </c>
      <c r="S57" s="323"/>
      <c r="T57" s="361">
        <v>45833</v>
      </c>
      <c r="U57" s="356" t="s">
        <v>1194</v>
      </c>
      <c r="V57" s="324"/>
      <c r="W57" s="352"/>
      <c r="X57" s="352"/>
    </row>
    <row r="58" spans="1:121" s="325" customFormat="1" ht="19.95" customHeight="1">
      <c r="A58" s="345">
        <v>45740</v>
      </c>
      <c r="B58" s="327" t="s">
        <v>571</v>
      </c>
      <c r="C58" s="327" t="s">
        <v>96</v>
      </c>
      <c r="D58" s="327" t="s">
        <v>97</v>
      </c>
      <c r="E58" s="327" t="s">
        <v>85</v>
      </c>
      <c r="F58" s="332" t="s">
        <v>26</v>
      </c>
      <c r="G58" s="346">
        <v>998531</v>
      </c>
      <c r="H58" s="317">
        <v>0.18</v>
      </c>
      <c r="I58" s="340">
        <v>14400</v>
      </c>
      <c r="J58" s="340">
        <f t="shared" si="5"/>
        <v>1296</v>
      </c>
      <c r="K58" s="340">
        <f t="shared" si="6"/>
        <v>1296</v>
      </c>
      <c r="L58" s="324"/>
      <c r="M58" s="319">
        <f t="shared" si="4"/>
        <v>16992</v>
      </c>
      <c r="N58" s="348"/>
      <c r="O58" s="349"/>
      <c r="P58" s="357"/>
      <c r="Q58" s="358"/>
      <c r="R58" s="350" t="s">
        <v>413</v>
      </c>
      <c r="S58" s="323"/>
      <c r="T58" s="351"/>
      <c r="U58" s="327"/>
      <c r="V58" s="324"/>
      <c r="W58" s="352"/>
      <c r="X58" s="352"/>
    </row>
    <row r="59" spans="1:121" s="325" customFormat="1" ht="19.95" customHeight="1">
      <c r="A59" s="345">
        <v>45740</v>
      </c>
      <c r="B59" s="327" t="s">
        <v>572</v>
      </c>
      <c r="C59" s="327" t="s">
        <v>96</v>
      </c>
      <c r="D59" s="327" t="s">
        <v>97</v>
      </c>
      <c r="E59" s="327" t="s">
        <v>89</v>
      </c>
      <c r="F59" s="332" t="s">
        <v>26</v>
      </c>
      <c r="G59" s="346">
        <v>998531</v>
      </c>
      <c r="H59" s="317">
        <v>0.18</v>
      </c>
      <c r="I59" s="340">
        <v>35000</v>
      </c>
      <c r="J59" s="340">
        <f t="shared" si="5"/>
        <v>3150</v>
      </c>
      <c r="K59" s="340">
        <f t="shared" si="6"/>
        <v>3150</v>
      </c>
      <c r="L59" s="324"/>
      <c r="M59" s="319">
        <f t="shared" si="4"/>
        <v>41300</v>
      </c>
      <c r="N59" s="348"/>
      <c r="O59" s="349"/>
      <c r="P59" s="357"/>
      <c r="Q59" s="358"/>
      <c r="R59" s="350" t="s">
        <v>413</v>
      </c>
      <c r="S59" s="323"/>
      <c r="T59" s="351"/>
      <c r="U59" s="327"/>
      <c r="V59" s="324"/>
      <c r="W59" s="352"/>
      <c r="X59" s="352"/>
    </row>
    <row r="60" spans="1:121" s="325" customFormat="1" ht="19.95" customHeight="1">
      <c r="A60" s="345">
        <v>45740</v>
      </c>
      <c r="B60" s="327" t="s">
        <v>573</v>
      </c>
      <c r="C60" s="327" t="s">
        <v>96</v>
      </c>
      <c r="D60" s="327" t="s">
        <v>97</v>
      </c>
      <c r="E60" s="327" t="s">
        <v>89</v>
      </c>
      <c r="F60" s="332" t="s">
        <v>26</v>
      </c>
      <c r="G60" s="346">
        <v>998531</v>
      </c>
      <c r="H60" s="317">
        <v>0.18</v>
      </c>
      <c r="I60" s="340">
        <v>20000</v>
      </c>
      <c r="J60" s="340">
        <f t="shared" si="5"/>
        <v>1800</v>
      </c>
      <c r="K60" s="340">
        <f t="shared" si="6"/>
        <v>1800</v>
      </c>
      <c r="L60" s="324"/>
      <c r="M60" s="319">
        <f t="shared" si="4"/>
        <v>23600</v>
      </c>
      <c r="N60" s="348"/>
      <c r="O60" s="349"/>
      <c r="P60" s="357"/>
      <c r="Q60" s="358"/>
      <c r="R60" s="350" t="s">
        <v>413</v>
      </c>
      <c r="S60" s="323"/>
      <c r="T60" s="351"/>
      <c r="U60" s="327"/>
      <c r="V60" s="324"/>
      <c r="W60" s="352"/>
      <c r="X60" s="352"/>
    </row>
    <row r="61" spans="1:121" s="325" customFormat="1" ht="19.95" customHeight="1">
      <c r="A61" s="345">
        <v>45716</v>
      </c>
      <c r="B61" s="327" t="s">
        <v>559</v>
      </c>
      <c r="C61" s="327" t="s">
        <v>157</v>
      </c>
      <c r="D61" s="327" t="s">
        <v>158</v>
      </c>
      <c r="E61" s="327" t="s">
        <v>67</v>
      </c>
      <c r="F61" s="332" t="s">
        <v>560</v>
      </c>
      <c r="G61" s="346">
        <v>998531</v>
      </c>
      <c r="H61" s="317">
        <v>0.18</v>
      </c>
      <c r="I61" s="340">
        <v>10440</v>
      </c>
      <c r="J61" s="340">
        <f t="shared" si="5"/>
        <v>939.6</v>
      </c>
      <c r="K61" s="340">
        <f t="shared" si="6"/>
        <v>939.6</v>
      </c>
      <c r="L61" s="324"/>
      <c r="M61" s="319">
        <f t="shared" si="4"/>
        <v>12319.2</v>
      </c>
      <c r="N61" s="348">
        <v>104</v>
      </c>
      <c r="O61" s="349"/>
      <c r="P61" s="354">
        <v>10336</v>
      </c>
      <c r="Q61" s="355">
        <v>45773</v>
      </c>
      <c r="R61" s="344" t="s">
        <v>473</v>
      </c>
      <c r="S61" s="323"/>
      <c r="T61" s="361">
        <v>45774</v>
      </c>
      <c r="U61" s="356"/>
      <c r="V61" s="324"/>
      <c r="W61" s="352"/>
      <c r="X61" s="352"/>
    </row>
    <row r="62" spans="1:121" s="326" customFormat="1" ht="19.95" customHeight="1">
      <c r="A62" s="339">
        <v>45626</v>
      </c>
      <c r="B62" s="327" t="s">
        <v>459</v>
      </c>
      <c r="C62" s="327" t="s">
        <v>337</v>
      </c>
      <c r="D62" s="327" t="s">
        <v>338</v>
      </c>
      <c r="E62" s="327" t="s">
        <v>339</v>
      </c>
      <c r="F62" s="332" t="s">
        <v>26</v>
      </c>
      <c r="G62" s="346">
        <v>998531</v>
      </c>
      <c r="H62" s="317">
        <v>0.18</v>
      </c>
      <c r="I62" s="340">
        <v>6200</v>
      </c>
      <c r="J62" s="340">
        <f t="shared" si="5"/>
        <v>558</v>
      </c>
      <c r="K62" s="340">
        <f t="shared" si="6"/>
        <v>558</v>
      </c>
      <c r="L62" s="340"/>
      <c r="M62" s="319">
        <f t="shared" si="4"/>
        <v>7316</v>
      </c>
      <c r="N62" s="348"/>
      <c r="O62" s="342"/>
      <c r="P62" s="354"/>
      <c r="Q62" s="355"/>
      <c r="R62" s="350" t="s">
        <v>413</v>
      </c>
      <c r="S62" s="323"/>
      <c r="T62" s="351"/>
      <c r="U62" s="327"/>
      <c r="V62" s="324"/>
      <c r="W62" s="352"/>
      <c r="X62" s="352"/>
      <c r="Y62" s="325"/>
      <c r="Z62" s="325"/>
      <c r="AA62" s="325"/>
      <c r="AB62" s="325"/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  <c r="AV62" s="325"/>
      <c r="AW62" s="325"/>
      <c r="AX62" s="325"/>
      <c r="AY62" s="325"/>
      <c r="AZ62" s="325"/>
      <c r="BA62" s="325"/>
      <c r="BB62" s="325"/>
      <c r="BC62" s="325"/>
      <c r="BD62" s="325"/>
      <c r="BE62" s="325"/>
      <c r="BF62" s="325"/>
      <c r="BG62" s="325"/>
      <c r="BH62" s="325"/>
      <c r="BI62" s="325"/>
      <c r="BJ62" s="325"/>
      <c r="BK62" s="325"/>
      <c r="BL62" s="325"/>
      <c r="BM62" s="325"/>
      <c r="BN62" s="325"/>
      <c r="BO62" s="325"/>
      <c r="BP62" s="325"/>
      <c r="BQ62" s="325"/>
      <c r="BR62" s="325"/>
      <c r="BS62" s="325"/>
      <c r="BT62" s="325"/>
      <c r="BU62" s="325"/>
      <c r="BV62" s="325"/>
      <c r="BW62" s="325"/>
      <c r="BX62" s="325"/>
      <c r="BY62" s="325"/>
      <c r="BZ62" s="325"/>
      <c r="CA62" s="325"/>
      <c r="CB62" s="325"/>
      <c r="CC62" s="325"/>
      <c r="CD62" s="325"/>
      <c r="CE62" s="325"/>
      <c r="CF62" s="325"/>
      <c r="CG62" s="325"/>
      <c r="CH62" s="325"/>
      <c r="CI62" s="325"/>
      <c r="CJ62" s="325"/>
      <c r="CK62" s="325"/>
      <c r="CL62" s="325"/>
      <c r="CM62" s="325"/>
      <c r="CN62" s="325"/>
      <c r="CO62" s="325"/>
      <c r="CP62" s="325"/>
      <c r="CQ62" s="325"/>
      <c r="CR62" s="325"/>
      <c r="CS62" s="325"/>
      <c r="CT62" s="325"/>
      <c r="CU62" s="325"/>
      <c r="CV62" s="325"/>
      <c r="CW62" s="325"/>
      <c r="CX62" s="325"/>
      <c r="CY62" s="325"/>
      <c r="CZ62" s="325"/>
      <c r="DA62" s="325"/>
      <c r="DB62" s="325"/>
      <c r="DC62" s="325"/>
      <c r="DD62" s="325"/>
      <c r="DE62" s="325"/>
      <c r="DF62" s="325"/>
      <c r="DG62" s="325"/>
      <c r="DH62" s="325"/>
      <c r="DI62" s="325"/>
      <c r="DJ62" s="325"/>
      <c r="DK62" s="325"/>
      <c r="DL62" s="325"/>
      <c r="DM62" s="325"/>
      <c r="DN62" s="325"/>
      <c r="DO62" s="325"/>
      <c r="DP62" s="325"/>
      <c r="DQ62" s="325"/>
    </row>
    <row r="63" spans="1:121" s="325" customFormat="1" ht="19.95" customHeight="1">
      <c r="A63" s="339">
        <v>45930</v>
      </c>
      <c r="B63" s="327" t="s">
        <v>838</v>
      </c>
      <c r="C63" s="327" t="s">
        <v>234</v>
      </c>
      <c r="D63" s="327" t="s">
        <v>235</v>
      </c>
      <c r="E63" s="327" t="s">
        <v>236</v>
      </c>
      <c r="F63" s="332" t="s">
        <v>26</v>
      </c>
      <c r="G63" s="346">
        <v>998531</v>
      </c>
      <c r="H63" s="317">
        <v>0.18</v>
      </c>
      <c r="I63" s="340">
        <v>14100</v>
      </c>
      <c r="J63" s="340">
        <f t="shared" si="5"/>
        <v>1269</v>
      </c>
      <c r="K63" s="340">
        <f t="shared" si="6"/>
        <v>1269</v>
      </c>
      <c r="L63" s="324"/>
      <c r="M63" s="319">
        <f t="shared" si="4"/>
        <v>16638</v>
      </c>
      <c r="N63" s="341"/>
      <c r="O63" s="349"/>
      <c r="P63" s="343"/>
      <c r="Q63" s="343"/>
      <c r="R63" s="344" t="s">
        <v>879</v>
      </c>
      <c r="S63" s="323"/>
      <c r="T63" s="327"/>
      <c r="U63" s="327"/>
      <c r="V63" s="324"/>
    </row>
    <row r="64" spans="1:121" s="325" customFormat="1" ht="19.95" customHeight="1">
      <c r="A64" s="339">
        <v>45901</v>
      </c>
      <c r="B64" s="327" t="s">
        <v>802</v>
      </c>
      <c r="C64" s="327" t="s">
        <v>595</v>
      </c>
      <c r="D64" s="327" t="s">
        <v>596</v>
      </c>
      <c r="E64" s="327" t="s">
        <v>629</v>
      </c>
      <c r="F64" s="332" t="s">
        <v>26</v>
      </c>
      <c r="G64" s="332">
        <v>998531</v>
      </c>
      <c r="H64" s="317">
        <v>0.18</v>
      </c>
      <c r="I64" s="340">
        <v>16000</v>
      </c>
      <c r="J64" s="340">
        <f t="shared" si="5"/>
        <v>1440</v>
      </c>
      <c r="K64" s="340">
        <f t="shared" si="6"/>
        <v>1440</v>
      </c>
      <c r="L64" s="340"/>
      <c r="M64" s="319">
        <f t="shared" si="4"/>
        <v>18880</v>
      </c>
      <c r="N64" s="341"/>
      <c r="O64" s="342"/>
      <c r="P64" s="343"/>
      <c r="Q64" s="343"/>
      <c r="R64" s="344" t="s">
        <v>879</v>
      </c>
      <c r="S64" s="323"/>
      <c r="T64" s="327"/>
      <c r="U64" s="327"/>
      <c r="V64" s="324"/>
    </row>
    <row r="65" spans="1:24" s="325" customFormat="1" ht="19.95" customHeight="1">
      <c r="A65" s="339">
        <v>45900</v>
      </c>
      <c r="B65" s="327" t="s">
        <v>798</v>
      </c>
      <c r="C65" s="327" t="s">
        <v>234</v>
      </c>
      <c r="D65" s="327" t="s">
        <v>235</v>
      </c>
      <c r="E65" s="327" t="s">
        <v>236</v>
      </c>
      <c r="F65" s="332" t="s">
        <v>26</v>
      </c>
      <c r="G65" s="332">
        <v>998531</v>
      </c>
      <c r="H65" s="317">
        <v>0.18</v>
      </c>
      <c r="I65" s="340">
        <v>9400</v>
      </c>
      <c r="J65" s="340">
        <f t="shared" si="5"/>
        <v>846</v>
      </c>
      <c r="K65" s="340">
        <f t="shared" si="6"/>
        <v>846</v>
      </c>
      <c r="L65" s="340"/>
      <c r="M65" s="319">
        <f t="shared" si="4"/>
        <v>11092</v>
      </c>
      <c r="N65" s="341"/>
      <c r="O65" s="342"/>
      <c r="P65" s="343"/>
      <c r="Q65" s="343"/>
      <c r="R65" s="344" t="s">
        <v>752</v>
      </c>
      <c r="S65" s="323"/>
      <c r="T65" s="327"/>
      <c r="U65" s="327"/>
      <c r="V65" s="324"/>
    </row>
    <row r="66" spans="1:24" s="325" customFormat="1" ht="19.95" customHeight="1">
      <c r="A66" s="345">
        <v>45808</v>
      </c>
      <c r="B66" s="327" t="s">
        <v>665</v>
      </c>
      <c r="C66" s="327" t="s">
        <v>595</v>
      </c>
      <c r="D66" s="353" t="s">
        <v>596</v>
      </c>
      <c r="E66" s="327" t="s">
        <v>629</v>
      </c>
      <c r="F66" s="332" t="s">
        <v>26</v>
      </c>
      <c r="G66" s="346">
        <v>998531</v>
      </c>
      <c r="H66" s="317">
        <v>0.18</v>
      </c>
      <c r="I66" s="340">
        <v>6400</v>
      </c>
      <c r="J66" s="340">
        <f t="shared" si="5"/>
        <v>576</v>
      </c>
      <c r="K66" s="340">
        <f t="shared" si="6"/>
        <v>576</v>
      </c>
      <c r="L66" s="324"/>
      <c r="M66" s="319">
        <f t="shared" si="4"/>
        <v>7552</v>
      </c>
      <c r="N66" s="348"/>
      <c r="O66" s="349"/>
      <c r="P66" s="354"/>
      <c r="Q66" s="343"/>
      <c r="R66" s="344" t="s">
        <v>613</v>
      </c>
      <c r="S66" s="323"/>
      <c r="T66" s="351"/>
      <c r="U66" s="327"/>
      <c r="V66" s="324"/>
      <c r="W66" s="352"/>
      <c r="X66" s="352"/>
    </row>
    <row r="67" spans="1:24" s="325" customFormat="1" ht="19.95" customHeight="1">
      <c r="A67" s="345">
        <v>45777</v>
      </c>
      <c r="B67" s="327" t="s">
        <v>628</v>
      </c>
      <c r="C67" s="327" t="s">
        <v>595</v>
      </c>
      <c r="D67" s="353" t="s">
        <v>596</v>
      </c>
      <c r="E67" s="327" t="s">
        <v>629</v>
      </c>
      <c r="F67" s="332" t="s">
        <v>26</v>
      </c>
      <c r="G67" s="346">
        <v>998531</v>
      </c>
      <c r="H67" s="317">
        <v>0.18</v>
      </c>
      <c r="I67" s="340">
        <v>8000</v>
      </c>
      <c r="J67" s="340">
        <f t="shared" si="5"/>
        <v>720</v>
      </c>
      <c r="K67" s="340">
        <f t="shared" si="6"/>
        <v>720</v>
      </c>
      <c r="L67" s="324"/>
      <c r="M67" s="319">
        <f t="shared" si="4"/>
        <v>9440</v>
      </c>
      <c r="N67" s="348"/>
      <c r="O67" s="349"/>
      <c r="P67" s="354"/>
      <c r="Q67" s="343"/>
      <c r="R67" s="350" t="s">
        <v>541</v>
      </c>
      <c r="S67" s="323"/>
      <c r="T67" s="351"/>
      <c r="U67" s="327"/>
      <c r="V67" s="324"/>
      <c r="W67" s="352"/>
      <c r="X67" s="352"/>
    </row>
    <row r="68" spans="1:24" s="325" customFormat="1" ht="19.95" customHeight="1">
      <c r="A68" s="345">
        <v>45777</v>
      </c>
      <c r="B68" s="327" t="s">
        <v>614</v>
      </c>
      <c r="C68" s="327" t="s">
        <v>337</v>
      </c>
      <c r="D68" s="327" t="s">
        <v>338</v>
      </c>
      <c r="E68" s="327" t="s">
        <v>59</v>
      </c>
      <c r="F68" s="332" t="s">
        <v>26</v>
      </c>
      <c r="G68" s="346">
        <v>998531</v>
      </c>
      <c r="H68" s="317">
        <v>0.18</v>
      </c>
      <c r="I68" s="340">
        <v>3500</v>
      </c>
      <c r="J68" s="340">
        <f t="shared" si="5"/>
        <v>315</v>
      </c>
      <c r="K68" s="340">
        <f t="shared" si="6"/>
        <v>315</v>
      </c>
      <c r="L68" s="324"/>
      <c r="M68" s="319">
        <f t="shared" si="4"/>
        <v>4130</v>
      </c>
      <c r="N68" s="348"/>
      <c r="O68" s="349"/>
      <c r="P68" s="354"/>
      <c r="Q68" s="343"/>
      <c r="R68" s="350" t="s">
        <v>413</v>
      </c>
      <c r="S68" s="323"/>
      <c r="T68" s="351"/>
      <c r="U68" s="327"/>
      <c r="V68" s="324"/>
      <c r="W68" s="352"/>
      <c r="X68" s="352"/>
    </row>
    <row r="69" spans="1:24" s="325" customFormat="1" ht="19.95" customHeight="1">
      <c r="A69" s="345">
        <v>45747</v>
      </c>
      <c r="B69" s="327" t="s">
        <v>592</v>
      </c>
      <c r="C69" s="353" t="s">
        <v>157</v>
      </c>
      <c r="D69" s="327" t="s">
        <v>158</v>
      </c>
      <c r="E69" s="327" t="s">
        <v>67</v>
      </c>
      <c r="F69" s="332" t="s">
        <v>26</v>
      </c>
      <c r="G69" s="346">
        <v>998531</v>
      </c>
      <c r="H69" s="317">
        <v>0.18</v>
      </c>
      <c r="I69" s="340">
        <v>12600</v>
      </c>
      <c r="J69" s="340">
        <f t="shared" si="5"/>
        <v>1134</v>
      </c>
      <c r="K69" s="340">
        <f t="shared" si="6"/>
        <v>1134</v>
      </c>
      <c r="L69" s="324"/>
      <c r="M69" s="319">
        <f t="shared" si="4"/>
        <v>14868</v>
      </c>
      <c r="N69" s="348"/>
      <c r="O69" s="349"/>
      <c r="P69" s="354"/>
      <c r="Q69" s="343"/>
      <c r="R69" s="344" t="s">
        <v>473</v>
      </c>
      <c r="S69" s="323" t="s">
        <v>1193</v>
      </c>
      <c r="T69" s="351"/>
      <c r="U69" s="327"/>
      <c r="V69" s="324"/>
      <c r="W69" s="352"/>
      <c r="X69" s="352"/>
    </row>
    <row r="70" spans="1:24" s="325" customFormat="1" ht="19.95" customHeight="1">
      <c r="A70" s="345">
        <v>45747</v>
      </c>
      <c r="B70" s="327" t="s">
        <v>581</v>
      </c>
      <c r="C70" s="353" t="s">
        <v>337</v>
      </c>
      <c r="D70" s="353" t="s">
        <v>338</v>
      </c>
      <c r="E70" s="327" t="s">
        <v>59</v>
      </c>
      <c r="F70" s="332" t="s">
        <v>26</v>
      </c>
      <c r="G70" s="346">
        <v>998531</v>
      </c>
      <c r="H70" s="317">
        <v>0.18</v>
      </c>
      <c r="I70" s="340">
        <v>3500</v>
      </c>
      <c r="J70" s="340">
        <f t="shared" si="5"/>
        <v>315</v>
      </c>
      <c r="K70" s="340">
        <f t="shared" si="6"/>
        <v>315</v>
      </c>
      <c r="L70" s="324"/>
      <c r="M70" s="319">
        <f t="shared" si="4"/>
        <v>4130</v>
      </c>
      <c r="N70" s="348"/>
      <c r="O70" s="349"/>
      <c r="P70" s="354"/>
      <c r="Q70" s="343"/>
      <c r="R70" s="344" t="s">
        <v>473</v>
      </c>
      <c r="S70" s="323"/>
      <c r="T70" s="351"/>
      <c r="U70" s="327"/>
      <c r="V70" s="324"/>
      <c r="W70" s="352"/>
      <c r="X70" s="352"/>
    </row>
    <row r="71" spans="1:24" s="325" customFormat="1" ht="19.95" customHeight="1">
      <c r="A71" s="345">
        <v>45596</v>
      </c>
      <c r="B71" s="327" t="s">
        <v>288</v>
      </c>
      <c r="C71" s="327" t="s">
        <v>234</v>
      </c>
      <c r="D71" s="327" t="s">
        <v>235</v>
      </c>
      <c r="E71" s="327" t="s">
        <v>236</v>
      </c>
      <c r="F71" s="332" t="s">
        <v>26</v>
      </c>
      <c r="G71" s="346">
        <v>998531</v>
      </c>
      <c r="H71" s="317">
        <v>0.18</v>
      </c>
      <c r="I71" s="340">
        <v>6000</v>
      </c>
      <c r="J71" s="340">
        <f t="shared" si="5"/>
        <v>540</v>
      </c>
      <c r="K71" s="340">
        <f t="shared" si="6"/>
        <v>540</v>
      </c>
      <c r="L71" s="324"/>
      <c r="M71" s="319">
        <f t="shared" si="4"/>
        <v>7080</v>
      </c>
      <c r="N71" s="348"/>
      <c r="O71" s="349"/>
      <c r="P71" s="354"/>
      <c r="Q71" s="355"/>
      <c r="R71" s="359" t="s">
        <v>385</v>
      </c>
      <c r="S71" s="323"/>
      <c r="T71" s="351"/>
      <c r="U71" s="327"/>
      <c r="V71" s="324"/>
      <c r="W71" s="352"/>
      <c r="X71" s="352"/>
    </row>
    <row r="72" spans="1:24" s="325" customFormat="1" ht="19.95" customHeight="1">
      <c r="A72" s="345">
        <v>45596</v>
      </c>
      <c r="B72" s="327" t="s">
        <v>304</v>
      </c>
      <c r="C72" s="327" t="s">
        <v>337</v>
      </c>
      <c r="D72" s="327" t="s">
        <v>338</v>
      </c>
      <c r="E72" s="327" t="s">
        <v>339</v>
      </c>
      <c r="F72" s="332" t="s">
        <v>37</v>
      </c>
      <c r="G72" s="346">
        <v>998531</v>
      </c>
      <c r="H72" s="317">
        <v>0.18</v>
      </c>
      <c r="I72" s="340">
        <v>6825</v>
      </c>
      <c r="J72" s="340">
        <f t="shared" si="5"/>
        <v>614.25</v>
      </c>
      <c r="K72" s="340">
        <f t="shared" si="6"/>
        <v>614.25</v>
      </c>
      <c r="L72" s="324"/>
      <c r="M72" s="319">
        <f t="shared" si="4"/>
        <v>8053.5</v>
      </c>
      <c r="N72" s="348"/>
      <c r="O72" s="349"/>
      <c r="P72" s="354"/>
      <c r="Q72" s="355"/>
      <c r="R72" s="350" t="s">
        <v>413</v>
      </c>
      <c r="S72" s="323"/>
      <c r="T72" s="351"/>
      <c r="U72" s="327"/>
      <c r="V72" s="324"/>
      <c r="W72" s="352"/>
      <c r="X72" s="352"/>
    </row>
    <row r="73" spans="1:24" s="325" customFormat="1" ht="19.95" customHeight="1">
      <c r="A73" s="345">
        <v>45504</v>
      </c>
      <c r="B73" s="327" t="s">
        <v>350</v>
      </c>
      <c r="C73" s="327" t="s">
        <v>234</v>
      </c>
      <c r="D73" s="327" t="s">
        <v>235</v>
      </c>
      <c r="E73" s="327" t="s">
        <v>236</v>
      </c>
      <c r="F73" s="332" t="s">
        <v>26</v>
      </c>
      <c r="G73" s="346">
        <v>998531</v>
      </c>
      <c r="H73" s="317">
        <v>0.18</v>
      </c>
      <c r="I73" s="340">
        <v>8570</v>
      </c>
      <c r="J73" s="340">
        <f t="shared" si="5"/>
        <v>771.3</v>
      </c>
      <c r="K73" s="340">
        <f t="shared" si="6"/>
        <v>771.3</v>
      </c>
      <c r="L73" s="324"/>
      <c r="M73" s="319">
        <f t="shared" si="4"/>
        <v>10112.599999999999</v>
      </c>
      <c r="N73" s="348"/>
      <c r="O73" s="349"/>
      <c r="P73" s="354"/>
      <c r="Q73" s="355"/>
      <c r="R73" s="359" t="s">
        <v>311</v>
      </c>
      <c r="S73" s="323"/>
      <c r="T73" s="351"/>
      <c r="U73" s="327"/>
      <c r="V73" s="324"/>
      <c r="W73" s="352"/>
      <c r="X73" s="352"/>
    </row>
    <row r="74" spans="1:24" s="325" customFormat="1" ht="19.95" customHeight="1">
      <c r="A74" s="345">
        <v>45535</v>
      </c>
      <c r="B74" s="327" t="s">
        <v>381</v>
      </c>
      <c r="C74" s="327" t="s">
        <v>157</v>
      </c>
      <c r="D74" s="327" t="s">
        <v>158</v>
      </c>
      <c r="E74" s="327" t="s">
        <v>59</v>
      </c>
      <c r="F74" s="332" t="s">
        <v>26</v>
      </c>
      <c r="G74" s="346">
        <v>998531</v>
      </c>
      <c r="H74" s="317">
        <v>0.18</v>
      </c>
      <c r="I74" s="340">
        <v>37600</v>
      </c>
      <c r="J74" s="340">
        <f t="shared" si="5"/>
        <v>3384</v>
      </c>
      <c r="K74" s="340">
        <f t="shared" si="6"/>
        <v>3384</v>
      </c>
      <c r="L74" s="324"/>
      <c r="M74" s="319">
        <f t="shared" si="4"/>
        <v>44368</v>
      </c>
      <c r="N74" s="348">
        <v>153</v>
      </c>
      <c r="O74" s="349"/>
      <c r="P74" s="354">
        <v>43992</v>
      </c>
      <c r="Q74" s="355">
        <v>45745</v>
      </c>
      <c r="R74" s="359" t="s">
        <v>333</v>
      </c>
      <c r="S74" s="323"/>
      <c r="T74" s="351"/>
      <c r="U74" s="327"/>
      <c r="V74" s="324"/>
      <c r="W74" s="352"/>
      <c r="X74" s="352"/>
    </row>
  </sheetData>
  <autoFilter ref="C1:C74" xr:uid="{1AB7484F-E90B-4229-9BF6-B00BCE3B3D1A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38AB-0EA6-44B3-81B7-C181BC67EDED}">
  <dimension ref="A1:DF9"/>
  <sheetViews>
    <sheetView workbookViewId="0">
      <selection activeCell="H19" sqref="H19"/>
    </sheetView>
  </sheetViews>
  <sheetFormatPr defaultRowHeight="14.4"/>
  <cols>
    <col min="1" max="1" width="10.5546875" customWidth="1"/>
    <col min="2" max="2" width="13.33203125" customWidth="1"/>
    <col min="3" max="3" width="12.5546875" customWidth="1"/>
    <col min="4" max="4" width="5.109375" customWidth="1"/>
    <col min="9" max="9" width="10.6640625" customWidth="1"/>
    <col min="10" max="10" width="10.33203125" customWidth="1"/>
  </cols>
  <sheetData>
    <row r="1" spans="1:110" ht="18">
      <c r="A1" s="217" t="s">
        <v>1189</v>
      </c>
    </row>
    <row r="2" spans="1:110" s="12" customFormat="1" ht="24.6" customHeight="1">
      <c r="A2" s="1" t="s">
        <v>0</v>
      </c>
      <c r="B2" s="1" t="s">
        <v>1</v>
      </c>
      <c r="C2" s="1" t="s">
        <v>4</v>
      </c>
      <c r="D2" s="1" t="s">
        <v>5</v>
      </c>
      <c r="E2" s="1" t="s">
        <v>8</v>
      </c>
      <c r="F2" s="1" t="s">
        <v>9</v>
      </c>
      <c r="G2" s="1" t="s">
        <v>10</v>
      </c>
      <c r="H2" s="1" t="s">
        <v>12</v>
      </c>
      <c r="I2" s="312" t="s">
        <v>1190</v>
      </c>
      <c r="J2" s="46" t="s">
        <v>16</v>
      </c>
      <c r="K2" s="187" t="s">
        <v>17</v>
      </c>
      <c r="L2" s="50"/>
      <c r="M2" s="50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</row>
    <row r="3" spans="1:110" ht="19.95" customHeight="1">
      <c r="A3" s="68">
        <v>45609</v>
      </c>
      <c r="B3" s="3" t="s">
        <v>443</v>
      </c>
      <c r="C3" s="3" t="s">
        <v>232</v>
      </c>
      <c r="D3" s="4" t="s">
        <v>37</v>
      </c>
      <c r="E3" s="9">
        <v>3000</v>
      </c>
      <c r="F3" s="9">
        <v>270</v>
      </c>
      <c r="G3" s="9">
        <v>270</v>
      </c>
      <c r="H3" s="37">
        <v>3540</v>
      </c>
      <c r="I3" s="148">
        <v>3540</v>
      </c>
      <c r="J3" s="59">
        <v>45757</v>
      </c>
      <c r="K3" s="193" t="s">
        <v>349</v>
      </c>
      <c r="L3" s="50"/>
      <c r="M3" s="50"/>
    </row>
    <row r="4" spans="1:110" ht="19.95" customHeight="1">
      <c r="A4" s="2">
        <v>45882</v>
      </c>
      <c r="B4" s="3" t="s">
        <v>769</v>
      </c>
      <c r="C4" s="3" t="s">
        <v>89</v>
      </c>
      <c r="D4" s="4" t="s">
        <v>37</v>
      </c>
      <c r="E4" s="9">
        <v>5463.6</v>
      </c>
      <c r="F4" s="9">
        <v>491.72399999999999</v>
      </c>
      <c r="G4" s="9">
        <v>491.72399999999999</v>
      </c>
      <c r="H4" s="9">
        <v>6447.0480000000007</v>
      </c>
      <c r="I4" s="57"/>
      <c r="J4" s="57"/>
      <c r="K4" s="117" t="s">
        <v>752</v>
      </c>
      <c r="L4" s="50"/>
      <c r="M4" s="50"/>
    </row>
    <row r="5" spans="1:110" ht="19.95" customHeight="1">
      <c r="A5" s="121">
        <v>45961</v>
      </c>
      <c r="B5" s="3" t="s">
        <v>892</v>
      </c>
      <c r="C5" s="131" t="s">
        <v>25</v>
      </c>
      <c r="D5" s="136" t="s">
        <v>26</v>
      </c>
      <c r="E5" s="129">
        <v>3150</v>
      </c>
      <c r="F5" s="129">
        <v>283.5</v>
      </c>
      <c r="G5" s="129">
        <v>283.5</v>
      </c>
      <c r="H5" s="130">
        <v>3717</v>
      </c>
      <c r="I5" s="135"/>
      <c r="J5" s="135"/>
      <c r="K5" s="127" t="s">
        <v>882</v>
      </c>
    </row>
    <row r="6" spans="1:110" s="12" customFormat="1" ht="19.95" customHeight="1">
      <c r="A6" s="164">
        <v>46002</v>
      </c>
      <c r="B6" s="165" t="s">
        <v>950</v>
      </c>
      <c r="C6" s="165" t="s">
        <v>89</v>
      </c>
      <c r="D6" s="166" t="s">
        <v>37</v>
      </c>
      <c r="E6" s="167">
        <v>3570</v>
      </c>
      <c r="F6" s="167">
        <v>321.3</v>
      </c>
      <c r="G6" s="167">
        <v>321.3</v>
      </c>
      <c r="H6" s="168">
        <v>4212.6000000000004</v>
      </c>
      <c r="I6" s="135"/>
      <c r="J6" s="135"/>
      <c r="K6" s="132" t="s">
        <v>1160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</row>
    <row r="7" spans="1:110" s="12" customFormat="1" ht="19.95" customHeight="1">
      <c r="A7" s="128">
        <v>46027</v>
      </c>
      <c r="B7" s="3" t="s">
        <v>1021</v>
      </c>
      <c r="C7" s="131" t="s">
        <v>232</v>
      </c>
      <c r="D7" s="136" t="s">
        <v>26</v>
      </c>
      <c r="E7" s="129">
        <v>5850</v>
      </c>
      <c r="F7" s="129">
        <v>526.5</v>
      </c>
      <c r="G7" s="129">
        <v>526.5</v>
      </c>
      <c r="H7" s="130">
        <v>6903</v>
      </c>
      <c r="I7" s="135"/>
      <c r="J7" s="205"/>
      <c r="K7" s="132" t="s">
        <v>1161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</row>
    <row r="8" spans="1:110" s="12" customFormat="1" ht="19.95" customHeight="1">
      <c r="A8" s="128">
        <v>46081</v>
      </c>
      <c r="B8" s="131" t="s">
        <v>1131</v>
      </c>
      <c r="C8" s="131" t="s">
        <v>232</v>
      </c>
      <c r="D8" s="136" t="s">
        <v>26</v>
      </c>
      <c r="E8" s="129">
        <v>7650</v>
      </c>
      <c r="F8" s="129">
        <v>688.5</v>
      </c>
      <c r="G8" s="129">
        <v>688.5</v>
      </c>
      <c r="H8" s="130">
        <v>9027</v>
      </c>
      <c r="I8" s="135">
        <v>9000</v>
      </c>
      <c r="J8" s="205">
        <v>46116</v>
      </c>
      <c r="K8" s="132" t="s">
        <v>1162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</row>
    <row r="9" spans="1:110" s="12" customFormat="1" ht="19.95" customHeight="1">
      <c r="A9" s="128">
        <v>46112</v>
      </c>
      <c r="B9" s="131" t="s">
        <v>1176</v>
      </c>
      <c r="C9" s="131" t="s">
        <v>232</v>
      </c>
      <c r="D9" s="136" t="s">
        <v>26</v>
      </c>
      <c r="E9" s="129">
        <v>3750</v>
      </c>
      <c r="F9" s="129">
        <v>337.5</v>
      </c>
      <c r="G9" s="129">
        <v>337.5</v>
      </c>
      <c r="H9" s="130">
        <v>4425</v>
      </c>
      <c r="I9" s="135"/>
      <c r="J9" s="135"/>
      <c r="K9" s="13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0972-8351-4AAE-9EF8-C2F04E1B87BD}">
  <dimension ref="A2:DQ58"/>
  <sheetViews>
    <sheetView topLeftCell="A12" zoomScaleNormal="100" workbookViewId="0">
      <selection activeCell="K16" sqref="K16"/>
    </sheetView>
  </sheetViews>
  <sheetFormatPr defaultRowHeight="14.4"/>
  <cols>
    <col min="1" max="1" width="10.6640625" customWidth="1"/>
    <col min="2" max="2" width="15.33203125" customWidth="1"/>
    <col min="3" max="3" width="16.6640625" customWidth="1"/>
    <col min="4" max="4" width="9.88671875" customWidth="1"/>
    <col min="5" max="5" width="9" customWidth="1"/>
    <col min="6" max="6" width="10.44140625" customWidth="1"/>
    <col min="7" max="7" width="9.88671875" customWidth="1"/>
    <col min="17" max="17" width="16.33203125" customWidth="1"/>
  </cols>
  <sheetData>
    <row r="2" spans="1:121">
      <c r="A2" s="525" t="s">
        <v>16</v>
      </c>
      <c r="B2" s="525" t="s">
        <v>1337</v>
      </c>
      <c r="C2" s="525" t="s">
        <v>1338</v>
      </c>
      <c r="D2" s="525" t="s">
        <v>1339</v>
      </c>
      <c r="E2" s="525" t="s">
        <v>10</v>
      </c>
      <c r="F2" s="525" t="s">
        <v>9</v>
      </c>
      <c r="G2" s="525" t="s">
        <v>973</v>
      </c>
    </row>
    <row r="3" spans="1:121" s="12" customFormat="1" ht="19.95" customHeight="1">
      <c r="A3" s="408">
        <v>46058</v>
      </c>
      <c r="B3" s="131" t="s">
        <v>1091</v>
      </c>
      <c r="C3" s="131" t="s">
        <v>676</v>
      </c>
      <c r="D3" s="129">
        <v>8000</v>
      </c>
      <c r="E3" s="129">
        <v>720</v>
      </c>
      <c r="F3" s="129">
        <v>720</v>
      </c>
      <c r="G3" s="129">
        <v>9440</v>
      </c>
      <c r="H3" s="514"/>
      <c r="I3" s="515"/>
      <c r="J3" s="515"/>
      <c r="K3" s="515"/>
      <c r="L3" s="515"/>
      <c r="M3" s="515"/>
      <c r="N3" s="516"/>
      <c r="O3" s="516"/>
      <c r="P3" s="517"/>
      <c r="Q3" s="518"/>
      <c r="R3" s="516"/>
      <c r="S3" s="519"/>
      <c r="T3" s="520"/>
      <c r="U3" s="520"/>
      <c r="V3" s="80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1" s="12" customFormat="1" ht="19.95" customHeight="1">
      <c r="A4" s="408">
        <v>46058</v>
      </c>
      <c r="B4" s="131" t="s">
        <v>1092</v>
      </c>
      <c r="C4" s="131" t="s">
        <v>678</v>
      </c>
      <c r="D4" s="129">
        <v>3850</v>
      </c>
      <c r="E4" s="129">
        <v>346.5</v>
      </c>
      <c r="F4" s="129">
        <v>346.5</v>
      </c>
      <c r="G4" s="129">
        <v>4543</v>
      </c>
      <c r="H4" s="514"/>
      <c r="I4" s="515"/>
      <c r="J4" s="515"/>
      <c r="K4" s="515"/>
      <c r="L4" s="515"/>
      <c r="M4" s="515"/>
      <c r="N4" s="516"/>
      <c r="O4" s="516"/>
      <c r="P4" s="517"/>
      <c r="Q4" s="518"/>
      <c r="R4" s="516"/>
      <c r="S4" s="519"/>
      <c r="T4" s="520"/>
      <c r="U4" s="520"/>
      <c r="V4" s="80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</row>
    <row r="5" spans="1:121" s="12" customFormat="1" ht="19.95" customHeight="1">
      <c r="A5" s="408">
        <v>46058</v>
      </c>
      <c r="B5" s="131" t="s">
        <v>1095</v>
      </c>
      <c r="C5" s="131" t="s">
        <v>956</v>
      </c>
      <c r="D5" s="129">
        <v>2100</v>
      </c>
      <c r="E5" s="129">
        <v>189</v>
      </c>
      <c r="F5" s="129">
        <v>189</v>
      </c>
      <c r="G5" s="129">
        <v>2478</v>
      </c>
      <c r="H5" s="514"/>
      <c r="I5" s="515"/>
      <c r="J5" s="515"/>
      <c r="K5" s="515"/>
      <c r="L5" s="515"/>
      <c r="M5" s="515"/>
      <c r="N5" s="516"/>
      <c r="O5" s="516"/>
      <c r="P5" s="517"/>
      <c r="Q5" s="518"/>
      <c r="R5" s="516"/>
      <c r="S5" s="519"/>
      <c r="T5" s="520"/>
      <c r="U5" s="520"/>
      <c r="V5" s="80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</row>
    <row r="6" spans="1:121" s="12" customFormat="1" ht="19.95" customHeight="1">
      <c r="A6" s="408">
        <v>46058</v>
      </c>
      <c r="B6" s="131" t="s">
        <v>1096</v>
      </c>
      <c r="C6" s="131" t="s">
        <v>716</v>
      </c>
      <c r="D6" s="129">
        <v>2000</v>
      </c>
      <c r="E6" s="129">
        <v>180</v>
      </c>
      <c r="F6" s="129">
        <v>180</v>
      </c>
      <c r="G6" s="129">
        <v>2360</v>
      </c>
      <c r="H6" s="514"/>
      <c r="I6" s="515"/>
      <c r="J6" s="515"/>
      <c r="K6" s="515"/>
      <c r="L6" s="515"/>
      <c r="M6" s="515"/>
      <c r="N6" s="516"/>
      <c r="O6" s="516"/>
      <c r="P6" s="517"/>
      <c r="Q6" s="518"/>
      <c r="R6" s="516"/>
      <c r="S6" s="519"/>
      <c r="T6" s="520"/>
      <c r="U6" s="520"/>
      <c r="V6" s="80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</row>
    <row r="7" spans="1:121" s="12" customFormat="1" ht="19.95" customHeight="1">
      <c r="A7" s="408">
        <v>46058</v>
      </c>
      <c r="B7" s="131" t="s">
        <v>1097</v>
      </c>
      <c r="C7" s="131" t="s">
        <v>811</v>
      </c>
      <c r="D7" s="129">
        <v>11250</v>
      </c>
      <c r="E7" s="129">
        <v>1012.5</v>
      </c>
      <c r="F7" s="129">
        <v>1012.5</v>
      </c>
      <c r="G7" s="129">
        <v>13275</v>
      </c>
      <c r="H7" s="514"/>
      <c r="I7" s="515"/>
      <c r="J7" s="515"/>
      <c r="K7" s="515"/>
      <c r="L7" s="515"/>
      <c r="M7" s="515"/>
      <c r="N7" s="516"/>
      <c r="O7" s="516"/>
      <c r="P7" s="517"/>
      <c r="Q7" s="518"/>
      <c r="R7" s="516"/>
      <c r="S7" s="519"/>
      <c r="T7" s="520"/>
      <c r="U7" s="520"/>
      <c r="V7" s="80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s="12" customFormat="1" ht="19.95" customHeight="1">
      <c r="A8" s="408">
        <v>46058</v>
      </c>
      <c r="B8" s="131" t="s">
        <v>1098</v>
      </c>
      <c r="C8" s="131" t="s">
        <v>813</v>
      </c>
      <c r="D8" s="129">
        <v>4200</v>
      </c>
      <c r="E8" s="129">
        <v>378</v>
      </c>
      <c r="F8" s="129">
        <v>378</v>
      </c>
      <c r="G8" s="129">
        <v>4956</v>
      </c>
      <c r="H8" s="514"/>
      <c r="I8" s="515"/>
      <c r="J8" s="515"/>
      <c r="K8" s="515"/>
      <c r="L8" s="515"/>
      <c r="M8" s="515"/>
      <c r="N8" s="516"/>
      <c r="O8" s="516"/>
      <c r="P8" s="517"/>
      <c r="Q8" s="518"/>
      <c r="R8" s="516"/>
      <c r="S8" s="519"/>
      <c r="T8" s="520"/>
      <c r="U8" s="520"/>
      <c r="V8" s="80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12" customFormat="1" ht="19.95" customHeight="1">
      <c r="A9" s="408">
        <v>46058</v>
      </c>
      <c r="B9" s="131" t="s">
        <v>1099</v>
      </c>
      <c r="C9" s="131" t="s">
        <v>815</v>
      </c>
      <c r="D9" s="129">
        <v>700</v>
      </c>
      <c r="E9" s="129">
        <v>63</v>
      </c>
      <c r="F9" s="129">
        <v>63</v>
      </c>
      <c r="G9" s="129">
        <v>826</v>
      </c>
      <c r="H9" s="514"/>
      <c r="I9" s="515"/>
      <c r="J9" s="515"/>
      <c r="K9" s="515"/>
      <c r="L9" s="515"/>
      <c r="M9" s="515"/>
      <c r="N9" s="516"/>
      <c r="O9" s="516"/>
      <c r="P9" s="517"/>
      <c r="Q9" s="518"/>
      <c r="R9" s="516"/>
      <c r="S9" s="519"/>
      <c r="T9" s="520"/>
      <c r="U9" s="520"/>
      <c r="V9" s="80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 s="12" customFormat="1" ht="19.95" customHeight="1">
      <c r="A10" s="408">
        <v>46086</v>
      </c>
      <c r="B10" s="131" t="s">
        <v>1135</v>
      </c>
      <c r="C10" s="131" t="s">
        <v>676</v>
      </c>
      <c r="D10" s="129">
        <v>9600</v>
      </c>
      <c r="E10" s="129">
        <v>864</v>
      </c>
      <c r="F10" s="129">
        <v>864</v>
      </c>
      <c r="G10" s="129">
        <v>11328</v>
      </c>
      <c r="H10" s="514"/>
      <c r="I10" s="515"/>
      <c r="J10" s="515"/>
      <c r="K10" s="515"/>
      <c r="L10" s="515"/>
      <c r="M10" s="515"/>
      <c r="N10" s="516"/>
      <c r="O10" s="516"/>
      <c r="P10" s="517"/>
      <c r="Q10" s="518"/>
      <c r="R10" s="516"/>
      <c r="S10" s="519"/>
      <c r="T10" s="520"/>
      <c r="U10" s="520"/>
      <c r="V10" s="8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</row>
    <row r="11" spans="1:121" s="12" customFormat="1" ht="19.95" customHeight="1">
      <c r="A11" s="408">
        <v>46086</v>
      </c>
      <c r="B11" s="131" t="s">
        <v>1136</v>
      </c>
      <c r="C11" s="131" t="s">
        <v>678</v>
      </c>
      <c r="D11" s="129">
        <v>4900</v>
      </c>
      <c r="E11" s="129">
        <v>441</v>
      </c>
      <c r="F11" s="129">
        <v>441</v>
      </c>
      <c r="G11" s="129">
        <v>5782</v>
      </c>
      <c r="H11" s="514"/>
      <c r="I11" s="515"/>
      <c r="J11" s="515"/>
      <c r="K11" s="515"/>
      <c r="L11" s="515"/>
      <c r="M11" s="515"/>
      <c r="N11" s="516"/>
      <c r="O11" s="516"/>
      <c r="P11" s="517"/>
      <c r="Q11" s="518"/>
      <c r="R11" s="516"/>
      <c r="S11" s="519"/>
      <c r="T11" s="520"/>
      <c r="U11" s="520"/>
      <c r="V11" s="80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121" s="12" customFormat="1" ht="19.95" customHeight="1">
      <c r="A12" s="408">
        <v>46086</v>
      </c>
      <c r="B12" s="131" t="s">
        <v>1138</v>
      </c>
      <c r="C12" s="131" t="s">
        <v>684</v>
      </c>
      <c r="D12" s="129">
        <v>3000</v>
      </c>
      <c r="E12" s="129">
        <v>270</v>
      </c>
      <c r="F12" s="129">
        <v>270</v>
      </c>
      <c r="G12" s="129">
        <v>3540</v>
      </c>
      <c r="H12" s="514"/>
      <c r="I12" s="515"/>
      <c r="J12" s="515"/>
      <c r="K12" s="515"/>
      <c r="L12" s="515"/>
      <c r="M12" s="515"/>
      <c r="N12" s="516"/>
      <c r="O12" s="516"/>
      <c r="P12" s="517"/>
      <c r="Q12" s="518"/>
      <c r="R12" s="516"/>
      <c r="S12" s="519"/>
      <c r="T12" s="520"/>
      <c r="U12" s="520"/>
      <c r="V12" s="80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</row>
    <row r="13" spans="1:121" s="12" customFormat="1" ht="19.95" customHeight="1">
      <c r="A13" s="408">
        <v>46086</v>
      </c>
      <c r="B13" s="131" t="s">
        <v>1139</v>
      </c>
      <c r="C13" s="131" t="s">
        <v>956</v>
      </c>
      <c r="D13" s="129">
        <v>2200</v>
      </c>
      <c r="E13" s="129">
        <v>198</v>
      </c>
      <c r="F13" s="129">
        <v>198</v>
      </c>
      <c r="G13" s="129">
        <v>2596</v>
      </c>
      <c r="H13" s="514"/>
      <c r="I13" s="515"/>
      <c r="J13" s="515"/>
      <c r="K13" s="515"/>
      <c r="L13" s="515"/>
      <c r="M13" s="515"/>
      <c r="N13" s="516"/>
      <c r="O13" s="516"/>
      <c r="P13" s="517"/>
      <c r="Q13" s="518"/>
      <c r="R13" s="516"/>
      <c r="S13" s="519"/>
      <c r="T13" s="520"/>
      <c r="U13" s="520"/>
      <c r="V13" s="80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121" s="12" customFormat="1" ht="19.95" customHeight="1">
      <c r="A14" s="408">
        <v>46086</v>
      </c>
      <c r="B14" s="131" t="s">
        <v>1140</v>
      </c>
      <c r="C14" s="131" t="s">
        <v>716</v>
      </c>
      <c r="D14" s="129">
        <v>2800</v>
      </c>
      <c r="E14" s="129">
        <v>252</v>
      </c>
      <c r="F14" s="129">
        <v>252</v>
      </c>
      <c r="G14" s="129">
        <v>3304</v>
      </c>
      <c r="H14" s="514"/>
      <c r="I14" s="515"/>
      <c r="J14" s="515"/>
      <c r="K14" s="515"/>
      <c r="L14" s="515"/>
      <c r="M14" s="515"/>
      <c r="N14" s="516"/>
      <c r="O14" s="516"/>
      <c r="P14" s="517"/>
      <c r="Q14" s="518"/>
      <c r="R14" s="516"/>
      <c r="S14" s="519"/>
      <c r="T14" s="520"/>
      <c r="U14" s="520"/>
      <c r="V14" s="80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121" s="12" customFormat="1" ht="19.95" customHeight="1">
      <c r="A15" s="408">
        <v>46086</v>
      </c>
      <c r="B15" s="131" t="s">
        <v>1141</v>
      </c>
      <c r="C15" s="131" t="s">
        <v>811</v>
      </c>
      <c r="D15" s="129">
        <v>9000</v>
      </c>
      <c r="E15" s="129">
        <v>810</v>
      </c>
      <c r="F15" s="129">
        <v>810</v>
      </c>
      <c r="G15" s="129">
        <v>10620</v>
      </c>
      <c r="H15" s="514"/>
      <c r="I15" s="515"/>
      <c r="J15" s="515"/>
      <c r="K15" s="515"/>
      <c r="L15" s="515"/>
      <c r="M15" s="515"/>
      <c r="N15" s="516"/>
      <c r="O15" s="516"/>
      <c r="P15" s="517"/>
      <c r="Q15" s="518"/>
      <c r="R15" s="516"/>
      <c r="S15" s="519"/>
      <c r="T15" s="520"/>
      <c r="U15" s="520"/>
      <c r="V15" s="80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12" customFormat="1" ht="19.95" customHeight="1">
      <c r="A16" s="408">
        <v>46086</v>
      </c>
      <c r="B16" s="131" t="s">
        <v>1142</v>
      </c>
      <c r="C16" s="131" t="s">
        <v>813</v>
      </c>
      <c r="D16" s="129">
        <v>4200</v>
      </c>
      <c r="E16" s="129">
        <v>378</v>
      </c>
      <c r="F16" s="129">
        <v>378</v>
      </c>
      <c r="G16" s="129">
        <v>4956</v>
      </c>
      <c r="H16" s="514"/>
      <c r="I16" s="515"/>
      <c r="J16" s="515"/>
      <c r="K16" s="515"/>
      <c r="L16" s="515"/>
      <c r="M16" s="515"/>
      <c r="N16" s="516"/>
      <c r="O16" s="516"/>
      <c r="P16" s="517"/>
      <c r="Q16" s="518"/>
      <c r="R16" s="516"/>
      <c r="S16" s="519"/>
      <c r="T16" s="520"/>
      <c r="U16" s="520"/>
      <c r="V16" s="80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s="12" customFormat="1" ht="19.95" customHeight="1">
      <c r="A17" s="408">
        <v>46086</v>
      </c>
      <c r="B17" s="131" t="s">
        <v>1143</v>
      </c>
      <c r="C17" s="131" t="s">
        <v>815</v>
      </c>
      <c r="D17" s="129">
        <v>500</v>
      </c>
      <c r="E17" s="129">
        <v>45</v>
      </c>
      <c r="F17" s="129">
        <v>45</v>
      </c>
      <c r="G17" s="129">
        <v>590</v>
      </c>
      <c r="H17" s="514"/>
      <c r="I17" s="515"/>
      <c r="J17" s="515"/>
      <c r="K17" s="515"/>
      <c r="L17" s="515"/>
      <c r="M17" s="515"/>
      <c r="N17" s="516"/>
      <c r="O17" s="516"/>
      <c r="P17" s="517"/>
      <c r="Q17" s="518"/>
      <c r="R17" s="516"/>
      <c r="S17" s="519"/>
      <c r="T17" s="520"/>
      <c r="U17" s="520"/>
      <c r="V17" s="80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12" customFormat="1" ht="19.95" customHeight="1">
      <c r="A18" s="408">
        <v>46118</v>
      </c>
      <c r="B18" s="131" t="s">
        <v>1198</v>
      </c>
      <c r="C18" s="131" t="s">
        <v>676</v>
      </c>
      <c r="D18" s="129">
        <v>9600</v>
      </c>
      <c r="E18" s="129">
        <v>864</v>
      </c>
      <c r="F18" s="129">
        <v>864</v>
      </c>
      <c r="G18" s="129">
        <v>11328</v>
      </c>
      <c r="H18" s="514"/>
      <c r="I18" s="515"/>
      <c r="J18" s="515"/>
      <c r="K18" s="515"/>
      <c r="L18" s="515"/>
      <c r="M18" s="515"/>
      <c r="N18" s="516"/>
      <c r="O18" s="516"/>
      <c r="P18" s="521"/>
      <c r="Q18" s="518"/>
      <c r="R18" s="516"/>
      <c r="S18" s="519"/>
      <c r="T18" s="520"/>
      <c r="U18" s="520"/>
      <c r="V18" s="80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>
      <c r="D19" s="307">
        <v>77900</v>
      </c>
      <c r="E19" s="522">
        <v>7011</v>
      </c>
      <c r="F19" s="522">
        <v>7011</v>
      </c>
      <c r="G19" s="307">
        <v>91922</v>
      </c>
    </row>
    <row r="20" spans="1:121">
      <c r="D20" s="523">
        <v>0.05</v>
      </c>
      <c r="E20" s="130"/>
      <c r="F20" s="310" t="s">
        <v>1336</v>
      </c>
      <c r="G20" s="310">
        <v>91142</v>
      </c>
    </row>
    <row r="21" spans="1:121">
      <c r="D21" s="307">
        <v>3895</v>
      </c>
      <c r="F21" s="524">
        <v>46210</v>
      </c>
    </row>
    <row r="28" spans="1:121" ht="19.95" customHeight="1">
      <c r="A28" s="128">
        <v>45966</v>
      </c>
      <c r="B28" s="3" t="s">
        <v>897</v>
      </c>
      <c r="C28" s="3" t="s">
        <v>678</v>
      </c>
      <c r="D28" s="129">
        <v>3200</v>
      </c>
      <c r="E28" s="129">
        <v>288</v>
      </c>
      <c r="F28" s="129">
        <v>288</v>
      </c>
      <c r="G28" s="130">
        <v>3776</v>
      </c>
    </row>
    <row r="29" spans="1:121" ht="19.95" customHeight="1">
      <c r="A29" s="128">
        <v>45966</v>
      </c>
      <c r="B29" s="3" t="s">
        <v>898</v>
      </c>
      <c r="C29" s="3" t="s">
        <v>680</v>
      </c>
      <c r="D29" s="129">
        <v>4000</v>
      </c>
      <c r="E29" s="129">
        <v>360</v>
      </c>
      <c r="F29" s="129">
        <v>360</v>
      </c>
      <c r="G29" s="130">
        <v>4720</v>
      </c>
    </row>
    <row r="30" spans="1:121" ht="19.95" customHeight="1">
      <c r="A30" s="128">
        <v>45966</v>
      </c>
      <c r="B30" s="3" t="s">
        <v>899</v>
      </c>
      <c r="C30" s="3" t="s">
        <v>684</v>
      </c>
      <c r="D30" s="129">
        <v>2750</v>
      </c>
      <c r="E30" s="129">
        <v>247.5</v>
      </c>
      <c r="F30" s="129">
        <v>247.5</v>
      </c>
      <c r="G30" s="130">
        <v>3245</v>
      </c>
    </row>
    <row r="31" spans="1:121" ht="19.95" customHeight="1">
      <c r="A31" s="128">
        <v>45966</v>
      </c>
      <c r="B31" s="3" t="s">
        <v>900</v>
      </c>
      <c r="C31" s="3" t="s">
        <v>714</v>
      </c>
      <c r="D31" s="129">
        <v>2400</v>
      </c>
      <c r="E31" s="129">
        <v>216</v>
      </c>
      <c r="F31" s="129">
        <v>216</v>
      </c>
      <c r="G31" s="130">
        <v>2832</v>
      </c>
    </row>
    <row r="32" spans="1:121" ht="19.95" customHeight="1">
      <c r="A32" s="128">
        <v>45966</v>
      </c>
      <c r="B32" s="3" t="s">
        <v>901</v>
      </c>
      <c r="C32" s="3" t="s">
        <v>716</v>
      </c>
      <c r="D32" s="129">
        <v>1700</v>
      </c>
      <c r="E32" s="129">
        <v>153</v>
      </c>
      <c r="F32" s="129">
        <v>153</v>
      </c>
      <c r="G32" s="130">
        <v>2006</v>
      </c>
    </row>
    <row r="33" spans="1:106" ht="19.95" customHeight="1">
      <c r="A33" s="128">
        <v>45966</v>
      </c>
      <c r="B33" s="3" t="s">
        <v>902</v>
      </c>
      <c r="C33" s="3" t="s">
        <v>811</v>
      </c>
      <c r="D33" s="129">
        <v>10950</v>
      </c>
      <c r="E33" s="129">
        <v>985.5</v>
      </c>
      <c r="F33" s="129">
        <v>985.5</v>
      </c>
      <c r="G33" s="130">
        <v>12921</v>
      </c>
    </row>
    <row r="34" spans="1:106" ht="19.95" customHeight="1">
      <c r="A34" s="128">
        <v>45966</v>
      </c>
      <c r="B34" s="3" t="s">
        <v>903</v>
      </c>
      <c r="C34" s="3" t="s">
        <v>813</v>
      </c>
      <c r="D34" s="129">
        <v>4200</v>
      </c>
      <c r="E34" s="129">
        <v>378</v>
      </c>
      <c r="F34" s="129">
        <v>378</v>
      </c>
      <c r="G34" s="130">
        <v>4956</v>
      </c>
    </row>
    <row r="35" spans="1:106" ht="19.95" customHeight="1">
      <c r="A35" s="128">
        <v>45966</v>
      </c>
      <c r="B35" s="3" t="s">
        <v>904</v>
      </c>
      <c r="C35" s="3" t="s">
        <v>815</v>
      </c>
      <c r="D35" s="129">
        <v>650</v>
      </c>
      <c r="E35" s="129">
        <v>58.5</v>
      </c>
      <c r="F35" s="129">
        <v>58.5</v>
      </c>
      <c r="G35" s="130">
        <v>767</v>
      </c>
    </row>
    <row r="36" spans="1:106" s="12" customFormat="1" ht="19.95" customHeight="1">
      <c r="A36" s="128">
        <v>45996</v>
      </c>
      <c r="B36" s="3" t="s">
        <v>937</v>
      </c>
      <c r="C36" s="131" t="s">
        <v>676</v>
      </c>
      <c r="D36" s="129">
        <v>10150</v>
      </c>
      <c r="E36" s="129">
        <v>913.5</v>
      </c>
      <c r="F36" s="129">
        <v>913.5</v>
      </c>
      <c r="G36" s="130">
        <v>11977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</row>
    <row r="37" spans="1:106" s="12" customFormat="1" ht="19.95" customHeight="1">
      <c r="A37" s="128">
        <v>45996</v>
      </c>
      <c r="B37" s="3" t="s">
        <v>938</v>
      </c>
      <c r="C37" s="131" t="s">
        <v>678</v>
      </c>
      <c r="D37" s="129">
        <v>2650</v>
      </c>
      <c r="E37" s="129">
        <v>238.5</v>
      </c>
      <c r="F37" s="129">
        <v>238.5</v>
      </c>
      <c r="G37" s="130">
        <v>3127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</row>
    <row r="38" spans="1:106" s="12" customFormat="1" ht="19.95" customHeight="1">
      <c r="A38" s="128">
        <v>45996</v>
      </c>
      <c r="B38" s="3" t="s">
        <v>939</v>
      </c>
      <c r="C38" s="131" t="s">
        <v>680</v>
      </c>
      <c r="D38" s="129">
        <v>4000</v>
      </c>
      <c r="E38" s="129">
        <v>360</v>
      </c>
      <c r="F38" s="129">
        <v>360</v>
      </c>
      <c r="G38" s="130">
        <v>4720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</row>
    <row r="39" spans="1:106" s="12" customFormat="1" ht="19.95" customHeight="1">
      <c r="A39" s="128">
        <v>45996</v>
      </c>
      <c r="B39" s="165" t="s">
        <v>940</v>
      </c>
      <c r="C39" s="165" t="s">
        <v>684</v>
      </c>
      <c r="D39" s="167">
        <v>2400</v>
      </c>
      <c r="E39" s="167">
        <v>216</v>
      </c>
      <c r="F39" s="167">
        <v>216</v>
      </c>
      <c r="G39" s="130">
        <v>2832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</row>
    <row r="40" spans="1:106" s="12" customFormat="1" ht="19.95" customHeight="1">
      <c r="A40" s="128">
        <v>45996</v>
      </c>
      <c r="B40" s="165" t="s">
        <v>941</v>
      </c>
      <c r="C40" s="165" t="s">
        <v>956</v>
      </c>
      <c r="D40" s="167">
        <v>2050</v>
      </c>
      <c r="E40" s="167">
        <v>184.5</v>
      </c>
      <c r="F40" s="167">
        <v>184.5</v>
      </c>
      <c r="G40" s="130">
        <v>2419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</row>
    <row r="41" spans="1:106" s="12" customFormat="1" ht="19.95" customHeight="1">
      <c r="A41" s="128">
        <v>45996</v>
      </c>
      <c r="B41" s="165" t="s">
        <v>942</v>
      </c>
      <c r="C41" s="165" t="s">
        <v>716</v>
      </c>
      <c r="D41" s="167">
        <v>1800</v>
      </c>
      <c r="E41" s="167">
        <v>162</v>
      </c>
      <c r="F41" s="167">
        <v>162</v>
      </c>
      <c r="G41" s="130">
        <v>2124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</row>
    <row r="42" spans="1:106" s="12" customFormat="1" ht="19.95" customHeight="1">
      <c r="A42" s="128">
        <v>45996</v>
      </c>
      <c r="B42" s="165" t="s">
        <v>943</v>
      </c>
      <c r="C42" s="165" t="s">
        <v>811</v>
      </c>
      <c r="D42" s="167">
        <v>10000</v>
      </c>
      <c r="E42" s="167">
        <v>900</v>
      </c>
      <c r="F42" s="167">
        <v>900</v>
      </c>
      <c r="G42" s="130">
        <v>11800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</row>
    <row r="43" spans="1:106" s="12" customFormat="1" ht="19.95" customHeight="1">
      <c r="A43" s="128">
        <v>45996</v>
      </c>
      <c r="B43" s="165" t="s">
        <v>944</v>
      </c>
      <c r="C43" s="165" t="s">
        <v>957</v>
      </c>
      <c r="D43" s="167">
        <v>4200</v>
      </c>
      <c r="E43" s="167">
        <v>378</v>
      </c>
      <c r="F43" s="167">
        <v>378</v>
      </c>
      <c r="G43" s="130">
        <v>4956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</row>
    <row r="44" spans="1:106" s="12" customFormat="1" ht="19.95" customHeight="1">
      <c r="A44" s="128">
        <v>45996</v>
      </c>
      <c r="B44" s="165" t="s">
        <v>945</v>
      </c>
      <c r="C44" s="165" t="s">
        <v>815</v>
      </c>
      <c r="D44" s="167">
        <v>850</v>
      </c>
      <c r="E44" s="167">
        <v>76.5</v>
      </c>
      <c r="F44" s="167">
        <v>76.5</v>
      </c>
      <c r="G44" s="130">
        <v>1003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</row>
    <row r="45" spans="1:106" s="12" customFormat="1" ht="19.95" customHeight="1">
      <c r="A45" s="128">
        <v>46027</v>
      </c>
      <c r="B45" s="3" t="s">
        <v>1012</v>
      </c>
      <c r="C45" s="131" t="s">
        <v>676</v>
      </c>
      <c r="D45" s="129">
        <v>11000</v>
      </c>
      <c r="E45" s="129">
        <v>990</v>
      </c>
      <c r="F45" s="129">
        <v>990</v>
      </c>
      <c r="G45" s="130">
        <v>12980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</row>
    <row r="46" spans="1:106" s="12" customFormat="1" ht="19.95" customHeight="1">
      <c r="A46" s="128">
        <v>46027</v>
      </c>
      <c r="B46" s="3" t="s">
        <v>1013</v>
      </c>
      <c r="C46" s="131" t="s">
        <v>678</v>
      </c>
      <c r="D46" s="129">
        <v>3000</v>
      </c>
      <c r="E46" s="129">
        <v>270</v>
      </c>
      <c r="F46" s="129">
        <v>270</v>
      </c>
      <c r="G46" s="130">
        <v>3540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</row>
    <row r="47" spans="1:106" s="12" customFormat="1" ht="19.95" customHeight="1">
      <c r="A47" s="128">
        <v>46027</v>
      </c>
      <c r="B47" s="3" t="s">
        <v>1014</v>
      </c>
      <c r="C47" s="131" t="s">
        <v>680</v>
      </c>
      <c r="D47" s="129">
        <v>4000</v>
      </c>
      <c r="E47" s="129">
        <v>360</v>
      </c>
      <c r="F47" s="129">
        <v>360</v>
      </c>
      <c r="G47" s="130">
        <v>4720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</row>
    <row r="48" spans="1:106" s="12" customFormat="1" ht="19.95" customHeight="1">
      <c r="A48" s="128">
        <v>46027</v>
      </c>
      <c r="B48" s="3" t="s">
        <v>1015</v>
      </c>
      <c r="C48" s="165" t="s">
        <v>684</v>
      </c>
      <c r="D48" s="167">
        <v>2350</v>
      </c>
      <c r="E48" s="167">
        <v>211.5</v>
      </c>
      <c r="F48" s="167">
        <v>211.5</v>
      </c>
      <c r="G48" s="130">
        <v>2773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</row>
    <row r="49" spans="1:106" s="12" customFormat="1" ht="19.95" customHeight="1">
      <c r="A49" s="128">
        <v>46027</v>
      </c>
      <c r="B49" s="3" t="s">
        <v>1016</v>
      </c>
      <c r="C49" s="165" t="s">
        <v>956</v>
      </c>
      <c r="D49" s="167">
        <v>2100</v>
      </c>
      <c r="E49" s="167">
        <v>189</v>
      </c>
      <c r="F49" s="167">
        <v>189</v>
      </c>
      <c r="G49" s="130">
        <v>2478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</row>
    <row r="50" spans="1:106" s="12" customFormat="1" ht="19.95" customHeight="1">
      <c r="A50" s="128">
        <v>46027</v>
      </c>
      <c r="B50" s="3" t="s">
        <v>1017</v>
      </c>
      <c r="C50" s="165" t="s">
        <v>716</v>
      </c>
      <c r="D50" s="167">
        <v>2050</v>
      </c>
      <c r="E50" s="167">
        <v>184.5</v>
      </c>
      <c r="F50" s="167">
        <v>184.5</v>
      </c>
      <c r="G50" s="130">
        <v>2419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</row>
    <row r="51" spans="1:106" s="12" customFormat="1" ht="19.95" customHeight="1">
      <c r="A51" s="128">
        <v>46027</v>
      </c>
      <c r="B51" s="3" t="s">
        <v>1018</v>
      </c>
      <c r="C51" s="165" t="s">
        <v>811</v>
      </c>
      <c r="D51" s="167">
        <v>11250</v>
      </c>
      <c r="E51" s="167">
        <v>1012.5</v>
      </c>
      <c r="F51" s="167">
        <v>1012.5</v>
      </c>
      <c r="G51" s="130">
        <v>13275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</row>
    <row r="52" spans="1:106" s="12" customFormat="1" ht="19.95" customHeight="1">
      <c r="A52" s="128">
        <v>46027</v>
      </c>
      <c r="B52" s="3" t="s">
        <v>1019</v>
      </c>
      <c r="C52" s="165" t="s">
        <v>957</v>
      </c>
      <c r="D52" s="167">
        <v>4200</v>
      </c>
      <c r="E52" s="167">
        <v>378</v>
      </c>
      <c r="F52" s="167">
        <v>378</v>
      </c>
      <c r="G52" s="130">
        <v>4956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</row>
    <row r="53" spans="1:106" s="12" customFormat="1" ht="19.95" customHeight="1">
      <c r="A53" s="128">
        <v>46027</v>
      </c>
      <c r="B53" s="3" t="s">
        <v>1020</v>
      </c>
      <c r="C53" s="165" t="s">
        <v>815</v>
      </c>
      <c r="D53" s="167">
        <v>700</v>
      </c>
      <c r="E53" s="167">
        <v>63</v>
      </c>
      <c r="F53" s="167">
        <v>63</v>
      </c>
      <c r="G53" s="130">
        <v>826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</row>
    <row r="54" spans="1:106" s="12" customFormat="1" ht="19.95" customHeight="1">
      <c r="A54" s="128">
        <v>46058</v>
      </c>
      <c r="B54" s="131" t="s">
        <v>1093</v>
      </c>
      <c r="C54" s="131" t="s">
        <v>680</v>
      </c>
      <c r="D54" s="129">
        <v>2000</v>
      </c>
      <c r="E54" s="129">
        <v>180</v>
      </c>
      <c r="F54" s="129">
        <v>180</v>
      </c>
      <c r="G54" s="130">
        <v>2360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</row>
    <row r="55" spans="1:106" s="12" customFormat="1" ht="19.95" customHeight="1">
      <c r="A55" s="128">
        <v>46058</v>
      </c>
      <c r="B55" s="131" t="s">
        <v>1094</v>
      </c>
      <c r="C55" s="131" t="s">
        <v>684</v>
      </c>
      <c r="D55" s="129">
        <v>3400</v>
      </c>
      <c r="E55" s="129">
        <v>306</v>
      </c>
      <c r="F55" s="129">
        <v>306</v>
      </c>
      <c r="G55" s="130">
        <v>4012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</row>
    <row r="56" spans="1:106" s="305" customFormat="1">
      <c r="B56" s="308" t="s">
        <v>973</v>
      </c>
      <c r="C56" s="309"/>
      <c r="D56" s="307">
        <v>114000</v>
      </c>
      <c r="E56" s="310">
        <v>10260</v>
      </c>
      <c r="F56" s="307">
        <v>10260</v>
      </c>
      <c r="G56" s="513">
        <v>134520</v>
      </c>
    </row>
    <row r="57" spans="1:106">
      <c r="D57" s="311">
        <v>0.05</v>
      </c>
      <c r="F57" s="306" t="s">
        <v>1166</v>
      </c>
      <c r="G57" s="130">
        <v>133027</v>
      </c>
    </row>
    <row r="58" spans="1:106">
      <c r="D58" s="307">
        <v>5700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4150-2A76-4A14-9F3D-419D5652BDEC}">
  <dimension ref="A1:DA276"/>
  <sheetViews>
    <sheetView topLeftCell="A19" workbookViewId="0">
      <selection activeCell="C264" sqref="C264"/>
    </sheetView>
  </sheetViews>
  <sheetFormatPr defaultRowHeight="14.4"/>
  <cols>
    <col min="1" max="1" width="10.6640625" style="231" customWidth="1"/>
    <col min="2" max="2" width="15.5546875" customWidth="1"/>
    <col min="3" max="3" width="27.6640625" customWidth="1"/>
    <col min="4" max="4" width="12.6640625" customWidth="1"/>
    <col min="5" max="5" width="4.6640625" style="219" customWidth="1"/>
    <col min="6" max="6" width="10.6640625" customWidth="1"/>
    <col min="7" max="7" width="10.109375" customWidth="1"/>
    <col min="8" max="8" width="8.6640625" customWidth="1"/>
    <col min="9" max="9" width="12.109375" customWidth="1"/>
    <col min="11" max="19" width="8.88671875" style="10"/>
  </cols>
  <sheetData>
    <row r="1" spans="1:105" ht="18" customHeight="1">
      <c r="C1" s="230" t="s">
        <v>1267</v>
      </c>
    </row>
    <row r="2" spans="1:105" s="12" customFormat="1" ht="15" customHeight="1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8</v>
      </c>
      <c r="G2" s="1" t="s">
        <v>9</v>
      </c>
      <c r="H2" s="172" t="s">
        <v>10</v>
      </c>
      <c r="I2" s="1" t="s">
        <v>12</v>
      </c>
      <c r="J2" s="400" t="s">
        <v>17</v>
      </c>
      <c r="K2" s="11"/>
      <c r="L2" s="10"/>
      <c r="M2" s="10"/>
      <c r="N2" s="10"/>
      <c r="O2" s="10"/>
      <c r="P2" s="10"/>
      <c r="Q2" s="10"/>
      <c r="R2" s="10"/>
      <c r="S2" s="10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</row>
    <row r="3" spans="1:105" s="12" customFormat="1" ht="15" customHeight="1">
      <c r="A3" s="408">
        <v>46106</v>
      </c>
      <c r="B3" s="131" t="s">
        <v>1148</v>
      </c>
      <c r="C3" s="131" t="s">
        <v>637</v>
      </c>
      <c r="D3" s="131" t="s">
        <v>629</v>
      </c>
      <c r="E3" s="136" t="s">
        <v>26</v>
      </c>
      <c r="F3" s="129">
        <v>16000</v>
      </c>
      <c r="G3" s="129">
        <v>1440</v>
      </c>
      <c r="H3" s="130">
        <v>1440</v>
      </c>
      <c r="I3" s="129">
        <v>18880</v>
      </c>
      <c r="J3" s="185" t="s">
        <v>1263</v>
      </c>
      <c r="K3" s="11"/>
      <c r="L3" s="10"/>
      <c r="M3" s="10"/>
      <c r="N3" s="10"/>
      <c r="O3" s="10"/>
      <c r="P3" s="10"/>
      <c r="Q3" s="10"/>
      <c r="R3" s="10"/>
      <c r="S3" s="10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</row>
    <row r="4" spans="1:105" ht="15" customHeight="1">
      <c r="A4" s="408">
        <v>46137</v>
      </c>
      <c r="B4" s="131" t="s">
        <v>1213</v>
      </c>
      <c r="C4" s="131" t="s">
        <v>637</v>
      </c>
      <c r="D4" s="131" t="s">
        <v>629</v>
      </c>
      <c r="E4" s="136" t="s">
        <v>26</v>
      </c>
      <c r="F4" s="129">
        <v>12400</v>
      </c>
      <c r="G4" s="129">
        <v>1116</v>
      </c>
      <c r="H4" s="130">
        <v>1116</v>
      </c>
      <c r="I4" s="129">
        <v>14632</v>
      </c>
      <c r="J4" s="185" t="s">
        <v>1264</v>
      </c>
      <c r="K4" s="11"/>
    </row>
    <row r="5" spans="1:105" ht="15" customHeight="1">
      <c r="I5" s="396">
        <v>33512</v>
      </c>
      <c r="K5" s="11"/>
    </row>
    <row r="6" spans="1:105" s="12" customFormat="1" ht="15" customHeight="1">
      <c r="A6" s="1" t="s">
        <v>0</v>
      </c>
      <c r="B6" s="1" t="s">
        <v>1</v>
      </c>
      <c r="C6" s="1" t="s">
        <v>2</v>
      </c>
      <c r="D6" s="1" t="s">
        <v>4</v>
      </c>
      <c r="E6" s="1" t="s">
        <v>5</v>
      </c>
      <c r="F6" s="1" t="s">
        <v>8</v>
      </c>
      <c r="G6" s="1" t="s">
        <v>9</v>
      </c>
      <c r="H6" s="172" t="s">
        <v>10</v>
      </c>
      <c r="I6" s="1" t="s">
        <v>12</v>
      </c>
      <c r="J6" s="400" t="s">
        <v>17</v>
      </c>
      <c r="K6" s="11"/>
      <c r="L6" s="10"/>
      <c r="M6" s="10"/>
      <c r="N6" s="10"/>
      <c r="O6" s="10"/>
      <c r="P6" s="10"/>
      <c r="Q6" s="10"/>
      <c r="R6" s="10"/>
      <c r="S6" s="10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</row>
    <row r="7" spans="1:105" ht="15" customHeight="1">
      <c r="A7" s="2">
        <v>44864</v>
      </c>
      <c r="B7" s="3" t="s">
        <v>41</v>
      </c>
      <c r="C7" s="21" t="s">
        <v>42</v>
      </c>
      <c r="D7" s="3" t="s">
        <v>44</v>
      </c>
      <c r="E7" s="4" t="s">
        <v>45</v>
      </c>
      <c r="F7" s="9">
        <v>43974</v>
      </c>
      <c r="G7" s="9">
        <v>3957.66</v>
      </c>
      <c r="H7" s="41">
        <v>3957.66</v>
      </c>
      <c r="I7" s="9">
        <v>51889.320000000007</v>
      </c>
      <c r="J7" s="401" t="s">
        <v>28</v>
      </c>
      <c r="K7" s="11"/>
    </row>
    <row r="8" spans="1:105" ht="15" customHeight="1">
      <c r="A8" s="2">
        <v>44895</v>
      </c>
      <c r="B8" s="3" t="s">
        <v>52</v>
      </c>
      <c r="C8" s="21" t="s">
        <v>42</v>
      </c>
      <c r="D8" s="3" t="s">
        <v>44</v>
      </c>
      <c r="E8" s="4" t="s">
        <v>45</v>
      </c>
      <c r="F8" s="9">
        <v>39536</v>
      </c>
      <c r="G8" s="9">
        <v>3558.24</v>
      </c>
      <c r="H8" s="41">
        <v>3558.24</v>
      </c>
      <c r="I8" s="9">
        <v>46652.479999999996</v>
      </c>
      <c r="J8" s="401" t="s">
        <v>28</v>
      </c>
      <c r="K8" s="11"/>
    </row>
    <row r="9" spans="1:105" ht="15" customHeight="1">
      <c r="A9" s="2">
        <v>44927</v>
      </c>
      <c r="B9" s="3" t="s">
        <v>68</v>
      </c>
      <c r="C9" s="21" t="s">
        <v>42</v>
      </c>
      <c r="D9" s="3" t="s">
        <v>44</v>
      </c>
      <c r="E9" s="4" t="s">
        <v>45</v>
      </c>
      <c r="F9" s="9">
        <v>31832</v>
      </c>
      <c r="G9" s="9">
        <v>2864.88</v>
      </c>
      <c r="H9" s="41">
        <v>2864.88</v>
      </c>
      <c r="I9" s="9">
        <v>37561.759999999995</v>
      </c>
      <c r="J9" s="402" t="s">
        <v>69</v>
      </c>
      <c r="K9" s="11"/>
    </row>
    <row r="10" spans="1:105" ht="15" customHeight="1">
      <c r="A10" s="2">
        <v>44957</v>
      </c>
      <c r="B10" s="3" t="s">
        <v>74</v>
      </c>
      <c r="C10" s="21" t="s">
        <v>42</v>
      </c>
      <c r="D10" s="3" t="s">
        <v>44</v>
      </c>
      <c r="E10" s="4" t="s">
        <v>45</v>
      </c>
      <c r="F10" s="9">
        <v>145949</v>
      </c>
      <c r="G10" s="9">
        <v>13135.41</v>
      </c>
      <c r="H10" s="41">
        <v>13135.41</v>
      </c>
      <c r="I10" s="9">
        <v>172219.82</v>
      </c>
      <c r="J10" s="402" t="s">
        <v>69</v>
      </c>
      <c r="K10" s="11"/>
    </row>
    <row r="11" spans="1:105" ht="15" customHeight="1">
      <c r="A11" s="2">
        <v>44985</v>
      </c>
      <c r="B11" s="3" t="s">
        <v>93</v>
      </c>
      <c r="C11" s="21" t="s">
        <v>42</v>
      </c>
      <c r="D11" s="3" t="s">
        <v>44</v>
      </c>
      <c r="E11" s="4" t="s">
        <v>45</v>
      </c>
      <c r="F11" s="9">
        <v>55411</v>
      </c>
      <c r="G11" s="9">
        <v>4986.99</v>
      </c>
      <c r="H11" s="41">
        <v>4986.99</v>
      </c>
      <c r="I11" s="9">
        <v>65384.979999999996</v>
      </c>
      <c r="J11" s="402" t="s">
        <v>69</v>
      </c>
      <c r="K11" s="11"/>
    </row>
    <row r="12" spans="1:105" ht="15" customHeight="1">
      <c r="A12" s="2">
        <v>45199</v>
      </c>
      <c r="B12" s="3" t="s">
        <v>179</v>
      </c>
      <c r="C12" s="3" t="s">
        <v>42</v>
      </c>
      <c r="D12" s="3" t="s">
        <v>44</v>
      </c>
      <c r="E12" s="4" t="s">
        <v>45</v>
      </c>
      <c r="F12" s="9">
        <v>18400</v>
      </c>
      <c r="G12" s="9">
        <v>1656</v>
      </c>
      <c r="H12" s="41">
        <v>1656</v>
      </c>
      <c r="I12" s="9">
        <v>21712</v>
      </c>
      <c r="J12" s="403" t="s">
        <v>148</v>
      </c>
      <c r="K12" s="11"/>
    </row>
    <row r="13" spans="1:105" ht="15" customHeight="1">
      <c r="A13" s="2">
        <v>45230</v>
      </c>
      <c r="B13" s="3" t="s">
        <v>194</v>
      </c>
      <c r="C13" s="3" t="s">
        <v>42</v>
      </c>
      <c r="D13" s="3" t="s">
        <v>44</v>
      </c>
      <c r="E13" s="4" t="s">
        <v>45</v>
      </c>
      <c r="F13" s="9">
        <v>18400</v>
      </c>
      <c r="G13" s="9">
        <v>1656</v>
      </c>
      <c r="H13" s="41">
        <v>1656</v>
      </c>
      <c r="I13" s="9">
        <v>21712</v>
      </c>
      <c r="J13" s="403" t="s">
        <v>148</v>
      </c>
      <c r="K13" s="11"/>
    </row>
    <row r="14" spans="1:105" s="14" customFormat="1" ht="15" customHeight="1">
      <c r="A14" s="2">
        <v>45260</v>
      </c>
      <c r="B14" s="3" t="s">
        <v>211</v>
      </c>
      <c r="C14" s="3" t="s">
        <v>42</v>
      </c>
      <c r="D14" s="3" t="s">
        <v>44</v>
      </c>
      <c r="E14" s="4" t="s">
        <v>45</v>
      </c>
      <c r="F14" s="9">
        <v>16900</v>
      </c>
      <c r="G14" s="9">
        <v>1521</v>
      </c>
      <c r="H14" s="41">
        <v>1521</v>
      </c>
      <c r="I14" s="9">
        <v>19942</v>
      </c>
      <c r="J14" s="403" t="s">
        <v>148</v>
      </c>
      <c r="K14" s="11"/>
      <c r="L14" s="10"/>
      <c r="M14" s="10"/>
      <c r="N14" s="10"/>
      <c r="O14" s="10"/>
      <c r="P14" s="10"/>
      <c r="Q14" s="10"/>
      <c r="R14" s="10"/>
      <c r="S14" s="10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</row>
    <row r="15" spans="1:105" ht="15" customHeight="1">
      <c r="A15" s="2">
        <v>45291</v>
      </c>
      <c r="B15" s="3" t="s">
        <v>225</v>
      </c>
      <c r="C15" s="3" t="s">
        <v>42</v>
      </c>
      <c r="D15" s="3" t="s">
        <v>44</v>
      </c>
      <c r="E15" s="4" t="s">
        <v>45</v>
      </c>
      <c r="F15" s="9">
        <v>18400</v>
      </c>
      <c r="G15" s="9">
        <v>1656</v>
      </c>
      <c r="H15" s="41">
        <v>1656</v>
      </c>
      <c r="I15" s="9">
        <v>21712</v>
      </c>
      <c r="J15" s="403" t="s">
        <v>148</v>
      </c>
      <c r="K15" s="11"/>
    </row>
    <row r="16" spans="1:105" ht="15" customHeight="1">
      <c r="A16" s="2">
        <v>45322</v>
      </c>
      <c r="B16" s="3" t="s">
        <v>247</v>
      </c>
      <c r="C16" s="3" t="s">
        <v>42</v>
      </c>
      <c r="D16" s="3" t="s">
        <v>44</v>
      </c>
      <c r="E16" s="4" t="s">
        <v>45</v>
      </c>
      <c r="F16" s="9">
        <v>48704</v>
      </c>
      <c r="G16" s="9">
        <v>4383.3599999999997</v>
      </c>
      <c r="H16" s="41">
        <v>4383.3599999999997</v>
      </c>
      <c r="I16" s="9">
        <v>57470.720000000001</v>
      </c>
      <c r="J16" s="403" t="s">
        <v>148</v>
      </c>
      <c r="K16" s="11"/>
    </row>
    <row r="17" spans="1:105" ht="15" customHeight="1">
      <c r="A17" s="2">
        <v>45351</v>
      </c>
      <c r="B17" s="3" t="s">
        <v>261</v>
      </c>
      <c r="C17" s="3" t="s">
        <v>42</v>
      </c>
      <c r="D17" s="3" t="s">
        <v>44</v>
      </c>
      <c r="E17" s="4" t="s">
        <v>45</v>
      </c>
      <c r="F17" s="9">
        <v>27373</v>
      </c>
      <c r="G17" s="9">
        <v>2463.5700000000002</v>
      </c>
      <c r="H17" s="41">
        <v>2463.5700000000002</v>
      </c>
      <c r="I17" s="9">
        <v>32300.14</v>
      </c>
      <c r="J17" s="403" t="s">
        <v>148</v>
      </c>
      <c r="K17" s="11"/>
    </row>
    <row r="18" spans="1:105" ht="15" customHeight="1">
      <c r="A18" s="408">
        <v>46137</v>
      </c>
      <c r="B18" s="131" t="s">
        <v>1216</v>
      </c>
      <c r="C18" s="131" t="s">
        <v>42</v>
      </c>
      <c r="D18" s="131" t="s">
        <v>44</v>
      </c>
      <c r="E18" s="136" t="s">
        <v>26</v>
      </c>
      <c r="F18" s="129">
        <v>8000</v>
      </c>
      <c r="G18" s="129">
        <v>720</v>
      </c>
      <c r="H18" s="130">
        <v>720</v>
      </c>
      <c r="I18" s="129">
        <v>9440</v>
      </c>
      <c r="J18" s="185" t="s">
        <v>1264</v>
      </c>
      <c r="K18" s="11"/>
    </row>
    <row r="19" spans="1:105" ht="15" customHeight="1">
      <c r="I19" s="397">
        <v>557997</v>
      </c>
      <c r="K19" s="11"/>
    </row>
    <row r="20" spans="1:105" s="12" customFormat="1" ht="15" customHeight="1">
      <c r="A20" s="1" t="s">
        <v>0</v>
      </c>
      <c r="B20" s="1" t="s">
        <v>1</v>
      </c>
      <c r="C20" s="1" t="s">
        <v>2</v>
      </c>
      <c r="D20" s="1" t="s">
        <v>4</v>
      </c>
      <c r="E20" s="1" t="s">
        <v>5</v>
      </c>
      <c r="F20" s="1" t="s">
        <v>8</v>
      </c>
      <c r="G20" s="1" t="s">
        <v>9</v>
      </c>
      <c r="H20" s="172" t="s">
        <v>10</v>
      </c>
      <c r="I20" s="1" t="s">
        <v>12</v>
      </c>
      <c r="J20" s="400" t="s">
        <v>17</v>
      </c>
      <c r="K20" s="11"/>
      <c r="L20" s="10"/>
      <c r="M20" s="10"/>
      <c r="N20" s="10"/>
      <c r="O20" s="10"/>
      <c r="P20" s="10"/>
      <c r="Q20" s="10"/>
      <c r="R20" s="10"/>
      <c r="S20" s="1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</row>
    <row r="21" spans="1:105" ht="15" customHeight="1">
      <c r="A21" s="2">
        <v>45169</v>
      </c>
      <c r="B21" s="3" t="s">
        <v>162</v>
      </c>
      <c r="C21" s="3" t="s">
        <v>42</v>
      </c>
      <c r="D21" s="3" t="s">
        <v>163</v>
      </c>
      <c r="E21" s="4" t="s">
        <v>45</v>
      </c>
      <c r="F21" s="9">
        <v>39200</v>
      </c>
      <c r="G21" s="9">
        <v>3528</v>
      </c>
      <c r="H21" s="41">
        <v>3528</v>
      </c>
      <c r="I21" s="9">
        <v>46256</v>
      </c>
      <c r="J21" s="403" t="s">
        <v>148</v>
      </c>
      <c r="K21" s="11"/>
    </row>
    <row r="22" spans="1:105" ht="15" customHeight="1">
      <c r="A22" s="2">
        <v>45199</v>
      </c>
      <c r="B22" s="3" t="s">
        <v>180</v>
      </c>
      <c r="C22" s="3" t="s">
        <v>42</v>
      </c>
      <c r="D22" s="3" t="s">
        <v>163</v>
      </c>
      <c r="E22" s="4" t="s">
        <v>26</v>
      </c>
      <c r="F22" s="9">
        <v>9500</v>
      </c>
      <c r="G22" s="9">
        <v>855</v>
      </c>
      <c r="H22" s="41">
        <v>855</v>
      </c>
      <c r="I22" s="9">
        <v>11210</v>
      </c>
      <c r="J22" s="157" t="s">
        <v>134</v>
      </c>
      <c r="K22" s="11"/>
    </row>
    <row r="23" spans="1:105" ht="15" customHeight="1">
      <c r="A23" s="2">
        <v>45230</v>
      </c>
      <c r="B23" s="3" t="s">
        <v>195</v>
      </c>
      <c r="C23" s="3" t="s">
        <v>42</v>
      </c>
      <c r="D23" s="3" t="s">
        <v>163</v>
      </c>
      <c r="E23" s="4" t="s">
        <v>26</v>
      </c>
      <c r="F23" s="9">
        <v>8400</v>
      </c>
      <c r="G23" s="9">
        <v>756</v>
      </c>
      <c r="H23" s="41">
        <v>756</v>
      </c>
      <c r="I23" s="9">
        <v>9912</v>
      </c>
      <c r="J23" s="404" t="s">
        <v>185</v>
      </c>
      <c r="K23" s="11"/>
    </row>
    <row r="24" spans="1:105" ht="15" customHeight="1">
      <c r="A24" s="2">
        <v>45565</v>
      </c>
      <c r="B24" s="3" t="s">
        <v>420</v>
      </c>
      <c r="C24" s="21" t="s">
        <v>42</v>
      </c>
      <c r="D24" s="3" t="s">
        <v>163</v>
      </c>
      <c r="E24" s="4" t="s">
        <v>26</v>
      </c>
      <c r="F24" s="9">
        <v>10200</v>
      </c>
      <c r="G24" s="9">
        <v>918</v>
      </c>
      <c r="H24" s="41">
        <v>918</v>
      </c>
      <c r="I24" s="9">
        <v>12036</v>
      </c>
      <c r="J24" s="403" t="s">
        <v>356</v>
      </c>
      <c r="K24" s="11"/>
    </row>
    <row r="25" spans="1:105" ht="15" customHeight="1">
      <c r="A25" s="2">
        <v>45596</v>
      </c>
      <c r="B25" s="3" t="s">
        <v>440</v>
      </c>
      <c r="C25" s="21" t="s">
        <v>42</v>
      </c>
      <c r="D25" s="3" t="s">
        <v>163</v>
      </c>
      <c r="E25" s="4" t="s">
        <v>26</v>
      </c>
      <c r="F25" s="9">
        <v>7500</v>
      </c>
      <c r="G25" s="9">
        <v>675</v>
      </c>
      <c r="H25" s="41">
        <v>675</v>
      </c>
      <c r="I25" s="9">
        <v>8850</v>
      </c>
      <c r="J25" s="403" t="s">
        <v>313</v>
      </c>
      <c r="K25" s="11"/>
    </row>
    <row r="26" spans="1:105" ht="15" customHeight="1">
      <c r="A26" s="2">
        <v>45626</v>
      </c>
      <c r="B26" s="3" t="s">
        <v>468</v>
      </c>
      <c r="C26" s="21" t="s">
        <v>42</v>
      </c>
      <c r="D26" s="3" t="s">
        <v>163</v>
      </c>
      <c r="E26" s="4" t="s">
        <v>26</v>
      </c>
      <c r="F26" s="9">
        <v>9300</v>
      </c>
      <c r="G26" s="9">
        <v>837</v>
      </c>
      <c r="H26" s="41">
        <v>837</v>
      </c>
      <c r="I26" s="9">
        <v>10974</v>
      </c>
      <c r="J26" s="403" t="s">
        <v>349</v>
      </c>
      <c r="K26" s="11"/>
    </row>
    <row r="27" spans="1:105" ht="15" customHeight="1">
      <c r="A27" s="2">
        <v>45657</v>
      </c>
      <c r="B27" s="3" t="s">
        <v>507</v>
      </c>
      <c r="C27" s="3" t="s">
        <v>42</v>
      </c>
      <c r="D27" s="3" t="s">
        <v>163</v>
      </c>
      <c r="E27" s="4" t="s">
        <v>26</v>
      </c>
      <c r="F27" s="9">
        <v>10200</v>
      </c>
      <c r="G27" s="9">
        <v>918</v>
      </c>
      <c r="H27" s="41">
        <v>918</v>
      </c>
      <c r="I27" s="9">
        <v>12036</v>
      </c>
      <c r="J27" s="403" t="s">
        <v>385</v>
      </c>
      <c r="K27" s="11"/>
    </row>
    <row r="28" spans="1:105" ht="15" customHeight="1">
      <c r="A28" s="2">
        <v>45688</v>
      </c>
      <c r="B28" s="3" t="s">
        <v>282</v>
      </c>
      <c r="C28" s="21" t="s">
        <v>42</v>
      </c>
      <c r="D28" s="3" t="s">
        <v>163</v>
      </c>
      <c r="E28" s="4" t="s">
        <v>26</v>
      </c>
      <c r="F28" s="9">
        <v>10200</v>
      </c>
      <c r="G28" s="9">
        <v>918</v>
      </c>
      <c r="H28" s="41">
        <v>918</v>
      </c>
      <c r="I28" s="9">
        <v>12036</v>
      </c>
      <c r="J28" s="157" t="s">
        <v>431</v>
      </c>
      <c r="K28" s="11"/>
    </row>
    <row r="29" spans="1:105" ht="15" customHeight="1">
      <c r="A29" s="2">
        <v>45716</v>
      </c>
      <c r="B29" s="3" t="s">
        <v>306</v>
      </c>
      <c r="C29" s="21" t="s">
        <v>42</v>
      </c>
      <c r="D29" s="3" t="s">
        <v>163</v>
      </c>
      <c r="E29" s="4" t="s">
        <v>26</v>
      </c>
      <c r="F29" s="9">
        <v>10200</v>
      </c>
      <c r="G29" s="9">
        <v>918</v>
      </c>
      <c r="H29" s="41">
        <v>918</v>
      </c>
      <c r="I29" s="9">
        <v>12036</v>
      </c>
      <c r="J29" s="157" t="s">
        <v>492</v>
      </c>
      <c r="K29" s="11"/>
    </row>
    <row r="30" spans="1:105" s="10" customFormat="1" ht="15" customHeight="1">
      <c r="A30" s="92">
        <v>45747</v>
      </c>
      <c r="B30" s="7" t="s">
        <v>325</v>
      </c>
      <c r="C30" s="84" t="s">
        <v>42</v>
      </c>
      <c r="D30" s="7" t="s">
        <v>163</v>
      </c>
      <c r="E30" s="5" t="s">
        <v>26</v>
      </c>
      <c r="F30" s="69">
        <v>12700</v>
      </c>
      <c r="G30" s="69">
        <v>1143</v>
      </c>
      <c r="H30" s="70">
        <v>1143</v>
      </c>
      <c r="I30" s="69">
        <v>14986</v>
      </c>
      <c r="J30" s="158" t="s">
        <v>473</v>
      </c>
      <c r="K30" s="11"/>
    </row>
    <row r="31" spans="1:105" ht="15" customHeight="1">
      <c r="A31" s="408">
        <v>46137</v>
      </c>
      <c r="B31" s="131" t="s">
        <v>1217</v>
      </c>
      <c r="C31" s="131" t="s">
        <v>42</v>
      </c>
      <c r="D31" s="131" t="s">
        <v>163</v>
      </c>
      <c r="E31" s="136" t="s">
        <v>26</v>
      </c>
      <c r="F31" s="129">
        <v>28850</v>
      </c>
      <c r="G31" s="129">
        <v>2596.5</v>
      </c>
      <c r="H31" s="130">
        <v>2596.5</v>
      </c>
      <c r="I31" s="129">
        <v>34043</v>
      </c>
      <c r="J31" s="185" t="s">
        <v>1264</v>
      </c>
      <c r="K31" s="11"/>
    </row>
    <row r="32" spans="1:105" ht="15" customHeight="1">
      <c r="I32" s="397">
        <v>184375</v>
      </c>
      <c r="K32" s="11"/>
    </row>
    <row r="33" spans="1:105" s="12" customFormat="1" ht="15" customHeight="1">
      <c r="A33" s="1" t="s">
        <v>0</v>
      </c>
      <c r="B33" s="1" t="s">
        <v>1</v>
      </c>
      <c r="C33" s="1" t="s">
        <v>2</v>
      </c>
      <c r="D33" s="1" t="s">
        <v>4</v>
      </c>
      <c r="E33" s="1" t="s">
        <v>5</v>
      </c>
      <c r="F33" s="1" t="s">
        <v>8</v>
      </c>
      <c r="G33" s="1" t="s">
        <v>9</v>
      </c>
      <c r="H33" s="172" t="s">
        <v>10</v>
      </c>
      <c r="I33" s="1" t="s">
        <v>12</v>
      </c>
      <c r="J33" s="400" t="s">
        <v>17</v>
      </c>
      <c r="K33" s="11"/>
      <c r="L33" s="10"/>
      <c r="M33" s="10"/>
      <c r="N33" s="10"/>
      <c r="O33" s="10"/>
      <c r="P33" s="10"/>
      <c r="Q33" s="10"/>
      <c r="R33" s="10"/>
      <c r="S33" s="10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</row>
    <row r="34" spans="1:105" ht="15" customHeight="1">
      <c r="A34" s="2">
        <v>44991</v>
      </c>
      <c r="B34" s="409" t="s">
        <v>100</v>
      </c>
      <c r="C34" s="21" t="s">
        <v>42</v>
      </c>
      <c r="D34" s="3" t="s">
        <v>101</v>
      </c>
      <c r="E34" s="4" t="s">
        <v>26</v>
      </c>
      <c r="F34" s="9">
        <v>6130</v>
      </c>
      <c r="G34" s="9">
        <v>551.70000000000005</v>
      </c>
      <c r="H34" s="41">
        <v>551.70000000000005</v>
      </c>
      <c r="I34" s="9">
        <v>7233.4</v>
      </c>
      <c r="J34" s="402" t="s">
        <v>69</v>
      </c>
      <c r="K34" s="11"/>
    </row>
    <row r="35" spans="1:105" s="13" customFormat="1" ht="15" customHeight="1">
      <c r="A35" s="2">
        <v>45146</v>
      </c>
      <c r="B35" s="409" t="s">
        <v>155</v>
      </c>
      <c r="C35" s="3" t="s">
        <v>42</v>
      </c>
      <c r="D35" s="3" t="s">
        <v>101</v>
      </c>
      <c r="E35" s="4" t="s">
        <v>26</v>
      </c>
      <c r="F35" s="9">
        <v>6000</v>
      </c>
      <c r="G35" s="9">
        <v>540</v>
      </c>
      <c r="H35" s="41">
        <v>540</v>
      </c>
      <c r="I35" s="9">
        <v>7080</v>
      </c>
      <c r="J35" s="403" t="s">
        <v>148</v>
      </c>
      <c r="K35" s="11"/>
      <c r="L35" s="10"/>
      <c r="M35" s="10"/>
      <c r="N35" s="10"/>
      <c r="O35" s="10"/>
      <c r="P35" s="10"/>
      <c r="Q35" s="10"/>
      <c r="R35" s="10"/>
      <c r="S35" s="10"/>
    </row>
    <row r="36" spans="1:105" ht="15" customHeight="1">
      <c r="A36" s="2">
        <v>45170</v>
      </c>
      <c r="B36" s="409" t="s">
        <v>166</v>
      </c>
      <c r="C36" s="3" t="s">
        <v>42</v>
      </c>
      <c r="D36" s="3" t="s">
        <v>101</v>
      </c>
      <c r="E36" s="4" t="s">
        <v>26</v>
      </c>
      <c r="F36" s="9">
        <v>6000</v>
      </c>
      <c r="G36" s="9">
        <v>540</v>
      </c>
      <c r="H36" s="41">
        <v>540</v>
      </c>
      <c r="I36" s="9">
        <v>7080</v>
      </c>
      <c r="J36" s="157" t="s">
        <v>134</v>
      </c>
      <c r="K36" s="11"/>
    </row>
    <row r="37" spans="1:105" ht="15" customHeight="1">
      <c r="A37" s="2">
        <v>45202</v>
      </c>
      <c r="B37" s="409" t="s">
        <v>184</v>
      </c>
      <c r="C37" s="3" t="s">
        <v>42</v>
      </c>
      <c r="D37" s="3" t="s">
        <v>101</v>
      </c>
      <c r="E37" s="4" t="s">
        <v>26</v>
      </c>
      <c r="F37" s="9">
        <v>6000</v>
      </c>
      <c r="G37" s="9">
        <v>540</v>
      </c>
      <c r="H37" s="41">
        <v>540</v>
      </c>
      <c r="I37" s="9">
        <v>7080</v>
      </c>
      <c r="J37" s="404" t="s">
        <v>185</v>
      </c>
      <c r="K37" s="11"/>
    </row>
    <row r="38" spans="1:105" ht="15" customHeight="1">
      <c r="A38" s="2">
        <v>45232</v>
      </c>
      <c r="B38" s="409" t="s">
        <v>196</v>
      </c>
      <c r="C38" s="3" t="s">
        <v>42</v>
      </c>
      <c r="D38" s="3" t="s">
        <v>101</v>
      </c>
      <c r="E38" s="4" t="s">
        <v>26</v>
      </c>
      <c r="F38" s="9">
        <v>4500</v>
      </c>
      <c r="G38" s="9">
        <v>405</v>
      </c>
      <c r="H38" s="41">
        <v>405</v>
      </c>
      <c r="I38" s="9">
        <v>5310</v>
      </c>
      <c r="J38" s="404" t="s">
        <v>185</v>
      </c>
      <c r="K38" s="11"/>
    </row>
    <row r="39" spans="1:105" s="14" customFormat="1" ht="15" customHeight="1">
      <c r="A39" s="2">
        <v>45260</v>
      </c>
      <c r="B39" s="409" t="s">
        <v>213</v>
      </c>
      <c r="C39" s="3" t="s">
        <v>42</v>
      </c>
      <c r="D39" s="3" t="s">
        <v>101</v>
      </c>
      <c r="E39" s="4" t="s">
        <v>26</v>
      </c>
      <c r="F39" s="9">
        <v>5250</v>
      </c>
      <c r="G39" s="9">
        <v>472.5</v>
      </c>
      <c r="H39" s="41">
        <v>472.5</v>
      </c>
      <c r="I39" s="9">
        <v>6195</v>
      </c>
      <c r="J39" s="404" t="s">
        <v>185</v>
      </c>
      <c r="K39" s="11"/>
      <c r="L39" s="10"/>
      <c r="M39" s="10"/>
      <c r="N39" s="10"/>
      <c r="O39" s="10"/>
      <c r="P39" s="10"/>
      <c r="Q39" s="10"/>
      <c r="R39" s="10"/>
      <c r="S39" s="10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</row>
    <row r="40" spans="1:105" ht="15" customHeight="1">
      <c r="A40" s="2">
        <v>45290</v>
      </c>
      <c r="B40" s="409" t="s">
        <v>222</v>
      </c>
      <c r="C40" s="3" t="s">
        <v>42</v>
      </c>
      <c r="D40" s="3" t="s">
        <v>101</v>
      </c>
      <c r="E40" s="4" t="s">
        <v>26</v>
      </c>
      <c r="F40" s="9">
        <v>2250</v>
      </c>
      <c r="G40" s="9">
        <v>202.5</v>
      </c>
      <c r="H40" s="41">
        <v>202.5</v>
      </c>
      <c r="I40" s="9">
        <v>2655</v>
      </c>
      <c r="J40" s="404" t="s">
        <v>185</v>
      </c>
      <c r="K40" s="11"/>
    </row>
    <row r="41" spans="1:105" ht="15" customHeight="1">
      <c r="A41" s="2">
        <v>45322</v>
      </c>
      <c r="B41" s="409" t="s">
        <v>249</v>
      </c>
      <c r="C41" s="3" t="s">
        <v>42</v>
      </c>
      <c r="D41" s="3" t="s">
        <v>101</v>
      </c>
      <c r="E41" s="4" t="s">
        <v>26</v>
      </c>
      <c r="F41" s="9">
        <v>4500</v>
      </c>
      <c r="G41" s="9">
        <v>405</v>
      </c>
      <c r="H41" s="41">
        <v>405</v>
      </c>
      <c r="I41" s="9">
        <v>5310</v>
      </c>
      <c r="J41" s="403" t="s">
        <v>148</v>
      </c>
      <c r="K41" s="11"/>
    </row>
    <row r="42" spans="1:105" s="16" customFormat="1" ht="15" customHeight="1">
      <c r="A42" s="2">
        <v>45351</v>
      </c>
      <c r="B42" s="50" t="s">
        <v>263</v>
      </c>
      <c r="C42" s="50" t="s">
        <v>42</v>
      </c>
      <c r="D42" s="50" t="s">
        <v>101</v>
      </c>
      <c r="E42" s="77" t="s">
        <v>26</v>
      </c>
      <c r="F42" s="80">
        <v>5250</v>
      </c>
      <c r="G42" s="80">
        <v>472.5</v>
      </c>
      <c r="H42" s="80">
        <v>472.5</v>
      </c>
      <c r="I42" s="9">
        <v>6195</v>
      </c>
      <c r="J42" s="403" t="s">
        <v>148</v>
      </c>
      <c r="K42" s="11"/>
      <c r="L42" s="10"/>
      <c r="M42" s="10"/>
      <c r="N42" s="10"/>
      <c r="O42" s="10"/>
      <c r="P42" s="10"/>
      <c r="Q42" s="10"/>
      <c r="R42" s="10"/>
      <c r="S42" s="10"/>
    </row>
    <row r="43" spans="1:105" s="16" customFormat="1" ht="15" customHeight="1">
      <c r="A43" s="2">
        <v>45381</v>
      </c>
      <c r="B43" s="409" t="s">
        <v>273</v>
      </c>
      <c r="C43" s="3" t="s">
        <v>42</v>
      </c>
      <c r="D43" s="3" t="s">
        <v>101</v>
      </c>
      <c r="E43" s="4" t="s">
        <v>26</v>
      </c>
      <c r="F43" s="9">
        <v>5250</v>
      </c>
      <c r="G43" s="9">
        <v>472.5</v>
      </c>
      <c r="H43" s="70">
        <v>472.5</v>
      </c>
      <c r="I43" s="9">
        <v>6195</v>
      </c>
      <c r="J43" s="401" t="s">
        <v>219</v>
      </c>
      <c r="K43" s="11"/>
      <c r="L43" s="10"/>
      <c r="M43" s="10"/>
      <c r="N43" s="10"/>
      <c r="O43" s="10"/>
      <c r="P43" s="10"/>
      <c r="Q43" s="10"/>
      <c r="R43" s="10"/>
      <c r="S43" s="10"/>
    </row>
    <row r="44" spans="1:105" ht="15" customHeight="1">
      <c r="A44" s="2">
        <v>45412</v>
      </c>
      <c r="B44" s="409" t="s">
        <v>283</v>
      </c>
      <c r="C44" s="3" t="s">
        <v>42</v>
      </c>
      <c r="D44" s="3" t="s">
        <v>101</v>
      </c>
      <c r="E44" s="4" t="s">
        <v>26</v>
      </c>
      <c r="F44" s="9">
        <v>6000</v>
      </c>
      <c r="G44" s="9">
        <v>540</v>
      </c>
      <c r="H44" s="41">
        <v>540</v>
      </c>
      <c r="I44" s="9">
        <v>7080</v>
      </c>
      <c r="J44" s="403" t="s">
        <v>148</v>
      </c>
      <c r="K44" s="11"/>
    </row>
    <row r="45" spans="1:105" ht="15" customHeight="1">
      <c r="A45" s="2">
        <v>45444</v>
      </c>
      <c r="B45" s="409" t="s">
        <v>315</v>
      </c>
      <c r="C45" s="3" t="s">
        <v>42</v>
      </c>
      <c r="D45" s="3" t="s">
        <v>101</v>
      </c>
      <c r="E45" s="4" t="s">
        <v>26</v>
      </c>
      <c r="F45" s="9">
        <v>8250</v>
      </c>
      <c r="G45" s="9">
        <v>742.5</v>
      </c>
      <c r="H45" s="41">
        <v>742.5</v>
      </c>
      <c r="I45" s="9">
        <v>9735</v>
      </c>
      <c r="J45" s="403" t="s">
        <v>148</v>
      </c>
      <c r="K45" s="11"/>
    </row>
    <row r="46" spans="1:105" ht="15" customHeight="1">
      <c r="A46" s="408">
        <v>46137</v>
      </c>
      <c r="B46" s="410" t="s">
        <v>1215</v>
      </c>
      <c r="C46" s="131" t="s">
        <v>42</v>
      </c>
      <c r="D46" s="131" t="s">
        <v>101</v>
      </c>
      <c r="E46" s="136" t="s">
        <v>26</v>
      </c>
      <c r="F46" s="129">
        <v>7387</v>
      </c>
      <c r="G46" s="129">
        <v>664.83</v>
      </c>
      <c r="H46" s="130">
        <v>664.83</v>
      </c>
      <c r="I46" s="129">
        <v>8716.66</v>
      </c>
      <c r="J46" s="185" t="s">
        <v>1264</v>
      </c>
      <c r="K46" s="11"/>
    </row>
    <row r="47" spans="1:105" ht="19.2" customHeight="1">
      <c r="A47" s="128"/>
      <c r="B47" s="131"/>
      <c r="C47" s="131"/>
      <c r="D47" s="131"/>
      <c r="E47" s="136"/>
      <c r="F47" s="129"/>
      <c r="G47" s="129"/>
      <c r="H47" s="130"/>
      <c r="I47" s="396">
        <v>85865</v>
      </c>
      <c r="J47" s="185"/>
      <c r="K47" s="11"/>
    </row>
    <row r="48" spans="1:105" s="12" customFormat="1" ht="15" customHeight="1">
      <c r="A48" s="1" t="s">
        <v>0</v>
      </c>
      <c r="B48" s="1" t="s">
        <v>1</v>
      </c>
      <c r="C48" s="1" t="s">
        <v>2</v>
      </c>
      <c r="D48" s="1" t="s">
        <v>4</v>
      </c>
      <c r="E48" s="1" t="s">
        <v>5</v>
      </c>
      <c r="F48" s="1" t="s">
        <v>8</v>
      </c>
      <c r="G48" s="1" t="s">
        <v>9</v>
      </c>
      <c r="H48" s="172" t="s">
        <v>10</v>
      </c>
      <c r="I48" s="1" t="s">
        <v>12</v>
      </c>
      <c r="J48" s="400" t="s">
        <v>17</v>
      </c>
      <c r="K48" s="11"/>
      <c r="L48" s="10"/>
      <c r="M48" s="10"/>
      <c r="N48" s="10"/>
      <c r="O48" s="10"/>
      <c r="P48" s="10"/>
      <c r="Q48" s="10"/>
      <c r="R48" s="10"/>
      <c r="S48" s="10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</row>
    <row r="49" spans="1:105" s="10" customFormat="1" ht="15" customHeight="1">
      <c r="A49" s="92">
        <v>45740</v>
      </c>
      <c r="B49" s="7" t="s">
        <v>571</v>
      </c>
      <c r="C49" s="7" t="s">
        <v>96</v>
      </c>
      <c r="D49" s="7" t="s">
        <v>85</v>
      </c>
      <c r="E49" s="5" t="s">
        <v>26</v>
      </c>
      <c r="F49" s="69">
        <v>14400</v>
      </c>
      <c r="G49" s="69">
        <v>1296</v>
      </c>
      <c r="H49" s="70">
        <v>1296</v>
      </c>
      <c r="I49" s="69">
        <v>16992</v>
      </c>
      <c r="J49" s="405" t="s">
        <v>413</v>
      </c>
      <c r="K49" s="11"/>
    </row>
    <row r="50" spans="1:105" s="10" customFormat="1" ht="15" customHeight="1">
      <c r="A50" s="92">
        <v>45740</v>
      </c>
      <c r="B50" s="7" t="s">
        <v>572</v>
      </c>
      <c r="C50" s="7" t="s">
        <v>96</v>
      </c>
      <c r="D50" s="7" t="s">
        <v>89</v>
      </c>
      <c r="E50" s="5" t="s">
        <v>26</v>
      </c>
      <c r="F50" s="69">
        <v>35000</v>
      </c>
      <c r="G50" s="69">
        <v>3150</v>
      </c>
      <c r="H50" s="70">
        <v>3150</v>
      </c>
      <c r="I50" s="69">
        <v>41300</v>
      </c>
      <c r="J50" s="405" t="s">
        <v>413</v>
      </c>
      <c r="K50" s="11"/>
    </row>
    <row r="51" spans="1:105" s="10" customFormat="1" ht="15" customHeight="1">
      <c r="A51" s="92">
        <v>45740</v>
      </c>
      <c r="B51" s="7" t="s">
        <v>573</v>
      </c>
      <c r="C51" s="7" t="s">
        <v>96</v>
      </c>
      <c r="D51" s="7" t="s">
        <v>89</v>
      </c>
      <c r="E51" s="5" t="s">
        <v>26</v>
      </c>
      <c r="F51" s="69">
        <v>20000</v>
      </c>
      <c r="G51" s="69">
        <v>1800</v>
      </c>
      <c r="H51" s="70">
        <v>1800</v>
      </c>
      <c r="I51" s="69">
        <v>23600</v>
      </c>
      <c r="J51" s="405" t="s">
        <v>413</v>
      </c>
      <c r="K51" s="11"/>
    </row>
    <row r="52" spans="1:105" ht="15" customHeight="1">
      <c r="I52" s="398">
        <v>81892</v>
      </c>
      <c r="K52" s="11"/>
    </row>
    <row r="53" spans="1:105" s="12" customFormat="1" ht="15" customHeight="1">
      <c r="A53" s="1" t="s">
        <v>0</v>
      </c>
      <c r="B53" s="1" t="s">
        <v>1</v>
      </c>
      <c r="C53" s="1" t="s">
        <v>2</v>
      </c>
      <c r="D53" s="1" t="s">
        <v>4</v>
      </c>
      <c r="E53" s="1" t="s">
        <v>5</v>
      </c>
      <c r="F53" s="1" t="s">
        <v>8</v>
      </c>
      <c r="G53" s="1" t="s">
        <v>9</v>
      </c>
      <c r="H53" s="172" t="s">
        <v>10</v>
      </c>
      <c r="I53" s="1" t="s">
        <v>12</v>
      </c>
      <c r="J53" s="400" t="s">
        <v>17</v>
      </c>
      <c r="K53" s="11"/>
      <c r="L53" s="10"/>
      <c r="M53" s="10"/>
      <c r="N53" s="10"/>
      <c r="O53" s="10"/>
      <c r="P53" s="10"/>
      <c r="Q53" s="10"/>
      <c r="R53" s="10"/>
      <c r="S53" s="10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</row>
    <row r="54" spans="1:105" ht="15" customHeight="1">
      <c r="A54" s="408">
        <v>46139</v>
      </c>
      <c r="B54" s="131" t="s">
        <v>1221</v>
      </c>
      <c r="C54" s="131" t="s">
        <v>958</v>
      </c>
      <c r="D54" s="131" t="s">
        <v>515</v>
      </c>
      <c r="E54" s="136" t="s">
        <v>37</v>
      </c>
      <c r="F54" s="129">
        <v>9000</v>
      </c>
      <c r="G54" s="129">
        <v>810</v>
      </c>
      <c r="H54" s="130">
        <v>810</v>
      </c>
      <c r="I54" s="129">
        <v>10620</v>
      </c>
      <c r="J54" s="185" t="s">
        <v>1264</v>
      </c>
      <c r="K54" s="11"/>
    </row>
    <row r="55" spans="1:105" ht="15" customHeight="1">
      <c r="I55" s="396">
        <v>10620</v>
      </c>
      <c r="K55" s="11"/>
    </row>
    <row r="56" spans="1:105" s="12" customFormat="1" ht="15" customHeight="1">
      <c r="A56" s="1" t="s">
        <v>0</v>
      </c>
      <c r="B56" s="1" t="s">
        <v>1</v>
      </c>
      <c r="C56" s="1" t="s">
        <v>2</v>
      </c>
      <c r="D56" s="1" t="s">
        <v>4</v>
      </c>
      <c r="E56" s="1" t="s">
        <v>5</v>
      </c>
      <c r="F56" s="1" t="s">
        <v>8</v>
      </c>
      <c r="G56" s="1" t="s">
        <v>9</v>
      </c>
      <c r="H56" s="172" t="s">
        <v>10</v>
      </c>
      <c r="I56" s="1" t="s">
        <v>12</v>
      </c>
      <c r="J56" s="400" t="s">
        <v>17</v>
      </c>
      <c r="K56" s="11"/>
      <c r="L56" s="10"/>
      <c r="M56" s="10"/>
      <c r="N56" s="10"/>
      <c r="O56" s="10"/>
      <c r="P56" s="10"/>
      <c r="Q56" s="10"/>
      <c r="R56" s="10"/>
      <c r="S56" s="10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</row>
    <row r="57" spans="1:105" s="11" customFormat="1" ht="15" customHeight="1">
      <c r="A57" s="411">
        <v>45991</v>
      </c>
      <c r="B57" s="7" t="s">
        <v>934</v>
      </c>
      <c r="C57" s="163" t="s">
        <v>885</v>
      </c>
      <c r="D57" s="163" t="s">
        <v>59</v>
      </c>
      <c r="E57" s="137" t="s">
        <v>26</v>
      </c>
      <c r="F57" s="214">
        <v>3000</v>
      </c>
      <c r="G57" s="214">
        <v>270</v>
      </c>
      <c r="H57" s="222">
        <v>270</v>
      </c>
      <c r="I57" s="214">
        <v>3540</v>
      </c>
      <c r="J57" s="223" t="s">
        <v>959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105" s="12" customFormat="1" ht="15" customHeight="1">
      <c r="A58" s="408">
        <v>46022</v>
      </c>
      <c r="B58" s="3" t="s">
        <v>1010</v>
      </c>
      <c r="C58" s="131" t="s">
        <v>885</v>
      </c>
      <c r="D58" s="131" t="s">
        <v>59</v>
      </c>
      <c r="E58" s="136" t="s">
        <v>26</v>
      </c>
      <c r="F58" s="129">
        <v>3000</v>
      </c>
      <c r="G58" s="129">
        <v>270</v>
      </c>
      <c r="H58" s="130">
        <v>270</v>
      </c>
      <c r="I58" s="129">
        <v>3540</v>
      </c>
      <c r="J58" s="185" t="s">
        <v>1160</v>
      </c>
      <c r="K58" s="11"/>
      <c r="L58" s="10"/>
      <c r="M58" s="10"/>
      <c r="N58" s="10"/>
      <c r="O58" s="10"/>
      <c r="P58" s="10"/>
      <c r="Q58" s="10"/>
      <c r="R58" s="10"/>
      <c r="S58" s="10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</row>
    <row r="59" spans="1:105" s="12" customFormat="1" ht="15" customHeight="1">
      <c r="A59" s="408">
        <v>46053</v>
      </c>
      <c r="B59" s="131" t="s">
        <v>1089</v>
      </c>
      <c r="C59" s="131" t="s">
        <v>885</v>
      </c>
      <c r="D59" s="131" t="s">
        <v>59</v>
      </c>
      <c r="E59" s="136" t="s">
        <v>26</v>
      </c>
      <c r="F59" s="129">
        <v>3000</v>
      </c>
      <c r="G59" s="129">
        <v>270</v>
      </c>
      <c r="H59" s="130">
        <v>270</v>
      </c>
      <c r="I59" s="129">
        <v>3540</v>
      </c>
      <c r="J59" s="185" t="s">
        <v>1161</v>
      </c>
      <c r="K59" s="11"/>
      <c r="L59" s="10"/>
      <c r="M59" s="10"/>
      <c r="N59" s="10"/>
      <c r="O59" s="10"/>
      <c r="P59" s="10"/>
      <c r="Q59" s="10"/>
      <c r="R59" s="10"/>
      <c r="S59" s="10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</row>
    <row r="60" spans="1:105" s="12" customFormat="1" ht="15" customHeight="1">
      <c r="A60" s="408">
        <v>46081</v>
      </c>
      <c r="B60" s="131" t="s">
        <v>1132</v>
      </c>
      <c r="C60" s="131" t="s">
        <v>885</v>
      </c>
      <c r="D60" s="131" t="s">
        <v>59</v>
      </c>
      <c r="E60" s="136" t="s">
        <v>26</v>
      </c>
      <c r="F60" s="129">
        <v>2200</v>
      </c>
      <c r="G60" s="129">
        <v>198</v>
      </c>
      <c r="H60" s="130">
        <v>198</v>
      </c>
      <c r="I60" s="129">
        <v>2596</v>
      </c>
      <c r="J60" s="185" t="s">
        <v>1162</v>
      </c>
      <c r="K60" s="11"/>
      <c r="L60" s="10"/>
      <c r="M60" s="10"/>
      <c r="N60" s="10"/>
      <c r="O60" s="10"/>
      <c r="P60" s="10"/>
      <c r="Q60" s="10"/>
      <c r="R60" s="10"/>
      <c r="S60" s="1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</row>
    <row r="61" spans="1:105" s="12" customFormat="1" ht="15" customHeight="1">
      <c r="A61" s="408">
        <v>46112</v>
      </c>
      <c r="B61" s="131" t="s">
        <v>1181</v>
      </c>
      <c r="C61" s="131" t="s">
        <v>885</v>
      </c>
      <c r="D61" s="131" t="s">
        <v>59</v>
      </c>
      <c r="E61" s="136" t="s">
        <v>26</v>
      </c>
      <c r="F61" s="129">
        <v>2200</v>
      </c>
      <c r="G61" s="129">
        <v>198</v>
      </c>
      <c r="H61" s="130">
        <v>198</v>
      </c>
      <c r="I61" s="129">
        <v>2596</v>
      </c>
      <c r="J61" s="185" t="s">
        <v>1263</v>
      </c>
      <c r="K61" s="11"/>
      <c r="L61" s="10"/>
      <c r="M61" s="10"/>
      <c r="N61" s="10"/>
      <c r="O61" s="10"/>
      <c r="P61" s="10"/>
      <c r="Q61" s="10"/>
      <c r="R61" s="10"/>
      <c r="S61" s="10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</row>
    <row r="62" spans="1:105" ht="15" customHeight="1">
      <c r="A62" s="408">
        <v>46142</v>
      </c>
      <c r="B62" s="131" t="s">
        <v>1238</v>
      </c>
      <c r="C62" s="131" t="s">
        <v>885</v>
      </c>
      <c r="D62" s="131" t="s">
        <v>59</v>
      </c>
      <c r="E62" s="136" t="s">
        <v>26</v>
      </c>
      <c r="F62" s="129">
        <v>4400</v>
      </c>
      <c r="G62" s="129">
        <v>396</v>
      </c>
      <c r="H62" s="130">
        <v>396</v>
      </c>
      <c r="I62" s="129">
        <v>5192</v>
      </c>
      <c r="J62" s="185" t="s">
        <v>1264</v>
      </c>
      <c r="K62" s="11"/>
    </row>
    <row r="63" spans="1:105" ht="15" customHeight="1">
      <c r="I63" s="396">
        <v>21004</v>
      </c>
      <c r="K63" s="11"/>
    </row>
    <row r="64" spans="1:105" s="12" customFormat="1" ht="15" customHeight="1">
      <c r="A64" s="1" t="s">
        <v>0</v>
      </c>
      <c r="B64" s="1" t="s">
        <v>1</v>
      </c>
      <c r="C64" s="1" t="s">
        <v>2</v>
      </c>
      <c r="D64" s="1" t="s">
        <v>4</v>
      </c>
      <c r="E64" s="1" t="s">
        <v>5</v>
      </c>
      <c r="F64" s="1" t="s">
        <v>8</v>
      </c>
      <c r="G64" s="1" t="s">
        <v>9</v>
      </c>
      <c r="H64" s="172" t="s">
        <v>10</v>
      </c>
      <c r="I64" s="1" t="s">
        <v>12</v>
      </c>
      <c r="J64" s="400" t="s">
        <v>17</v>
      </c>
      <c r="K64" s="11"/>
      <c r="L64" s="10"/>
      <c r="M64" s="10"/>
      <c r="N64" s="10"/>
      <c r="O64" s="10"/>
      <c r="P64" s="10"/>
      <c r="Q64" s="10"/>
      <c r="R64" s="10"/>
      <c r="S64" s="10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</row>
    <row r="65" spans="1:105" ht="15" customHeight="1">
      <c r="A65" s="92">
        <v>45674</v>
      </c>
      <c r="B65" s="7" t="s">
        <v>514</v>
      </c>
      <c r="C65" s="3" t="s">
        <v>963</v>
      </c>
      <c r="D65" s="7" t="s">
        <v>515</v>
      </c>
      <c r="E65" s="5" t="s">
        <v>37</v>
      </c>
      <c r="F65" s="69">
        <v>7140</v>
      </c>
      <c r="G65" s="69">
        <v>642.6</v>
      </c>
      <c r="H65" s="70">
        <v>642.6</v>
      </c>
      <c r="I65" s="69">
        <v>8425.2000000000007</v>
      </c>
      <c r="J65" s="405" t="s">
        <v>413</v>
      </c>
      <c r="K65" s="11"/>
    </row>
    <row r="66" spans="1:105" ht="15" customHeight="1">
      <c r="A66" s="92">
        <v>45736</v>
      </c>
      <c r="B66" s="7" t="s">
        <v>569</v>
      </c>
      <c r="C66" s="3" t="s">
        <v>963</v>
      </c>
      <c r="D66" s="7" t="s">
        <v>515</v>
      </c>
      <c r="E66" s="5" t="s">
        <v>560</v>
      </c>
      <c r="F66" s="69">
        <v>3450</v>
      </c>
      <c r="G66" s="69">
        <v>310.5</v>
      </c>
      <c r="H66" s="70">
        <v>310.5</v>
      </c>
      <c r="I66" s="69">
        <v>4071</v>
      </c>
      <c r="J66" s="405" t="s">
        <v>413</v>
      </c>
      <c r="K66" s="11"/>
    </row>
    <row r="67" spans="1:105" s="12" customFormat="1" ht="15" customHeight="1">
      <c r="A67" s="408">
        <v>46142</v>
      </c>
      <c r="B67" s="131" t="s">
        <v>1244</v>
      </c>
      <c r="C67" s="3" t="s">
        <v>963</v>
      </c>
      <c r="D67" s="389" t="s">
        <v>232</v>
      </c>
      <c r="E67" s="4" t="s">
        <v>26</v>
      </c>
      <c r="F67" s="129">
        <v>3000</v>
      </c>
      <c r="G67" s="129">
        <v>270</v>
      </c>
      <c r="H67" s="130">
        <v>270</v>
      </c>
      <c r="I67" s="129">
        <v>3540</v>
      </c>
      <c r="J67" s="185" t="s">
        <v>1264</v>
      </c>
      <c r="K67" s="11"/>
      <c r="L67" s="407"/>
      <c r="M67" s="11"/>
      <c r="N67" s="11"/>
      <c r="O67" s="11"/>
      <c r="P67" s="11"/>
      <c r="Q67" s="11"/>
      <c r="R67" s="11"/>
      <c r="S67" s="11"/>
    </row>
    <row r="68" spans="1:105" ht="11.4" customHeight="1">
      <c r="I68" s="396">
        <v>16036</v>
      </c>
      <c r="K68" s="11"/>
    </row>
    <row r="69" spans="1:105" s="12" customFormat="1" ht="15" customHeight="1">
      <c r="A69" s="1" t="s">
        <v>0</v>
      </c>
      <c r="B69" s="1" t="s">
        <v>1</v>
      </c>
      <c r="C69" s="1" t="s">
        <v>2</v>
      </c>
      <c r="D69" s="1" t="s">
        <v>4</v>
      </c>
      <c r="E69" s="1" t="s">
        <v>5</v>
      </c>
      <c r="F69" s="1" t="s">
        <v>8</v>
      </c>
      <c r="G69" s="1" t="s">
        <v>9</v>
      </c>
      <c r="H69" s="172" t="s">
        <v>10</v>
      </c>
      <c r="I69" s="1" t="s">
        <v>12</v>
      </c>
      <c r="J69" s="400" t="s">
        <v>17</v>
      </c>
      <c r="K69" s="11"/>
      <c r="L69" s="10"/>
      <c r="M69" s="10"/>
      <c r="N69" s="10"/>
      <c r="O69" s="10"/>
      <c r="P69" s="10"/>
      <c r="Q69" s="10"/>
      <c r="R69" s="10"/>
      <c r="S69" s="10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</row>
    <row r="70" spans="1:105" s="10" customFormat="1" ht="15" customHeight="1">
      <c r="A70" s="92">
        <v>45777</v>
      </c>
      <c r="B70" s="7" t="s">
        <v>628</v>
      </c>
      <c r="C70" s="7" t="s">
        <v>595</v>
      </c>
      <c r="D70" s="7" t="s">
        <v>629</v>
      </c>
      <c r="E70" s="5" t="s">
        <v>26</v>
      </c>
      <c r="F70" s="69">
        <v>8000</v>
      </c>
      <c r="G70" s="69">
        <v>720</v>
      </c>
      <c r="H70" s="70">
        <v>720</v>
      </c>
      <c r="I70" s="69">
        <v>9440</v>
      </c>
      <c r="J70" s="405" t="s">
        <v>541</v>
      </c>
      <c r="K70" s="11"/>
    </row>
    <row r="71" spans="1:105" s="10" customFormat="1" ht="15" customHeight="1">
      <c r="A71" s="92">
        <v>45808</v>
      </c>
      <c r="B71" s="7" t="s">
        <v>665</v>
      </c>
      <c r="C71" s="7" t="s">
        <v>595</v>
      </c>
      <c r="D71" s="7" t="s">
        <v>629</v>
      </c>
      <c r="E71" s="5" t="s">
        <v>26</v>
      </c>
      <c r="F71" s="69">
        <v>6400</v>
      </c>
      <c r="G71" s="69">
        <v>576</v>
      </c>
      <c r="H71" s="70">
        <v>576</v>
      </c>
      <c r="I71" s="69">
        <v>7552</v>
      </c>
      <c r="J71" s="158" t="s">
        <v>613</v>
      </c>
      <c r="K71" s="11"/>
    </row>
    <row r="72" spans="1:105" s="10" customFormat="1" ht="15" customHeight="1">
      <c r="A72" s="92">
        <v>45901</v>
      </c>
      <c r="B72" s="7" t="s">
        <v>802</v>
      </c>
      <c r="C72" s="7" t="s">
        <v>595</v>
      </c>
      <c r="D72" s="7" t="s">
        <v>629</v>
      </c>
      <c r="E72" s="5" t="s">
        <v>26</v>
      </c>
      <c r="F72" s="69">
        <v>16000</v>
      </c>
      <c r="G72" s="69">
        <v>1440</v>
      </c>
      <c r="H72" s="70">
        <v>1440</v>
      </c>
      <c r="I72" s="69">
        <v>18880</v>
      </c>
      <c r="J72" s="158" t="s">
        <v>879</v>
      </c>
      <c r="K72" s="11"/>
    </row>
    <row r="73" spans="1:105" ht="12" customHeight="1">
      <c r="I73" s="398">
        <v>35872</v>
      </c>
      <c r="K73" s="11"/>
    </row>
    <row r="74" spans="1:105" s="12" customFormat="1" ht="12" customHeight="1">
      <c r="A74" s="1" t="s">
        <v>0</v>
      </c>
      <c r="B74" s="1" t="s">
        <v>1</v>
      </c>
      <c r="C74" s="1" t="s">
        <v>2</v>
      </c>
      <c r="D74" s="1" t="s">
        <v>4</v>
      </c>
      <c r="E74" s="1" t="s">
        <v>5</v>
      </c>
      <c r="F74" s="1" t="s">
        <v>8</v>
      </c>
      <c r="G74" s="1" t="s">
        <v>9</v>
      </c>
      <c r="H74" s="172" t="s">
        <v>10</v>
      </c>
      <c r="I74" s="1" t="s">
        <v>12</v>
      </c>
      <c r="J74" s="400" t="s">
        <v>17</v>
      </c>
      <c r="K74" s="11"/>
      <c r="L74" s="10"/>
      <c r="M74" s="10"/>
      <c r="N74" s="10"/>
      <c r="O74" s="10"/>
      <c r="P74" s="10"/>
      <c r="Q74" s="10"/>
      <c r="R74" s="10"/>
      <c r="S74" s="10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</row>
    <row r="75" spans="1:105" s="12" customFormat="1" ht="15" customHeight="1">
      <c r="A75" s="408">
        <v>46081</v>
      </c>
      <c r="B75" s="131" t="s">
        <v>1117</v>
      </c>
      <c r="C75" s="131" t="s">
        <v>390</v>
      </c>
      <c r="D75" s="131" t="s">
        <v>260</v>
      </c>
      <c r="E75" s="136" t="s">
        <v>26</v>
      </c>
      <c r="F75" s="129">
        <v>1205.1600000000001</v>
      </c>
      <c r="G75" s="129">
        <v>108.46440000000001</v>
      </c>
      <c r="H75" s="130">
        <v>108.46440000000001</v>
      </c>
      <c r="I75" s="129">
        <v>1422.0888000000002</v>
      </c>
      <c r="J75" s="185" t="s">
        <v>1162</v>
      </c>
      <c r="K75" s="11"/>
      <c r="L75" s="10"/>
      <c r="M75" s="10"/>
      <c r="N75" s="10"/>
      <c r="O75" s="10"/>
      <c r="P75" s="10"/>
      <c r="Q75" s="10"/>
      <c r="R75" s="10"/>
      <c r="S75" s="10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</row>
    <row r="76" spans="1:105" s="12" customFormat="1" ht="15" customHeight="1">
      <c r="A76" s="408">
        <v>46081</v>
      </c>
      <c r="B76" s="131" t="s">
        <v>1118</v>
      </c>
      <c r="C76" s="131" t="s">
        <v>390</v>
      </c>
      <c r="D76" s="131" t="s">
        <v>260</v>
      </c>
      <c r="E76" s="136" t="s">
        <v>26</v>
      </c>
      <c r="F76" s="129">
        <v>1448.35</v>
      </c>
      <c r="G76" s="129">
        <v>130.35149999999999</v>
      </c>
      <c r="H76" s="130">
        <v>130.35149999999999</v>
      </c>
      <c r="I76" s="129">
        <v>1709.0529999999999</v>
      </c>
      <c r="J76" s="185" t="s">
        <v>1162</v>
      </c>
      <c r="K76" s="11"/>
      <c r="L76" s="10"/>
      <c r="M76" s="10"/>
      <c r="N76" s="10"/>
      <c r="O76" s="10"/>
      <c r="P76" s="10"/>
      <c r="Q76" s="10"/>
      <c r="R76" s="10"/>
      <c r="S76" s="10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</row>
    <row r="77" spans="1:105" s="12" customFormat="1" ht="15" customHeight="1">
      <c r="A77" s="408">
        <v>46081</v>
      </c>
      <c r="B77" s="131" t="s">
        <v>1119</v>
      </c>
      <c r="C77" s="131" t="s">
        <v>390</v>
      </c>
      <c r="D77" s="131" t="s">
        <v>260</v>
      </c>
      <c r="E77" s="136" t="s">
        <v>26</v>
      </c>
      <c r="F77" s="129">
        <v>2008.6</v>
      </c>
      <c r="G77" s="129">
        <v>180.77399999999997</v>
      </c>
      <c r="H77" s="130">
        <v>180.77399999999997</v>
      </c>
      <c r="I77" s="129">
        <v>2370.1479999999997</v>
      </c>
      <c r="J77" s="185" t="s">
        <v>1162</v>
      </c>
      <c r="K77" s="11"/>
      <c r="L77" s="10"/>
      <c r="M77" s="10"/>
      <c r="N77" s="10"/>
      <c r="O77" s="10"/>
      <c r="P77" s="10"/>
      <c r="Q77" s="10"/>
      <c r="R77" s="10"/>
      <c r="S77" s="10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</row>
    <row r="78" spans="1:105" s="12" customFormat="1" ht="15" customHeight="1">
      <c r="A78" s="408">
        <v>46081</v>
      </c>
      <c r="B78" s="131" t="s">
        <v>1120</v>
      </c>
      <c r="C78" s="131" t="s">
        <v>390</v>
      </c>
      <c r="D78" s="131" t="s">
        <v>260</v>
      </c>
      <c r="E78" s="136" t="s">
        <v>26</v>
      </c>
      <c r="F78" s="129">
        <v>1035.8399999999999</v>
      </c>
      <c r="G78" s="129">
        <v>93.2256</v>
      </c>
      <c r="H78" s="130">
        <v>93.2256</v>
      </c>
      <c r="I78" s="129">
        <v>1222.2911999999999</v>
      </c>
      <c r="J78" s="185" t="s">
        <v>1162</v>
      </c>
      <c r="K78" s="11"/>
      <c r="L78" s="10"/>
      <c r="M78" s="10"/>
      <c r="N78" s="10"/>
      <c r="O78" s="10"/>
      <c r="P78" s="10"/>
      <c r="Q78" s="10"/>
      <c r="R78" s="10"/>
      <c r="S78" s="10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</row>
    <row r="79" spans="1:105" s="12" customFormat="1" ht="15" customHeight="1">
      <c r="A79" s="408">
        <v>46081</v>
      </c>
      <c r="B79" s="131" t="s">
        <v>1121</v>
      </c>
      <c r="C79" s="131" t="s">
        <v>390</v>
      </c>
      <c r="D79" s="131" t="s">
        <v>260</v>
      </c>
      <c r="E79" s="136" t="s">
        <v>26</v>
      </c>
      <c r="F79" s="129">
        <v>972.76</v>
      </c>
      <c r="G79" s="129">
        <v>87.548400000000001</v>
      </c>
      <c r="H79" s="130">
        <v>87.548400000000001</v>
      </c>
      <c r="I79" s="129">
        <v>1147.8567999999998</v>
      </c>
      <c r="J79" s="185" t="s">
        <v>1162</v>
      </c>
      <c r="K79" s="11"/>
      <c r="L79" s="10"/>
      <c r="M79" s="10"/>
      <c r="N79" s="10"/>
      <c r="O79" s="10"/>
      <c r="P79" s="10"/>
      <c r="Q79" s="10"/>
      <c r="R79" s="10"/>
      <c r="S79" s="10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</row>
    <row r="80" spans="1:105" s="12" customFormat="1" ht="15" customHeight="1">
      <c r="A80" s="408">
        <v>46081</v>
      </c>
      <c r="B80" s="131" t="s">
        <v>1122</v>
      </c>
      <c r="C80" s="131" t="s">
        <v>390</v>
      </c>
      <c r="D80" s="131" t="s">
        <v>260</v>
      </c>
      <c r="E80" s="136" t="s">
        <v>26</v>
      </c>
      <c r="F80" s="129">
        <v>930.43</v>
      </c>
      <c r="G80" s="129">
        <v>83.738699999999994</v>
      </c>
      <c r="H80" s="130">
        <v>83.738699999999994</v>
      </c>
      <c r="I80" s="129">
        <v>1097.9074000000001</v>
      </c>
      <c r="J80" s="185" t="s">
        <v>1162</v>
      </c>
      <c r="K80" s="11"/>
      <c r="L80" s="10"/>
      <c r="M80" s="10"/>
      <c r="N80" s="10"/>
      <c r="O80" s="10"/>
      <c r="P80" s="10"/>
      <c r="Q80" s="10"/>
      <c r="R80" s="10"/>
      <c r="S80" s="1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</row>
    <row r="81" spans="1:105" s="12" customFormat="1" ht="15" customHeight="1">
      <c r="A81" s="408">
        <v>46081</v>
      </c>
      <c r="B81" s="131" t="s">
        <v>1123</v>
      </c>
      <c r="C81" s="131" t="s">
        <v>390</v>
      </c>
      <c r="D81" s="131" t="s">
        <v>260</v>
      </c>
      <c r="E81" s="136" t="s">
        <v>26</v>
      </c>
      <c r="F81" s="129">
        <v>698.86</v>
      </c>
      <c r="G81" s="129">
        <v>62.897399999999998</v>
      </c>
      <c r="H81" s="130">
        <v>62.897399999999998</v>
      </c>
      <c r="I81" s="129">
        <v>824.65479999999991</v>
      </c>
      <c r="J81" s="185" t="s">
        <v>1162</v>
      </c>
      <c r="K81" s="11"/>
      <c r="L81" s="10"/>
      <c r="M81" s="10"/>
      <c r="N81" s="10"/>
      <c r="O81" s="10"/>
      <c r="P81" s="10"/>
      <c r="Q81" s="10"/>
      <c r="R81" s="10"/>
      <c r="S81" s="10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</row>
    <row r="82" spans="1:105" s="12" customFormat="1" ht="15" customHeight="1">
      <c r="A82" s="408">
        <v>46112</v>
      </c>
      <c r="B82" s="131" t="s">
        <v>1156</v>
      </c>
      <c r="C82" s="131" t="s">
        <v>390</v>
      </c>
      <c r="D82" s="131" t="s">
        <v>260</v>
      </c>
      <c r="E82" s="136" t="s">
        <v>26</v>
      </c>
      <c r="F82" s="129">
        <v>1205.1600000000001</v>
      </c>
      <c r="G82" s="129">
        <v>108.46440000000001</v>
      </c>
      <c r="H82" s="130">
        <v>108.46440000000001</v>
      </c>
      <c r="I82" s="129">
        <v>1422.0888000000002</v>
      </c>
      <c r="J82" s="185" t="s">
        <v>1263</v>
      </c>
      <c r="K82" s="11"/>
      <c r="L82" s="10"/>
      <c r="M82" s="10"/>
      <c r="N82" s="10"/>
      <c r="O82" s="10"/>
      <c r="P82" s="10"/>
      <c r="Q82" s="10"/>
      <c r="R82" s="10"/>
      <c r="S82" s="10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</row>
    <row r="83" spans="1:105" s="12" customFormat="1" ht="15" customHeight="1">
      <c r="A83" s="408">
        <v>46112</v>
      </c>
      <c r="B83" s="131" t="s">
        <v>1157</v>
      </c>
      <c r="C83" s="131" t="s">
        <v>390</v>
      </c>
      <c r="D83" s="131" t="s">
        <v>260</v>
      </c>
      <c r="E83" s="136" t="s">
        <v>26</v>
      </c>
      <c r="F83" s="129">
        <v>1448.35</v>
      </c>
      <c r="G83" s="129">
        <v>130.35149999999999</v>
      </c>
      <c r="H83" s="130">
        <v>130.35149999999999</v>
      </c>
      <c r="I83" s="129">
        <v>1709.0529999999999</v>
      </c>
      <c r="J83" s="185" t="s">
        <v>1263</v>
      </c>
      <c r="K83" s="11"/>
      <c r="L83" s="10"/>
      <c r="M83" s="10"/>
      <c r="N83" s="10"/>
      <c r="O83" s="10"/>
      <c r="P83" s="10"/>
      <c r="Q83" s="10"/>
      <c r="R83" s="10"/>
      <c r="S83" s="10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</row>
    <row r="84" spans="1:105" s="12" customFormat="1" ht="15" customHeight="1">
      <c r="A84" s="408">
        <v>46112</v>
      </c>
      <c r="B84" s="131" t="s">
        <v>1158</v>
      </c>
      <c r="C84" s="131" t="s">
        <v>390</v>
      </c>
      <c r="D84" s="131" t="s">
        <v>260</v>
      </c>
      <c r="E84" s="136" t="s">
        <v>26</v>
      </c>
      <c r="F84" s="129">
        <v>2008.6</v>
      </c>
      <c r="G84" s="129">
        <v>180.77399999999997</v>
      </c>
      <c r="H84" s="130">
        <v>180.77399999999997</v>
      </c>
      <c r="I84" s="129">
        <v>2370.1479999999997</v>
      </c>
      <c r="J84" s="185" t="s">
        <v>1263</v>
      </c>
      <c r="K84" s="11"/>
      <c r="L84" s="10"/>
      <c r="M84" s="10"/>
      <c r="N84" s="10"/>
      <c r="O84" s="10"/>
      <c r="P84" s="10"/>
      <c r="Q84" s="10"/>
      <c r="R84" s="10"/>
      <c r="S84" s="10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</row>
    <row r="85" spans="1:105" s="12" customFormat="1" ht="15" customHeight="1">
      <c r="A85" s="408">
        <v>46112</v>
      </c>
      <c r="B85" s="131" t="s">
        <v>1159</v>
      </c>
      <c r="C85" s="131" t="s">
        <v>390</v>
      </c>
      <c r="D85" s="131" t="s">
        <v>260</v>
      </c>
      <c r="E85" s="136" t="s">
        <v>26</v>
      </c>
      <c r="F85" s="129">
        <v>1035.8399999999999</v>
      </c>
      <c r="G85" s="129">
        <v>93.2256</v>
      </c>
      <c r="H85" s="130">
        <v>93.2256</v>
      </c>
      <c r="I85" s="129">
        <v>1222.2911999999999</v>
      </c>
      <c r="J85" s="185" t="s">
        <v>1263</v>
      </c>
      <c r="K85" s="11"/>
      <c r="L85" s="10"/>
      <c r="M85" s="10"/>
      <c r="N85" s="10"/>
      <c r="O85" s="10"/>
      <c r="P85" s="10"/>
      <c r="Q85" s="10"/>
      <c r="R85" s="10"/>
      <c r="S85" s="10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</row>
    <row r="86" spans="1:105" s="12" customFormat="1" ht="15" customHeight="1">
      <c r="A86" s="408">
        <v>46112</v>
      </c>
      <c r="B86" s="131" t="s">
        <v>1167</v>
      </c>
      <c r="C86" s="131" t="s">
        <v>390</v>
      </c>
      <c r="D86" s="131" t="s">
        <v>260</v>
      </c>
      <c r="E86" s="136" t="s">
        <v>26</v>
      </c>
      <c r="F86" s="129">
        <v>972.76</v>
      </c>
      <c r="G86" s="129">
        <v>87.548400000000001</v>
      </c>
      <c r="H86" s="130">
        <v>87.548400000000001</v>
      </c>
      <c r="I86" s="129">
        <v>1147.8567999999998</v>
      </c>
      <c r="J86" s="185" t="s">
        <v>1263</v>
      </c>
      <c r="K86" s="11"/>
      <c r="L86" s="10"/>
      <c r="M86" s="10"/>
      <c r="N86" s="10"/>
      <c r="O86" s="10"/>
      <c r="P86" s="10"/>
      <c r="Q86" s="10"/>
      <c r="R86" s="10"/>
      <c r="S86" s="10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</row>
    <row r="87" spans="1:105" s="12" customFormat="1" ht="15" customHeight="1">
      <c r="A87" s="408">
        <v>46112</v>
      </c>
      <c r="B87" s="131" t="s">
        <v>1168</v>
      </c>
      <c r="C87" s="131" t="s">
        <v>390</v>
      </c>
      <c r="D87" s="131" t="s">
        <v>260</v>
      </c>
      <c r="E87" s="136" t="s">
        <v>26</v>
      </c>
      <c r="F87" s="129">
        <v>930.43</v>
      </c>
      <c r="G87" s="129">
        <v>83.738699999999994</v>
      </c>
      <c r="H87" s="130">
        <v>83.738699999999994</v>
      </c>
      <c r="I87" s="129">
        <v>1097.9074000000001</v>
      </c>
      <c r="J87" s="185" t="s">
        <v>1263</v>
      </c>
      <c r="K87" s="11"/>
      <c r="L87" s="10"/>
      <c r="M87" s="10"/>
      <c r="N87" s="10"/>
      <c r="O87" s="10"/>
      <c r="P87" s="10"/>
      <c r="Q87" s="10"/>
      <c r="R87" s="10"/>
      <c r="S87" s="10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</row>
    <row r="88" spans="1:105" s="12" customFormat="1" ht="15" customHeight="1">
      <c r="A88" s="408">
        <v>46112</v>
      </c>
      <c r="B88" s="131" t="s">
        <v>1169</v>
      </c>
      <c r="C88" s="131" t="s">
        <v>390</v>
      </c>
      <c r="D88" s="131" t="s">
        <v>260</v>
      </c>
      <c r="E88" s="136" t="s">
        <v>26</v>
      </c>
      <c r="F88" s="129">
        <v>698.86</v>
      </c>
      <c r="G88" s="129">
        <v>62.897399999999998</v>
      </c>
      <c r="H88" s="130">
        <v>62.897399999999998</v>
      </c>
      <c r="I88" s="129">
        <v>824.65479999999991</v>
      </c>
      <c r="J88" s="185" t="s">
        <v>1263</v>
      </c>
      <c r="K88" s="11"/>
      <c r="L88" s="10"/>
      <c r="M88" s="10"/>
      <c r="N88" s="10"/>
      <c r="O88" s="10"/>
      <c r="P88" s="10"/>
      <c r="Q88" s="10"/>
      <c r="R88" s="10"/>
      <c r="S88" s="10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</row>
    <row r="89" spans="1:105" ht="15" customHeight="1">
      <c r="A89" s="408">
        <v>46142</v>
      </c>
      <c r="B89" s="131" t="s">
        <v>1225</v>
      </c>
      <c r="C89" s="131" t="s">
        <v>390</v>
      </c>
      <c r="D89" s="131" t="s">
        <v>260</v>
      </c>
      <c r="E89" s="136" t="s">
        <v>26</v>
      </c>
      <c r="F89" s="129">
        <v>1205.1600000000001</v>
      </c>
      <c r="G89" s="129">
        <v>108.46440000000001</v>
      </c>
      <c r="H89" s="130">
        <v>108.46440000000001</v>
      </c>
      <c r="I89" s="129">
        <v>1422.0888000000002</v>
      </c>
      <c r="J89" s="185" t="s">
        <v>1264</v>
      </c>
      <c r="K89" s="11"/>
    </row>
    <row r="90" spans="1:105" ht="15" customHeight="1">
      <c r="A90" s="408">
        <v>46142</v>
      </c>
      <c r="B90" s="131" t="s">
        <v>1226</v>
      </c>
      <c r="C90" s="131" t="s">
        <v>390</v>
      </c>
      <c r="D90" s="131" t="s">
        <v>260</v>
      </c>
      <c r="E90" s="136" t="s">
        <v>26</v>
      </c>
      <c r="F90" s="129">
        <v>1448.35</v>
      </c>
      <c r="G90" s="129">
        <v>130.35149999999999</v>
      </c>
      <c r="H90" s="130">
        <v>130.35149999999999</v>
      </c>
      <c r="I90" s="129">
        <v>1709.0529999999999</v>
      </c>
      <c r="J90" s="185" t="s">
        <v>1264</v>
      </c>
      <c r="K90" s="11"/>
    </row>
    <row r="91" spans="1:105" ht="15" customHeight="1">
      <c r="A91" s="408">
        <v>46142</v>
      </c>
      <c r="B91" s="131" t="s">
        <v>1227</v>
      </c>
      <c r="C91" s="131" t="s">
        <v>390</v>
      </c>
      <c r="D91" s="131" t="s">
        <v>260</v>
      </c>
      <c r="E91" s="136" t="s">
        <v>26</v>
      </c>
      <c r="F91" s="129">
        <v>2008.6</v>
      </c>
      <c r="G91" s="129">
        <v>180.77399999999997</v>
      </c>
      <c r="H91" s="130">
        <v>180.77399999999997</v>
      </c>
      <c r="I91" s="129">
        <v>2370.1479999999997</v>
      </c>
      <c r="J91" s="185" t="s">
        <v>1264</v>
      </c>
      <c r="K91" s="11"/>
    </row>
    <row r="92" spans="1:105" ht="15" customHeight="1">
      <c r="A92" s="408">
        <v>46142</v>
      </c>
      <c r="B92" s="131" t="s">
        <v>1228</v>
      </c>
      <c r="C92" s="131" t="s">
        <v>390</v>
      </c>
      <c r="D92" s="131" t="s">
        <v>260</v>
      </c>
      <c r="E92" s="136" t="s">
        <v>26</v>
      </c>
      <c r="F92" s="129">
        <v>1035.8399999999999</v>
      </c>
      <c r="G92" s="129">
        <v>93.2256</v>
      </c>
      <c r="H92" s="130">
        <v>93.2256</v>
      </c>
      <c r="I92" s="129">
        <v>1222.2911999999999</v>
      </c>
      <c r="J92" s="185" t="s">
        <v>1264</v>
      </c>
      <c r="K92" s="11"/>
    </row>
    <row r="93" spans="1:105" ht="15" customHeight="1">
      <c r="A93" s="408">
        <v>46142</v>
      </c>
      <c r="B93" s="131" t="s">
        <v>1218</v>
      </c>
      <c r="C93" s="131" t="s">
        <v>390</v>
      </c>
      <c r="D93" s="131" t="s">
        <v>260</v>
      </c>
      <c r="E93" s="136" t="s">
        <v>26</v>
      </c>
      <c r="F93" s="129">
        <v>972.76</v>
      </c>
      <c r="G93" s="129">
        <v>87.548400000000001</v>
      </c>
      <c r="H93" s="130">
        <v>87.548400000000001</v>
      </c>
      <c r="I93" s="129">
        <v>1147.8567999999998</v>
      </c>
      <c r="J93" s="185" t="s">
        <v>1264</v>
      </c>
      <c r="K93" s="11"/>
    </row>
    <row r="94" spans="1:105" ht="15" customHeight="1">
      <c r="A94" s="408">
        <v>46142</v>
      </c>
      <c r="B94" s="131" t="s">
        <v>1219</v>
      </c>
      <c r="C94" s="131" t="s">
        <v>390</v>
      </c>
      <c r="D94" s="131" t="s">
        <v>260</v>
      </c>
      <c r="E94" s="136" t="s">
        <v>26</v>
      </c>
      <c r="F94" s="129">
        <v>930.43</v>
      </c>
      <c r="G94" s="129">
        <v>83.738699999999994</v>
      </c>
      <c r="H94" s="130">
        <v>83.738699999999994</v>
      </c>
      <c r="I94" s="129">
        <v>1097.9074000000001</v>
      </c>
      <c r="J94" s="185" t="s">
        <v>1264</v>
      </c>
      <c r="K94" s="11"/>
    </row>
    <row r="95" spans="1:105" ht="15" customHeight="1">
      <c r="A95" s="408">
        <v>46142</v>
      </c>
      <c r="B95" s="131" t="s">
        <v>1229</v>
      </c>
      <c r="C95" s="131" t="s">
        <v>390</v>
      </c>
      <c r="D95" s="131" t="s">
        <v>260</v>
      </c>
      <c r="E95" s="136" t="s">
        <v>26</v>
      </c>
      <c r="F95" s="129">
        <v>698.86</v>
      </c>
      <c r="G95" s="129">
        <v>62.897399999999998</v>
      </c>
      <c r="H95" s="130">
        <v>62.897399999999998</v>
      </c>
      <c r="I95" s="129">
        <v>824.65479999999991</v>
      </c>
      <c r="J95" s="185" t="s">
        <v>1264</v>
      </c>
      <c r="K95" s="11"/>
    </row>
    <row r="96" spans="1:105" ht="12" customHeight="1">
      <c r="I96" s="396">
        <v>29382</v>
      </c>
      <c r="K96" s="11"/>
    </row>
    <row r="97" spans="1:105" s="12" customFormat="1" ht="19.2" customHeight="1">
      <c r="A97" s="1" t="s">
        <v>0</v>
      </c>
      <c r="B97" s="1" t="s">
        <v>1</v>
      </c>
      <c r="C97" s="1" t="s">
        <v>2</v>
      </c>
      <c r="D97" s="1" t="s">
        <v>4</v>
      </c>
      <c r="E97" s="1" t="s">
        <v>5</v>
      </c>
      <c r="F97" s="1" t="s">
        <v>8</v>
      </c>
      <c r="G97" s="1" t="s">
        <v>9</v>
      </c>
      <c r="H97" s="172" t="s">
        <v>10</v>
      </c>
      <c r="I97" s="1" t="s">
        <v>12</v>
      </c>
      <c r="J97" s="400" t="s">
        <v>17</v>
      </c>
      <c r="K97" s="11"/>
      <c r="L97" s="10"/>
      <c r="M97" s="10"/>
      <c r="N97" s="10"/>
      <c r="O97" s="10"/>
      <c r="P97" s="10"/>
      <c r="Q97" s="10"/>
      <c r="R97" s="10"/>
      <c r="S97" s="10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</row>
    <row r="98" spans="1:105" s="12" customFormat="1" ht="15" customHeight="1">
      <c r="A98" s="408">
        <v>46023</v>
      </c>
      <c r="B98" s="3" t="s">
        <v>1011</v>
      </c>
      <c r="C98" s="131" t="s">
        <v>173</v>
      </c>
      <c r="D98" s="131" t="s">
        <v>62</v>
      </c>
      <c r="E98" s="136" t="s">
        <v>26</v>
      </c>
      <c r="F98" s="129">
        <v>8800</v>
      </c>
      <c r="G98" s="129">
        <v>792</v>
      </c>
      <c r="H98" s="130">
        <v>792</v>
      </c>
      <c r="I98" s="129">
        <v>10384</v>
      </c>
      <c r="J98" s="185" t="s">
        <v>1161</v>
      </c>
      <c r="K98" s="11"/>
      <c r="L98" s="10"/>
      <c r="M98" s="10"/>
      <c r="N98" s="10"/>
      <c r="O98" s="10"/>
      <c r="P98" s="10"/>
      <c r="Q98" s="10"/>
      <c r="R98" s="10"/>
      <c r="S98" s="10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</row>
    <row r="99" spans="1:105" s="12" customFormat="1" ht="15" customHeight="1">
      <c r="A99" s="408">
        <v>46055</v>
      </c>
      <c r="B99" s="131" t="s">
        <v>1090</v>
      </c>
      <c r="C99" s="131" t="s">
        <v>173</v>
      </c>
      <c r="D99" s="131" t="s">
        <v>62</v>
      </c>
      <c r="E99" s="136" t="s">
        <v>26</v>
      </c>
      <c r="F99" s="129">
        <v>8800</v>
      </c>
      <c r="G99" s="129">
        <v>792</v>
      </c>
      <c r="H99" s="130">
        <v>792</v>
      </c>
      <c r="I99" s="129">
        <v>10384</v>
      </c>
      <c r="J99" s="185" t="s">
        <v>1162</v>
      </c>
      <c r="K99" s="11"/>
      <c r="L99" s="10"/>
      <c r="M99" s="10"/>
      <c r="N99" s="10"/>
      <c r="O99" s="10"/>
      <c r="P99" s="10"/>
      <c r="Q99" s="10"/>
      <c r="R99" s="10"/>
      <c r="S99" s="10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</row>
    <row r="100" spans="1:105" s="12" customFormat="1" ht="15" customHeight="1">
      <c r="A100" s="408">
        <v>46083</v>
      </c>
      <c r="B100" s="131" t="s">
        <v>1134</v>
      </c>
      <c r="C100" s="131" t="s">
        <v>173</v>
      </c>
      <c r="D100" s="131" t="s">
        <v>62</v>
      </c>
      <c r="E100" s="136" t="s">
        <v>26</v>
      </c>
      <c r="F100" s="129">
        <v>8800</v>
      </c>
      <c r="G100" s="129">
        <v>792</v>
      </c>
      <c r="H100" s="130">
        <v>792</v>
      </c>
      <c r="I100" s="129">
        <v>10384</v>
      </c>
      <c r="J100" s="185" t="s">
        <v>1263</v>
      </c>
      <c r="K100" s="11"/>
      <c r="L100" s="10"/>
      <c r="M100" s="10"/>
      <c r="N100" s="10"/>
      <c r="O100" s="10"/>
      <c r="P100" s="10"/>
      <c r="Q100" s="10"/>
      <c r="R100" s="10"/>
      <c r="S100" s="1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</row>
    <row r="101" spans="1:105" s="12" customFormat="1" ht="15" customHeight="1">
      <c r="A101" s="408">
        <v>46118</v>
      </c>
      <c r="B101" s="131" t="s">
        <v>1197</v>
      </c>
      <c r="C101" s="131" t="s">
        <v>173</v>
      </c>
      <c r="D101" s="131" t="s">
        <v>62</v>
      </c>
      <c r="E101" s="136" t="s">
        <v>26</v>
      </c>
      <c r="F101" s="129">
        <v>2200</v>
      </c>
      <c r="G101" s="129">
        <v>198</v>
      </c>
      <c r="H101" s="130">
        <v>198</v>
      </c>
      <c r="I101" s="129">
        <v>2596</v>
      </c>
      <c r="J101" s="185" t="s">
        <v>1264</v>
      </c>
      <c r="K101" s="11"/>
      <c r="L101" s="10"/>
      <c r="M101" s="10"/>
      <c r="N101" s="10"/>
      <c r="O101" s="10"/>
      <c r="P101" s="10"/>
      <c r="Q101" s="10"/>
      <c r="R101" s="10"/>
      <c r="S101" s="10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</row>
    <row r="102" spans="1:105" ht="15" customHeight="1">
      <c r="I102" s="396">
        <v>33748</v>
      </c>
      <c r="K102" s="11"/>
    </row>
    <row r="103" spans="1:105" s="12" customFormat="1" ht="15" customHeight="1">
      <c r="A103" s="1" t="s">
        <v>0</v>
      </c>
      <c r="B103" s="1" t="s">
        <v>1</v>
      </c>
      <c r="C103" s="1" t="s">
        <v>2</v>
      </c>
      <c r="D103" s="1" t="s">
        <v>4</v>
      </c>
      <c r="E103" s="1" t="s">
        <v>5</v>
      </c>
      <c r="F103" s="1" t="s">
        <v>8</v>
      </c>
      <c r="G103" s="1" t="s">
        <v>9</v>
      </c>
      <c r="H103" s="172" t="s">
        <v>10</v>
      </c>
      <c r="I103" s="1" t="s">
        <v>12</v>
      </c>
      <c r="J103" s="400" t="s">
        <v>17</v>
      </c>
      <c r="K103" s="11"/>
      <c r="L103" s="10"/>
      <c r="M103" s="10"/>
      <c r="N103" s="10"/>
      <c r="O103" s="10"/>
      <c r="P103" s="10"/>
      <c r="Q103" s="10"/>
      <c r="R103" s="10"/>
      <c r="S103" s="10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</row>
    <row r="104" spans="1:105" s="12" customFormat="1" ht="15" customHeight="1">
      <c r="A104" s="408">
        <v>46065</v>
      </c>
      <c r="B104" s="131" t="s">
        <v>1107</v>
      </c>
      <c r="C104" s="131" t="s">
        <v>396</v>
      </c>
      <c r="D104" s="131" t="s">
        <v>260</v>
      </c>
      <c r="E104" s="136" t="s">
        <v>26</v>
      </c>
      <c r="F104" s="129">
        <v>1500</v>
      </c>
      <c r="G104" s="129">
        <v>135</v>
      </c>
      <c r="H104" s="130">
        <v>135</v>
      </c>
      <c r="I104" s="129">
        <v>1770</v>
      </c>
      <c r="J104" s="185" t="s">
        <v>1162</v>
      </c>
      <c r="K104" s="11"/>
      <c r="L104" s="10"/>
      <c r="M104" s="10"/>
      <c r="N104" s="10"/>
      <c r="O104" s="10"/>
      <c r="P104" s="10"/>
      <c r="Q104" s="10"/>
      <c r="R104" s="10"/>
      <c r="S104" s="10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</row>
    <row r="105" spans="1:105" s="12" customFormat="1" ht="15" customHeight="1">
      <c r="A105" s="408">
        <v>46118</v>
      </c>
      <c r="B105" s="131" t="s">
        <v>1207</v>
      </c>
      <c r="C105" s="131" t="s">
        <v>396</v>
      </c>
      <c r="D105" s="131" t="s">
        <v>260</v>
      </c>
      <c r="E105" s="136" t="s">
        <v>26</v>
      </c>
      <c r="F105" s="129">
        <v>5000</v>
      </c>
      <c r="G105" s="129">
        <v>450</v>
      </c>
      <c r="H105" s="130">
        <v>450</v>
      </c>
      <c r="I105" s="129">
        <v>5900</v>
      </c>
      <c r="J105" s="185" t="s">
        <v>1264</v>
      </c>
      <c r="K105" s="11"/>
      <c r="L105" s="10"/>
      <c r="M105" s="10"/>
      <c r="N105" s="10"/>
      <c r="O105" s="10"/>
      <c r="P105" s="10"/>
      <c r="Q105" s="10"/>
      <c r="R105" s="10"/>
      <c r="S105" s="10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</row>
    <row r="106" spans="1:105" s="12" customFormat="1" ht="15" customHeight="1">
      <c r="A106" s="408">
        <v>46123</v>
      </c>
      <c r="B106" s="131" t="s">
        <v>1208</v>
      </c>
      <c r="C106" s="131" t="s">
        <v>396</v>
      </c>
      <c r="D106" s="131" t="s">
        <v>260</v>
      </c>
      <c r="E106" s="136" t="s">
        <v>37</v>
      </c>
      <c r="F106" s="129">
        <v>14000</v>
      </c>
      <c r="G106" s="129">
        <v>1260</v>
      </c>
      <c r="H106" s="130">
        <v>1260</v>
      </c>
      <c r="I106" s="129">
        <v>16520</v>
      </c>
      <c r="J106" s="185" t="s">
        <v>1264</v>
      </c>
      <c r="K106" s="11"/>
      <c r="L106" s="10"/>
      <c r="M106" s="10"/>
      <c r="N106" s="10"/>
      <c r="O106" s="10"/>
      <c r="P106" s="10"/>
      <c r="Q106" s="10"/>
      <c r="R106" s="10"/>
      <c r="S106" s="10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</row>
    <row r="107" spans="1:105" s="11" customFormat="1" ht="15" customHeight="1">
      <c r="A107" s="411">
        <v>46149</v>
      </c>
      <c r="B107" s="163" t="s">
        <v>1257</v>
      </c>
      <c r="C107" s="163" t="s">
        <v>396</v>
      </c>
      <c r="D107" s="163" t="s">
        <v>260</v>
      </c>
      <c r="E107" s="137" t="s">
        <v>26</v>
      </c>
      <c r="F107" s="214">
        <v>6000</v>
      </c>
      <c r="G107" s="214">
        <v>540</v>
      </c>
      <c r="H107" s="222">
        <v>540</v>
      </c>
      <c r="I107" s="214">
        <v>7080</v>
      </c>
      <c r="J107" s="223"/>
      <c r="L107" s="407"/>
    </row>
    <row r="108" spans="1:105" ht="15" customHeight="1">
      <c r="I108" s="396">
        <v>31270</v>
      </c>
      <c r="K108" s="11"/>
    </row>
    <row r="109" spans="1:105" s="12" customFormat="1" ht="19.95" customHeight="1">
      <c r="A109" s="1" t="s">
        <v>0</v>
      </c>
      <c r="B109" s="1" t="s">
        <v>1</v>
      </c>
      <c r="C109" s="1" t="s">
        <v>2</v>
      </c>
      <c r="D109" s="1" t="s">
        <v>4</v>
      </c>
      <c r="E109" s="1" t="s">
        <v>5</v>
      </c>
      <c r="F109" s="1" t="s">
        <v>8</v>
      </c>
      <c r="G109" s="1" t="s">
        <v>9</v>
      </c>
      <c r="H109" s="172" t="s">
        <v>10</v>
      </c>
      <c r="I109" s="1" t="s">
        <v>12</v>
      </c>
      <c r="J109" s="400" t="s">
        <v>17</v>
      </c>
      <c r="K109" s="11"/>
      <c r="L109" s="10"/>
      <c r="M109" s="10"/>
      <c r="N109" s="10"/>
      <c r="O109" s="10"/>
      <c r="P109" s="10"/>
      <c r="Q109" s="10"/>
      <c r="R109" s="10"/>
      <c r="S109" s="10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</row>
    <row r="110" spans="1:105" s="12" customFormat="1" ht="15" customHeight="1">
      <c r="A110" s="408">
        <v>46112</v>
      </c>
      <c r="B110" s="131" t="s">
        <v>1182</v>
      </c>
      <c r="C110" s="131" t="s">
        <v>1185</v>
      </c>
      <c r="D110" s="131" t="s">
        <v>36</v>
      </c>
      <c r="E110" s="136" t="s">
        <v>26</v>
      </c>
      <c r="F110" s="129">
        <v>4400</v>
      </c>
      <c r="G110" s="129">
        <v>396</v>
      </c>
      <c r="H110" s="130">
        <v>396</v>
      </c>
      <c r="I110" s="129">
        <v>5192</v>
      </c>
      <c r="J110" s="185" t="s">
        <v>1263</v>
      </c>
      <c r="K110" s="11"/>
      <c r="L110" s="10"/>
      <c r="M110" s="10"/>
      <c r="N110" s="10"/>
      <c r="O110" s="10"/>
      <c r="P110" s="10"/>
      <c r="Q110" s="10"/>
      <c r="R110" s="10"/>
      <c r="S110" s="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</row>
    <row r="111" spans="1:105" ht="15" customHeight="1">
      <c r="A111" s="408">
        <v>46142</v>
      </c>
      <c r="B111" s="131" t="s">
        <v>1237</v>
      </c>
      <c r="C111" s="131" t="s">
        <v>1185</v>
      </c>
      <c r="D111" s="131" t="s">
        <v>36</v>
      </c>
      <c r="E111" s="136" t="s">
        <v>26</v>
      </c>
      <c r="F111" s="129">
        <v>4400</v>
      </c>
      <c r="G111" s="129">
        <v>396</v>
      </c>
      <c r="H111" s="130">
        <v>396</v>
      </c>
      <c r="I111" s="129">
        <v>5192</v>
      </c>
      <c r="J111" s="185" t="s">
        <v>1264</v>
      </c>
      <c r="K111" s="11"/>
    </row>
    <row r="112" spans="1:105" ht="15" customHeight="1">
      <c r="I112" s="396">
        <v>10384</v>
      </c>
      <c r="K112" s="11"/>
    </row>
    <row r="113" spans="1:105" s="12" customFormat="1" ht="19.95" customHeight="1">
      <c r="A113" s="1" t="s">
        <v>0</v>
      </c>
      <c r="B113" s="1" t="s">
        <v>1</v>
      </c>
      <c r="C113" s="1" t="s">
        <v>2</v>
      </c>
      <c r="D113" s="1" t="s">
        <v>4</v>
      </c>
      <c r="E113" s="1" t="s">
        <v>5</v>
      </c>
      <c r="F113" s="1" t="s">
        <v>8</v>
      </c>
      <c r="G113" s="1" t="s">
        <v>9</v>
      </c>
      <c r="H113" s="172" t="s">
        <v>10</v>
      </c>
      <c r="I113" s="1" t="s">
        <v>12</v>
      </c>
      <c r="J113" s="400" t="s">
        <v>17</v>
      </c>
      <c r="K113" s="11"/>
      <c r="L113" s="10"/>
      <c r="M113" s="10"/>
      <c r="N113" s="10"/>
      <c r="O113" s="10"/>
      <c r="P113" s="10"/>
      <c r="Q113" s="10"/>
      <c r="R113" s="10"/>
      <c r="S113" s="10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</row>
    <row r="114" spans="1:105" s="11" customFormat="1" ht="15" customHeight="1">
      <c r="A114" s="92">
        <v>45838</v>
      </c>
      <c r="B114" s="7" t="s">
        <v>705</v>
      </c>
      <c r="C114" s="7" t="s">
        <v>319</v>
      </c>
      <c r="D114" s="7" t="s">
        <v>59</v>
      </c>
      <c r="E114" s="5" t="s">
        <v>26</v>
      </c>
      <c r="F114" s="95">
        <v>34750</v>
      </c>
      <c r="G114" s="95">
        <v>3127.5</v>
      </c>
      <c r="H114" s="96">
        <v>3127.5</v>
      </c>
      <c r="I114" s="69">
        <v>41005</v>
      </c>
      <c r="J114" s="405" t="s">
        <v>413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 s="10" customFormat="1" ht="15" customHeight="1">
      <c r="A115" s="92">
        <v>45900</v>
      </c>
      <c r="B115" s="7" t="s">
        <v>779</v>
      </c>
      <c r="C115" s="7" t="s">
        <v>319</v>
      </c>
      <c r="D115" s="7" t="s">
        <v>59</v>
      </c>
      <c r="E115" s="5" t="s">
        <v>26</v>
      </c>
      <c r="F115" s="69">
        <v>25450</v>
      </c>
      <c r="G115" s="69">
        <v>2290.5</v>
      </c>
      <c r="H115" s="70">
        <v>2290.5</v>
      </c>
      <c r="I115" s="69">
        <v>30031</v>
      </c>
      <c r="J115" s="158" t="s">
        <v>752</v>
      </c>
      <c r="K115" s="11"/>
    </row>
    <row r="116" spans="1:105" s="10" customFormat="1" ht="15" customHeight="1">
      <c r="A116" s="412">
        <v>45961</v>
      </c>
      <c r="B116" s="7" t="s">
        <v>864</v>
      </c>
      <c r="C116" s="7" t="s">
        <v>319</v>
      </c>
      <c r="D116" s="7" t="s">
        <v>59</v>
      </c>
      <c r="E116" s="5" t="s">
        <v>26</v>
      </c>
      <c r="F116" s="218">
        <v>33000</v>
      </c>
      <c r="G116" s="218">
        <v>2970</v>
      </c>
      <c r="H116" s="301">
        <v>2970</v>
      </c>
      <c r="I116" s="218">
        <v>38940</v>
      </c>
      <c r="J116" s="302" t="s">
        <v>882</v>
      </c>
      <c r="K116" s="11"/>
    </row>
    <row r="117" spans="1:105" s="11" customFormat="1" ht="15" customHeight="1">
      <c r="A117" s="411">
        <v>46016</v>
      </c>
      <c r="B117" s="7" t="s">
        <v>980</v>
      </c>
      <c r="C117" s="163" t="s">
        <v>319</v>
      </c>
      <c r="D117" s="163" t="s">
        <v>59</v>
      </c>
      <c r="E117" s="137" t="s">
        <v>37</v>
      </c>
      <c r="F117" s="214">
        <v>29770</v>
      </c>
      <c r="G117" s="229">
        <v>2679.3</v>
      </c>
      <c r="H117" s="222">
        <v>2679.3</v>
      </c>
      <c r="I117" s="214">
        <v>35128.6</v>
      </c>
      <c r="J117" s="223" t="s">
        <v>1160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 s="12" customFormat="1" ht="15" customHeight="1">
      <c r="A118" s="408">
        <v>46078</v>
      </c>
      <c r="B118" s="131" t="s">
        <v>1113</v>
      </c>
      <c r="C118" s="131" t="s">
        <v>319</v>
      </c>
      <c r="D118" s="131" t="s">
        <v>59</v>
      </c>
      <c r="E118" s="136" t="s">
        <v>26</v>
      </c>
      <c r="F118" s="129">
        <v>34500</v>
      </c>
      <c r="G118" s="129">
        <v>3105</v>
      </c>
      <c r="H118" s="130">
        <v>3105</v>
      </c>
      <c r="I118" s="129">
        <v>40710</v>
      </c>
      <c r="J118" s="185" t="s">
        <v>1162</v>
      </c>
      <c r="K118" s="11"/>
      <c r="L118" s="10"/>
      <c r="M118" s="10"/>
      <c r="N118" s="10"/>
      <c r="O118" s="10"/>
      <c r="P118" s="10"/>
      <c r="Q118" s="10"/>
      <c r="R118" s="10"/>
      <c r="S118" s="10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</row>
    <row r="119" spans="1:105" s="12" customFormat="1" ht="15" customHeight="1">
      <c r="A119" s="408">
        <v>46136</v>
      </c>
      <c r="B119" s="131" t="s">
        <v>1212</v>
      </c>
      <c r="C119" s="131" t="s">
        <v>319</v>
      </c>
      <c r="D119" s="131" t="s">
        <v>59</v>
      </c>
      <c r="E119" s="136" t="s">
        <v>26</v>
      </c>
      <c r="F119" s="129">
        <v>27450</v>
      </c>
      <c r="G119" s="129">
        <v>2470.5</v>
      </c>
      <c r="H119" s="130">
        <v>2470.5</v>
      </c>
      <c r="I119" s="129">
        <v>32391</v>
      </c>
      <c r="J119" s="185" t="s">
        <v>1264</v>
      </c>
      <c r="K119" s="11"/>
      <c r="L119" s="10"/>
      <c r="M119" s="10"/>
      <c r="N119" s="10"/>
      <c r="O119" s="10"/>
      <c r="P119" s="10"/>
      <c r="Q119" s="10"/>
      <c r="R119" s="10"/>
      <c r="S119" s="10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</row>
    <row r="120" spans="1:105" ht="15" customHeight="1">
      <c r="I120" s="396">
        <v>218205</v>
      </c>
      <c r="K120" s="11"/>
    </row>
    <row r="121" spans="1:105" s="12" customFormat="1" ht="15" customHeight="1">
      <c r="A121" s="1" t="s">
        <v>0</v>
      </c>
      <c r="B121" s="1" t="s">
        <v>1</v>
      </c>
      <c r="C121" s="1" t="s">
        <v>2</v>
      </c>
      <c r="D121" s="1" t="s">
        <v>4</v>
      </c>
      <c r="E121" s="1" t="s">
        <v>5</v>
      </c>
      <c r="F121" s="1" t="s">
        <v>8</v>
      </c>
      <c r="G121" s="1" t="s">
        <v>9</v>
      </c>
      <c r="H121" s="172" t="s">
        <v>10</v>
      </c>
      <c r="I121" s="1" t="s">
        <v>12</v>
      </c>
      <c r="J121" s="400" t="s">
        <v>17</v>
      </c>
      <c r="K121" s="11"/>
      <c r="L121" s="10"/>
      <c r="M121" s="10"/>
      <c r="N121" s="10"/>
      <c r="O121" s="10"/>
      <c r="P121" s="10"/>
      <c r="Q121" s="10"/>
      <c r="R121" s="10"/>
      <c r="S121" s="10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</row>
    <row r="122" spans="1:105" s="12" customFormat="1" ht="15" customHeight="1">
      <c r="A122" s="408">
        <v>46053</v>
      </c>
      <c r="B122" s="131" t="s">
        <v>1074</v>
      </c>
      <c r="C122" s="131" t="s">
        <v>319</v>
      </c>
      <c r="D122" s="131" t="s">
        <v>85</v>
      </c>
      <c r="E122" s="136" t="s">
        <v>26</v>
      </c>
      <c r="F122" s="129">
        <v>8000</v>
      </c>
      <c r="G122" s="129">
        <v>720</v>
      </c>
      <c r="H122" s="130">
        <v>720</v>
      </c>
      <c r="I122" s="129">
        <v>9440</v>
      </c>
      <c r="J122" s="185" t="s">
        <v>1161</v>
      </c>
      <c r="K122" s="11"/>
      <c r="L122" s="10"/>
      <c r="M122" s="10"/>
      <c r="N122" s="10"/>
      <c r="O122" s="10"/>
      <c r="P122" s="10"/>
      <c r="Q122" s="10"/>
      <c r="R122" s="10"/>
      <c r="S122" s="10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</row>
    <row r="123" spans="1:105" s="12" customFormat="1" ht="15" customHeight="1">
      <c r="A123" s="408">
        <v>46081</v>
      </c>
      <c r="B123" s="131" t="s">
        <v>1114</v>
      </c>
      <c r="C123" s="131" t="s">
        <v>319</v>
      </c>
      <c r="D123" s="131" t="s">
        <v>85</v>
      </c>
      <c r="E123" s="136" t="s">
        <v>26</v>
      </c>
      <c r="F123" s="129">
        <v>17900</v>
      </c>
      <c r="G123" s="129">
        <v>1611</v>
      </c>
      <c r="H123" s="130">
        <v>1611</v>
      </c>
      <c r="I123" s="129">
        <v>21122</v>
      </c>
      <c r="J123" s="185" t="s">
        <v>1162</v>
      </c>
      <c r="K123" s="11"/>
      <c r="L123" s="10"/>
      <c r="M123" s="10"/>
      <c r="N123" s="10"/>
      <c r="O123" s="10"/>
      <c r="P123" s="10"/>
      <c r="Q123" s="10"/>
      <c r="R123" s="10"/>
      <c r="S123" s="10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</row>
    <row r="124" spans="1:105" s="12" customFormat="1" ht="15" customHeight="1">
      <c r="A124" s="408">
        <v>46112</v>
      </c>
      <c r="B124" s="131" t="s">
        <v>1153</v>
      </c>
      <c r="C124" s="131" t="s">
        <v>319</v>
      </c>
      <c r="D124" s="131" t="s">
        <v>85</v>
      </c>
      <c r="E124" s="136" t="s">
        <v>26</v>
      </c>
      <c r="F124" s="129">
        <v>16600</v>
      </c>
      <c r="G124" s="129">
        <v>1494</v>
      </c>
      <c r="H124" s="130">
        <v>1494</v>
      </c>
      <c r="I124" s="129">
        <v>19588</v>
      </c>
      <c r="J124" s="185" t="s">
        <v>1263</v>
      </c>
      <c r="K124" s="11"/>
      <c r="L124" s="10"/>
      <c r="M124" s="10"/>
      <c r="N124" s="10"/>
      <c r="O124" s="10"/>
      <c r="P124" s="10"/>
      <c r="Q124" s="10"/>
      <c r="R124" s="10"/>
      <c r="S124" s="10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</row>
    <row r="125" spans="1:105" ht="15" customHeight="1">
      <c r="A125" s="408">
        <v>46142</v>
      </c>
      <c r="B125" s="131" t="s">
        <v>1223</v>
      </c>
      <c r="C125" s="131" t="s">
        <v>319</v>
      </c>
      <c r="D125" s="131" t="s">
        <v>85</v>
      </c>
      <c r="E125" s="136" t="s">
        <v>26</v>
      </c>
      <c r="F125" s="129">
        <v>7300</v>
      </c>
      <c r="G125" s="129">
        <v>657</v>
      </c>
      <c r="H125" s="130">
        <v>657</v>
      </c>
      <c r="I125" s="129">
        <v>8614</v>
      </c>
      <c r="J125" s="185" t="s">
        <v>1264</v>
      </c>
      <c r="K125" s="11"/>
    </row>
    <row r="126" spans="1:105" ht="15" customHeight="1">
      <c r="I126" s="396">
        <v>58764</v>
      </c>
      <c r="K126" s="11"/>
    </row>
    <row r="127" spans="1:105" s="12" customFormat="1" ht="20.399999999999999" customHeight="1">
      <c r="A127" s="1" t="s">
        <v>0</v>
      </c>
      <c r="B127" s="1" t="s">
        <v>1</v>
      </c>
      <c r="C127" s="1" t="s">
        <v>2</v>
      </c>
      <c r="D127" s="1" t="s">
        <v>4</v>
      </c>
      <c r="E127" s="1" t="s">
        <v>5</v>
      </c>
      <c r="F127" s="1" t="s">
        <v>8</v>
      </c>
      <c r="G127" s="1" t="s">
        <v>9</v>
      </c>
      <c r="H127" s="172" t="s">
        <v>10</v>
      </c>
      <c r="I127" s="1" t="s">
        <v>12</v>
      </c>
      <c r="J127" s="400" t="s">
        <v>17</v>
      </c>
      <c r="K127" s="11"/>
      <c r="L127" s="10"/>
      <c r="M127" s="10"/>
      <c r="N127" s="10"/>
      <c r="O127" s="10"/>
      <c r="P127" s="10"/>
      <c r="Q127" s="10"/>
      <c r="R127" s="10"/>
      <c r="S127" s="10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</row>
    <row r="128" spans="1:105" ht="15" customHeight="1">
      <c r="A128" s="2">
        <v>45930</v>
      </c>
      <c r="B128" s="3" t="s">
        <v>823</v>
      </c>
      <c r="C128" s="7" t="s">
        <v>319</v>
      </c>
      <c r="D128" s="7" t="s">
        <v>89</v>
      </c>
      <c r="E128" s="5" t="s">
        <v>26</v>
      </c>
      <c r="F128" s="9">
        <v>19200</v>
      </c>
      <c r="G128" s="9">
        <v>1728</v>
      </c>
      <c r="H128" s="41">
        <v>1728</v>
      </c>
      <c r="I128" s="9">
        <v>22656</v>
      </c>
      <c r="J128" s="157" t="s">
        <v>879</v>
      </c>
      <c r="K128" s="11"/>
    </row>
    <row r="129" spans="1:105" ht="15" customHeight="1">
      <c r="A129" s="413">
        <v>45961</v>
      </c>
      <c r="B129" s="3" t="s">
        <v>865</v>
      </c>
      <c r="C129" s="7" t="s">
        <v>319</v>
      </c>
      <c r="D129" s="7" t="s">
        <v>89</v>
      </c>
      <c r="E129" s="5" t="s">
        <v>26</v>
      </c>
      <c r="F129" s="124">
        <v>21600</v>
      </c>
      <c r="G129" s="124">
        <v>1944</v>
      </c>
      <c r="H129" s="125">
        <v>1944</v>
      </c>
      <c r="I129" s="124">
        <v>25488</v>
      </c>
      <c r="J129" s="184" t="s">
        <v>882</v>
      </c>
      <c r="K129" s="11"/>
    </row>
    <row r="130" spans="1:105" s="11" customFormat="1" ht="15" customHeight="1">
      <c r="A130" s="411">
        <v>45991</v>
      </c>
      <c r="B130" s="7" t="s">
        <v>919</v>
      </c>
      <c r="C130" s="163" t="s">
        <v>319</v>
      </c>
      <c r="D130" s="163" t="s">
        <v>89</v>
      </c>
      <c r="E130" s="137" t="s">
        <v>26</v>
      </c>
      <c r="F130" s="214">
        <v>21600</v>
      </c>
      <c r="G130" s="229">
        <v>1944</v>
      </c>
      <c r="H130" s="222">
        <v>1944</v>
      </c>
      <c r="I130" s="214">
        <v>25488</v>
      </c>
      <c r="J130" s="223" t="s">
        <v>959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 s="12" customFormat="1" ht="15" customHeight="1">
      <c r="A131" s="408">
        <v>46022</v>
      </c>
      <c r="B131" s="3" t="s">
        <v>995</v>
      </c>
      <c r="C131" s="131" t="s">
        <v>319</v>
      </c>
      <c r="D131" s="131" t="s">
        <v>89</v>
      </c>
      <c r="E131" s="136" t="s">
        <v>26</v>
      </c>
      <c r="F131" s="129">
        <v>33550</v>
      </c>
      <c r="G131" s="167">
        <v>3019.5</v>
      </c>
      <c r="H131" s="130">
        <v>3019.5</v>
      </c>
      <c r="I131" s="129">
        <v>39589</v>
      </c>
      <c r="J131" s="185" t="s">
        <v>1160</v>
      </c>
      <c r="K131" s="11"/>
      <c r="L131" s="10"/>
      <c r="M131" s="10"/>
      <c r="N131" s="10"/>
      <c r="O131" s="10"/>
      <c r="P131" s="10"/>
      <c r="Q131" s="10"/>
      <c r="R131" s="10"/>
      <c r="S131" s="10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</row>
    <row r="132" spans="1:105" s="12" customFormat="1" ht="15" customHeight="1">
      <c r="A132" s="408">
        <v>46053</v>
      </c>
      <c r="B132" s="131" t="s">
        <v>1075</v>
      </c>
      <c r="C132" s="131" t="s">
        <v>319</v>
      </c>
      <c r="D132" s="131" t="s">
        <v>89</v>
      </c>
      <c r="E132" s="136" t="s">
        <v>26</v>
      </c>
      <c r="F132" s="129">
        <v>19200</v>
      </c>
      <c r="G132" s="129">
        <v>1728</v>
      </c>
      <c r="H132" s="130">
        <v>1728</v>
      </c>
      <c r="I132" s="129">
        <v>22656</v>
      </c>
      <c r="J132" s="185" t="s">
        <v>1161</v>
      </c>
      <c r="K132" s="11"/>
      <c r="L132" s="10"/>
      <c r="M132" s="10"/>
      <c r="N132" s="10"/>
      <c r="O132" s="10"/>
      <c r="P132" s="10"/>
      <c r="Q132" s="10"/>
      <c r="R132" s="10"/>
      <c r="S132" s="10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</row>
    <row r="133" spans="1:105" s="12" customFormat="1" ht="15" customHeight="1">
      <c r="A133" s="408">
        <v>46081</v>
      </c>
      <c r="B133" s="131" t="s">
        <v>1115</v>
      </c>
      <c r="C133" s="131" t="s">
        <v>319</v>
      </c>
      <c r="D133" s="131" t="s">
        <v>89</v>
      </c>
      <c r="E133" s="136" t="s">
        <v>26</v>
      </c>
      <c r="F133" s="129">
        <v>18625</v>
      </c>
      <c r="G133" s="129">
        <v>1676.25</v>
      </c>
      <c r="H133" s="130">
        <v>1676.25</v>
      </c>
      <c r="I133" s="129">
        <v>21977.5</v>
      </c>
      <c r="J133" s="185" t="s">
        <v>1162</v>
      </c>
      <c r="K133" s="11"/>
      <c r="L133" s="10"/>
      <c r="M133" s="10"/>
      <c r="N133" s="10"/>
      <c r="O133" s="10"/>
      <c r="P133" s="10"/>
      <c r="Q133" s="10"/>
      <c r="R133" s="10"/>
      <c r="S133" s="10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</row>
    <row r="134" spans="1:105" s="12" customFormat="1" ht="15" customHeight="1">
      <c r="A134" s="408">
        <v>46112</v>
      </c>
      <c r="B134" s="131" t="s">
        <v>1154</v>
      </c>
      <c r="C134" s="131" t="s">
        <v>319</v>
      </c>
      <c r="D134" s="131" t="s">
        <v>89</v>
      </c>
      <c r="E134" s="136" t="s">
        <v>26</v>
      </c>
      <c r="F134" s="129">
        <v>18850</v>
      </c>
      <c r="G134" s="129">
        <v>1696.5</v>
      </c>
      <c r="H134" s="130">
        <v>1696.5</v>
      </c>
      <c r="I134" s="129">
        <v>22243</v>
      </c>
      <c r="J134" s="185" t="s">
        <v>1263</v>
      </c>
      <c r="K134" s="11"/>
      <c r="L134" s="10"/>
      <c r="M134" s="10"/>
      <c r="N134" s="10"/>
      <c r="O134" s="10"/>
      <c r="P134" s="10"/>
      <c r="Q134" s="10"/>
      <c r="R134" s="10"/>
      <c r="S134" s="10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</row>
    <row r="135" spans="1:105" ht="15" customHeight="1">
      <c r="I135" s="396">
        <v>180097</v>
      </c>
      <c r="K135" s="11"/>
    </row>
    <row r="136" spans="1:105" s="12" customFormat="1" ht="19.2" customHeight="1">
      <c r="A136" s="1" t="s">
        <v>0</v>
      </c>
      <c r="B136" s="1" t="s">
        <v>1</v>
      </c>
      <c r="C136" s="1" t="s">
        <v>2</v>
      </c>
      <c r="D136" s="1" t="s">
        <v>4</v>
      </c>
      <c r="E136" s="1" t="s">
        <v>5</v>
      </c>
      <c r="F136" s="1" t="s">
        <v>8</v>
      </c>
      <c r="G136" s="1" t="s">
        <v>9</v>
      </c>
      <c r="H136" s="172" t="s">
        <v>10</v>
      </c>
      <c r="I136" s="1" t="s">
        <v>12</v>
      </c>
      <c r="J136" s="400" t="s">
        <v>17</v>
      </c>
      <c r="K136" s="11"/>
      <c r="L136" s="10"/>
      <c r="M136" s="10"/>
      <c r="N136" s="10"/>
      <c r="O136" s="10"/>
      <c r="P136" s="10"/>
      <c r="Q136" s="10"/>
      <c r="R136" s="10"/>
      <c r="S136" s="10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</row>
    <row r="137" spans="1:105" s="12" customFormat="1" ht="15" customHeight="1">
      <c r="A137" s="408">
        <v>46155</v>
      </c>
      <c r="B137" s="131" t="s">
        <v>1256</v>
      </c>
      <c r="C137" s="131" t="s">
        <v>1102</v>
      </c>
      <c r="D137" s="131" t="s">
        <v>67</v>
      </c>
      <c r="E137" s="136" t="s">
        <v>37</v>
      </c>
      <c r="F137" s="129">
        <v>53976.6</v>
      </c>
      <c r="G137" s="129">
        <v>4857.8939999999993</v>
      </c>
      <c r="H137" s="130">
        <v>4857.8939999999993</v>
      </c>
      <c r="I137" s="129">
        <v>63692.387999999999</v>
      </c>
      <c r="J137" s="185"/>
      <c r="K137" s="11"/>
      <c r="L137" s="407"/>
      <c r="M137" s="11"/>
      <c r="N137" s="11"/>
      <c r="O137" s="11"/>
      <c r="P137" s="11"/>
      <c r="Q137" s="11"/>
      <c r="R137" s="11"/>
      <c r="S137" s="11"/>
    </row>
    <row r="138" spans="1:105" ht="15" customHeight="1">
      <c r="I138" s="396">
        <v>63692.387999999999</v>
      </c>
      <c r="K138" s="11"/>
    </row>
    <row r="139" spans="1:105" s="12" customFormat="1" ht="18.600000000000001" customHeight="1">
      <c r="A139" s="1" t="s">
        <v>0</v>
      </c>
      <c r="B139" s="1" t="s">
        <v>1</v>
      </c>
      <c r="C139" s="1" t="s">
        <v>2</v>
      </c>
      <c r="D139" s="1" t="s">
        <v>4</v>
      </c>
      <c r="E139" s="1" t="s">
        <v>5</v>
      </c>
      <c r="F139" s="1" t="s">
        <v>8</v>
      </c>
      <c r="G139" s="1" t="s">
        <v>9</v>
      </c>
      <c r="H139" s="172" t="s">
        <v>10</v>
      </c>
      <c r="I139" s="1" t="s">
        <v>12</v>
      </c>
      <c r="J139" s="400" t="s">
        <v>17</v>
      </c>
      <c r="K139" s="11"/>
      <c r="L139" s="10"/>
      <c r="M139" s="10"/>
      <c r="N139" s="10"/>
      <c r="O139" s="10"/>
      <c r="P139" s="10"/>
      <c r="Q139" s="10"/>
      <c r="R139" s="10"/>
      <c r="S139" s="10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</row>
    <row r="140" spans="1:105" ht="15" customHeight="1">
      <c r="A140" s="408">
        <v>46139</v>
      </c>
      <c r="B140" s="131" t="s">
        <v>1222</v>
      </c>
      <c r="C140" s="3" t="s">
        <v>475</v>
      </c>
      <c r="D140" s="3" t="s">
        <v>477</v>
      </c>
      <c r="E140" s="4" t="s">
        <v>26</v>
      </c>
      <c r="F140" s="129">
        <v>16000</v>
      </c>
      <c r="G140" s="129">
        <v>1440</v>
      </c>
      <c r="H140" s="130">
        <v>1440</v>
      </c>
      <c r="I140" s="129">
        <v>18880</v>
      </c>
      <c r="J140" s="185" t="s">
        <v>1264</v>
      </c>
      <c r="K140" s="11"/>
    </row>
    <row r="141" spans="1:105" ht="15" customHeight="1">
      <c r="I141" s="396">
        <v>18880</v>
      </c>
      <c r="K141" s="11"/>
    </row>
    <row r="142" spans="1:105" s="12" customFormat="1" ht="15" customHeight="1">
      <c r="A142" s="1" t="s">
        <v>0</v>
      </c>
      <c r="B142" s="1" t="s">
        <v>1</v>
      </c>
      <c r="C142" s="1" t="s">
        <v>2</v>
      </c>
      <c r="D142" s="1" t="s">
        <v>4</v>
      </c>
      <c r="E142" s="1" t="s">
        <v>5</v>
      </c>
      <c r="F142" s="1" t="s">
        <v>8</v>
      </c>
      <c r="G142" s="1" t="s">
        <v>9</v>
      </c>
      <c r="H142" s="172" t="s">
        <v>10</v>
      </c>
      <c r="I142" s="1" t="s">
        <v>12</v>
      </c>
      <c r="J142" s="400" t="s">
        <v>17</v>
      </c>
      <c r="K142" s="11"/>
      <c r="L142" s="10"/>
      <c r="M142" s="10"/>
      <c r="N142" s="10"/>
      <c r="O142" s="10"/>
      <c r="P142" s="10"/>
      <c r="Q142" s="10"/>
      <c r="R142" s="10"/>
      <c r="S142" s="10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</row>
    <row r="143" spans="1:105" ht="15" customHeight="1">
      <c r="A143" s="2">
        <v>45930</v>
      </c>
      <c r="B143" s="3" t="s">
        <v>835</v>
      </c>
      <c r="C143" s="3" t="s">
        <v>567</v>
      </c>
      <c r="D143" s="7" t="s">
        <v>232</v>
      </c>
      <c r="E143" s="5" t="s">
        <v>26</v>
      </c>
      <c r="F143" s="9">
        <v>1000</v>
      </c>
      <c r="G143" s="9">
        <v>90</v>
      </c>
      <c r="H143" s="41">
        <v>90</v>
      </c>
      <c r="I143" s="9">
        <v>1180</v>
      </c>
      <c r="J143" s="157" t="s">
        <v>879</v>
      </c>
      <c r="K143" s="11"/>
    </row>
    <row r="144" spans="1:105" s="12" customFormat="1" ht="15" customHeight="1">
      <c r="A144" s="408">
        <v>46027</v>
      </c>
      <c r="B144" s="3" t="s">
        <v>1024</v>
      </c>
      <c r="C144" s="131" t="s">
        <v>567</v>
      </c>
      <c r="D144" s="131" t="s">
        <v>232</v>
      </c>
      <c r="E144" s="136" t="s">
        <v>26</v>
      </c>
      <c r="F144" s="129">
        <v>3000</v>
      </c>
      <c r="G144" s="129">
        <v>270</v>
      </c>
      <c r="H144" s="130">
        <v>270</v>
      </c>
      <c r="I144" s="129">
        <v>3540</v>
      </c>
      <c r="J144" s="185" t="s">
        <v>1161</v>
      </c>
      <c r="K144" s="11"/>
      <c r="L144" s="10"/>
      <c r="M144" s="10"/>
      <c r="N144" s="10"/>
      <c r="O144" s="10"/>
      <c r="P144" s="10"/>
      <c r="Q144" s="10"/>
      <c r="R144" s="10"/>
      <c r="S144" s="10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</row>
    <row r="145" spans="1:105" s="12" customFormat="1" ht="15" customHeight="1">
      <c r="A145" s="408">
        <v>46112</v>
      </c>
      <c r="B145" s="131" t="s">
        <v>1177</v>
      </c>
      <c r="C145" s="131" t="s">
        <v>567</v>
      </c>
      <c r="D145" s="131" t="s">
        <v>232</v>
      </c>
      <c r="E145" s="136" t="s">
        <v>26</v>
      </c>
      <c r="F145" s="129">
        <v>3000</v>
      </c>
      <c r="G145" s="129">
        <v>270</v>
      </c>
      <c r="H145" s="130">
        <v>270</v>
      </c>
      <c r="I145" s="129">
        <v>3540</v>
      </c>
      <c r="J145" s="185" t="s">
        <v>1263</v>
      </c>
      <c r="K145" s="11"/>
      <c r="L145" s="10"/>
      <c r="M145" s="10"/>
      <c r="N145" s="10"/>
      <c r="O145" s="10"/>
      <c r="P145" s="10"/>
      <c r="Q145" s="10"/>
      <c r="R145" s="10"/>
      <c r="S145" s="10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</row>
    <row r="146" spans="1:105" ht="15" customHeight="1">
      <c r="I146" s="396">
        <v>8260</v>
      </c>
      <c r="K146" s="11"/>
    </row>
    <row r="147" spans="1:105" s="12" customFormat="1" ht="15" customHeight="1">
      <c r="A147" s="1" t="s">
        <v>0</v>
      </c>
      <c r="B147" s="1" t="s">
        <v>1</v>
      </c>
      <c r="C147" s="1" t="s">
        <v>2</v>
      </c>
      <c r="D147" s="1" t="s">
        <v>4</v>
      </c>
      <c r="E147" s="1" t="s">
        <v>5</v>
      </c>
      <c r="F147" s="1" t="s">
        <v>8</v>
      </c>
      <c r="G147" s="1" t="s">
        <v>9</v>
      </c>
      <c r="H147" s="172" t="s">
        <v>10</v>
      </c>
      <c r="I147" s="1" t="s">
        <v>12</v>
      </c>
      <c r="J147" s="400" t="s">
        <v>17</v>
      </c>
      <c r="K147" s="11"/>
      <c r="L147" s="10"/>
      <c r="M147" s="10"/>
      <c r="N147" s="10"/>
      <c r="O147" s="10"/>
      <c r="P147" s="10"/>
      <c r="Q147" s="10"/>
      <c r="R147" s="10"/>
      <c r="S147" s="10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</row>
    <row r="148" spans="1:105" s="10" customFormat="1" ht="15" customHeight="1">
      <c r="A148" s="92">
        <v>45430</v>
      </c>
      <c r="B148" s="7" t="s">
        <v>304</v>
      </c>
      <c r="C148" s="7" t="s">
        <v>87</v>
      </c>
      <c r="D148" s="7" t="s">
        <v>89</v>
      </c>
      <c r="E148" s="5" t="s">
        <v>26</v>
      </c>
      <c r="F148" s="69">
        <v>18700</v>
      </c>
      <c r="G148" s="69">
        <v>1683</v>
      </c>
      <c r="H148" s="70">
        <v>1683</v>
      </c>
      <c r="I148" s="69">
        <v>22066</v>
      </c>
      <c r="J148" s="406" t="s">
        <v>243</v>
      </c>
      <c r="K148" s="11"/>
    </row>
    <row r="149" spans="1:105" s="10" customFormat="1" ht="15" customHeight="1">
      <c r="A149" s="92">
        <v>1</v>
      </c>
      <c r="B149" s="7" t="s">
        <v>340</v>
      </c>
      <c r="C149" s="7" t="s">
        <v>87</v>
      </c>
      <c r="D149" s="7" t="s">
        <v>89</v>
      </c>
      <c r="E149" s="5" t="s">
        <v>26</v>
      </c>
      <c r="F149" s="69">
        <v>6800</v>
      </c>
      <c r="G149" s="69">
        <v>612</v>
      </c>
      <c r="H149" s="70">
        <v>612</v>
      </c>
      <c r="I149" s="69">
        <v>8024</v>
      </c>
      <c r="J149" s="406" t="s">
        <v>243</v>
      </c>
      <c r="K149" s="11"/>
    </row>
    <row r="150" spans="1:105" ht="15" customHeight="1">
      <c r="I150" s="396">
        <v>30090</v>
      </c>
      <c r="K150" s="11"/>
    </row>
    <row r="151" spans="1:105" s="12" customFormat="1" ht="18" customHeight="1">
      <c r="A151" s="1" t="s">
        <v>0</v>
      </c>
      <c r="B151" s="1" t="s">
        <v>1</v>
      </c>
      <c r="C151" s="1" t="s">
        <v>2</v>
      </c>
      <c r="D151" s="1" t="s">
        <v>4</v>
      </c>
      <c r="E151" s="1" t="s">
        <v>5</v>
      </c>
      <c r="F151" s="1" t="s">
        <v>8</v>
      </c>
      <c r="G151" s="1" t="s">
        <v>9</v>
      </c>
      <c r="H151" s="172" t="s">
        <v>10</v>
      </c>
      <c r="I151" s="1" t="s">
        <v>12</v>
      </c>
      <c r="J151" s="400" t="s">
        <v>17</v>
      </c>
      <c r="K151" s="11"/>
      <c r="L151" s="10"/>
      <c r="M151" s="10"/>
      <c r="N151" s="10"/>
      <c r="O151" s="10"/>
      <c r="P151" s="10"/>
      <c r="Q151" s="10"/>
      <c r="R151" s="10"/>
      <c r="S151" s="10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</row>
    <row r="152" spans="1:105" s="12" customFormat="1" ht="15" customHeight="1">
      <c r="A152" s="408">
        <v>46041</v>
      </c>
      <c r="B152" s="3" t="s">
        <v>1032</v>
      </c>
      <c r="C152" s="131" t="s">
        <v>883</v>
      </c>
      <c r="D152" s="131" t="s">
        <v>89</v>
      </c>
      <c r="E152" s="136" t="s">
        <v>26</v>
      </c>
      <c r="F152" s="129">
        <v>3333</v>
      </c>
      <c r="G152" s="129">
        <v>299.97000000000003</v>
      </c>
      <c r="H152" s="130">
        <v>299.97000000000003</v>
      </c>
      <c r="I152" s="129">
        <v>3932.9400000000005</v>
      </c>
      <c r="J152" s="185" t="s">
        <v>1161</v>
      </c>
      <c r="K152" s="11"/>
      <c r="L152" s="10"/>
      <c r="M152" s="10"/>
      <c r="N152" s="10"/>
      <c r="O152" s="10"/>
      <c r="P152" s="10"/>
      <c r="Q152" s="10"/>
      <c r="R152" s="10"/>
      <c r="S152" s="10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</row>
    <row r="153" spans="1:105" s="12" customFormat="1" ht="15" customHeight="1">
      <c r="A153" s="408">
        <v>46112</v>
      </c>
      <c r="B153" s="131" t="s">
        <v>1178</v>
      </c>
      <c r="C153" s="131" t="s">
        <v>883</v>
      </c>
      <c r="D153" s="131" t="s">
        <v>89</v>
      </c>
      <c r="E153" s="136" t="s">
        <v>26</v>
      </c>
      <c r="F153" s="129">
        <v>1666.5</v>
      </c>
      <c r="G153" s="129">
        <v>149.98500000000001</v>
      </c>
      <c r="H153" s="130">
        <v>149.98500000000001</v>
      </c>
      <c r="I153" s="129">
        <v>1966.4700000000003</v>
      </c>
      <c r="J153" s="185" t="s">
        <v>1263</v>
      </c>
      <c r="K153" s="11"/>
      <c r="L153" s="10"/>
      <c r="M153" s="10"/>
      <c r="N153" s="10"/>
      <c r="O153" s="10"/>
      <c r="P153" s="10"/>
      <c r="Q153" s="10"/>
      <c r="R153" s="10"/>
      <c r="S153" s="10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</row>
    <row r="154" spans="1:105" s="12" customFormat="1" ht="15" customHeight="1">
      <c r="A154" s="408">
        <v>46112</v>
      </c>
      <c r="B154" s="131" t="s">
        <v>1179</v>
      </c>
      <c r="C154" s="131" t="s">
        <v>883</v>
      </c>
      <c r="D154" s="131" t="s">
        <v>89</v>
      </c>
      <c r="E154" s="136" t="s">
        <v>26</v>
      </c>
      <c r="F154" s="129">
        <v>1666.5</v>
      </c>
      <c r="G154" s="129">
        <v>149.98500000000001</v>
      </c>
      <c r="H154" s="130">
        <v>149.98500000000001</v>
      </c>
      <c r="I154" s="129">
        <v>1966.4700000000003</v>
      </c>
      <c r="J154" s="185" t="s">
        <v>1263</v>
      </c>
      <c r="K154" s="11"/>
      <c r="L154" s="10"/>
      <c r="M154" s="10"/>
      <c r="N154" s="10"/>
      <c r="O154" s="10"/>
      <c r="P154" s="10"/>
      <c r="Q154" s="10"/>
      <c r="R154" s="10"/>
      <c r="S154" s="10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</row>
    <row r="155" spans="1:105" s="12" customFormat="1" ht="15" customHeight="1">
      <c r="A155" s="408">
        <v>46112</v>
      </c>
      <c r="B155" s="131" t="s">
        <v>1180</v>
      </c>
      <c r="C155" s="131" t="s">
        <v>883</v>
      </c>
      <c r="D155" s="131" t="s">
        <v>89</v>
      </c>
      <c r="E155" s="136" t="s">
        <v>26</v>
      </c>
      <c r="F155" s="129">
        <v>1666.5</v>
      </c>
      <c r="G155" s="129">
        <v>149.98500000000001</v>
      </c>
      <c r="H155" s="130">
        <v>149.98500000000001</v>
      </c>
      <c r="I155" s="129">
        <v>1966.4700000000003</v>
      </c>
      <c r="J155" s="185" t="s">
        <v>1263</v>
      </c>
      <c r="K155" s="11"/>
      <c r="L155" s="10"/>
      <c r="M155" s="10"/>
      <c r="N155" s="10"/>
      <c r="O155" s="10"/>
      <c r="P155" s="10"/>
      <c r="Q155" s="10"/>
      <c r="R155" s="10"/>
      <c r="S155" s="10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</row>
    <row r="156" spans="1:105" ht="15" customHeight="1">
      <c r="I156" s="396">
        <v>9832</v>
      </c>
      <c r="K156" s="11"/>
    </row>
    <row r="157" spans="1:105" s="12" customFormat="1" ht="19.95" customHeight="1">
      <c r="A157" s="1" t="s">
        <v>0</v>
      </c>
      <c r="B157" s="1" t="s">
        <v>1</v>
      </c>
      <c r="C157" s="1" t="s">
        <v>2</v>
      </c>
      <c r="D157" s="1" t="s">
        <v>4</v>
      </c>
      <c r="E157" s="1" t="s">
        <v>5</v>
      </c>
      <c r="F157" s="1" t="s">
        <v>8</v>
      </c>
      <c r="G157" s="1" t="s">
        <v>9</v>
      </c>
      <c r="H157" s="172" t="s">
        <v>10</v>
      </c>
      <c r="I157" s="1" t="s">
        <v>12</v>
      </c>
      <c r="J157" s="400" t="s">
        <v>17</v>
      </c>
      <c r="K157" s="11"/>
      <c r="L157" s="10"/>
      <c r="M157" s="10"/>
      <c r="N157" s="10"/>
      <c r="O157" s="10"/>
      <c r="P157" s="10"/>
      <c r="Q157" s="10"/>
      <c r="R157" s="10"/>
      <c r="S157" s="10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</row>
    <row r="158" spans="1:105" s="12" customFormat="1" ht="15" customHeight="1">
      <c r="A158" s="408">
        <v>46081</v>
      </c>
      <c r="B158" s="131" t="s">
        <v>1126</v>
      </c>
      <c r="C158" s="131" t="s">
        <v>955</v>
      </c>
      <c r="D158" s="131" t="s">
        <v>67</v>
      </c>
      <c r="E158" s="136" t="s">
        <v>26</v>
      </c>
      <c r="F158" s="129">
        <v>14500</v>
      </c>
      <c r="G158" s="129">
        <v>1305</v>
      </c>
      <c r="H158" s="130">
        <v>1305</v>
      </c>
      <c r="I158" s="129">
        <v>17110</v>
      </c>
      <c r="J158" s="185" t="s">
        <v>1162</v>
      </c>
      <c r="K158" s="11"/>
      <c r="L158" s="10"/>
      <c r="M158" s="10"/>
      <c r="N158" s="10"/>
      <c r="O158" s="10"/>
      <c r="P158" s="10"/>
      <c r="Q158" s="10"/>
      <c r="R158" s="10"/>
      <c r="S158" s="10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</row>
    <row r="159" spans="1:105" s="12" customFormat="1" ht="15" customHeight="1">
      <c r="A159" s="408">
        <v>46112</v>
      </c>
      <c r="B159" s="131" t="s">
        <v>1173</v>
      </c>
      <c r="C159" s="131" t="s">
        <v>955</v>
      </c>
      <c r="D159" s="131" t="s">
        <v>67</v>
      </c>
      <c r="E159" s="136" t="s">
        <v>26</v>
      </c>
      <c r="F159" s="129">
        <v>10000</v>
      </c>
      <c r="G159" s="129">
        <v>900</v>
      </c>
      <c r="H159" s="130">
        <v>900</v>
      </c>
      <c r="I159" s="129">
        <v>11800</v>
      </c>
      <c r="J159" s="185" t="s">
        <v>1263</v>
      </c>
      <c r="K159" s="11"/>
      <c r="L159" s="10"/>
      <c r="M159" s="10"/>
      <c r="N159" s="10"/>
      <c r="O159" s="10"/>
      <c r="P159" s="10"/>
      <c r="Q159" s="10"/>
      <c r="R159" s="10"/>
      <c r="S159" s="10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</row>
    <row r="160" spans="1:105" s="12" customFormat="1" ht="15" customHeight="1">
      <c r="A160" s="408">
        <v>46142</v>
      </c>
      <c r="B160" s="131" t="s">
        <v>1246</v>
      </c>
      <c r="C160" s="131" t="s">
        <v>955</v>
      </c>
      <c r="D160" s="131" t="s">
        <v>67</v>
      </c>
      <c r="E160" s="136" t="s">
        <v>26</v>
      </c>
      <c r="F160" s="129">
        <v>18550</v>
      </c>
      <c r="G160" s="129">
        <v>1669.5</v>
      </c>
      <c r="H160" s="130">
        <v>1669.5</v>
      </c>
      <c r="I160" s="129">
        <v>21889</v>
      </c>
      <c r="J160" s="185" t="s">
        <v>1264</v>
      </c>
      <c r="K160" s="11"/>
      <c r="L160" s="407"/>
      <c r="M160" s="11"/>
      <c r="N160" s="11"/>
      <c r="O160" s="11"/>
      <c r="P160" s="11"/>
      <c r="Q160" s="11"/>
      <c r="R160" s="11"/>
      <c r="S160" s="11"/>
    </row>
    <row r="161" spans="1:105" ht="15" customHeight="1">
      <c r="I161" s="396">
        <v>50799</v>
      </c>
      <c r="K161" s="11"/>
    </row>
    <row r="162" spans="1:105" s="12" customFormat="1" ht="15" customHeight="1">
      <c r="A162" s="1" t="s">
        <v>0</v>
      </c>
      <c r="B162" s="1" t="s">
        <v>1</v>
      </c>
      <c r="C162" s="1" t="s">
        <v>2</v>
      </c>
      <c r="D162" s="1" t="s">
        <v>4</v>
      </c>
      <c r="E162" s="1" t="s">
        <v>5</v>
      </c>
      <c r="F162" s="1" t="s">
        <v>8</v>
      </c>
      <c r="G162" s="1" t="s">
        <v>9</v>
      </c>
      <c r="H162" s="172" t="s">
        <v>10</v>
      </c>
      <c r="I162" s="1" t="s">
        <v>12</v>
      </c>
      <c r="J162" s="400" t="s">
        <v>17</v>
      </c>
      <c r="K162" s="11"/>
      <c r="L162" s="10"/>
      <c r="M162" s="10"/>
      <c r="N162" s="10"/>
      <c r="O162" s="10"/>
      <c r="P162" s="10"/>
      <c r="Q162" s="10"/>
      <c r="R162" s="10"/>
      <c r="S162" s="10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</row>
    <row r="163" spans="1:105" ht="15" customHeight="1">
      <c r="A163" s="2">
        <v>45657</v>
      </c>
      <c r="B163" s="3" t="s">
        <v>498</v>
      </c>
      <c r="C163" s="3" t="s">
        <v>372</v>
      </c>
      <c r="D163" s="3" t="s">
        <v>374</v>
      </c>
      <c r="E163" s="4" t="s">
        <v>26</v>
      </c>
      <c r="F163" s="9">
        <v>1500</v>
      </c>
      <c r="G163" s="9">
        <v>135</v>
      </c>
      <c r="H163" s="41">
        <v>135</v>
      </c>
      <c r="I163" s="9">
        <v>1770</v>
      </c>
      <c r="J163" s="403" t="s">
        <v>385</v>
      </c>
      <c r="K163" s="11"/>
    </row>
    <row r="164" spans="1:105" ht="15" customHeight="1">
      <c r="A164" s="2">
        <v>45688</v>
      </c>
      <c r="B164" s="3" t="s">
        <v>537</v>
      </c>
      <c r="C164" s="3" t="s">
        <v>372</v>
      </c>
      <c r="D164" s="3" t="s">
        <v>374</v>
      </c>
      <c r="E164" s="4" t="s">
        <v>26</v>
      </c>
      <c r="F164" s="9">
        <v>1500</v>
      </c>
      <c r="G164" s="9">
        <v>135</v>
      </c>
      <c r="H164" s="41">
        <v>135</v>
      </c>
      <c r="I164" s="9">
        <v>1770</v>
      </c>
      <c r="J164" s="157" t="s">
        <v>492</v>
      </c>
      <c r="K164" s="11"/>
    </row>
    <row r="165" spans="1:105" ht="15" customHeight="1">
      <c r="A165" s="2">
        <v>45747</v>
      </c>
      <c r="B165" s="3" t="s">
        <v>590</v>
      </c>
      <c r="C165" s="3" t="s">
        <v>372</v>
      </c>
      <c r="D165" s="3" t="s">
        <v>374</v>
      </c>
      <c r="E165" s="4" t="s">
        <v>26</v>
      </c>
      <c r="F165" s="9">
        <v>2500</v>
      </c>
      <c r="G165" s="9">
        <v>225</v>
      </c>
      <c r="H165" s="41">
        <v>225</v>
      </c>
      <c r="I165" s="9">
        <v>2950</v>
      </c>
      <c r="J165" s="157" t="s">
        <v>473</v>
      </c>
      <c r="K165" s="11"/>
    </row>
    <row r="166" spans="1:105" s="12" customFormat="1" ht="15" customHeight="1">
      <c r="A166" s="408">
        <v>46022</v>
      </c>
      <c r="B166" s="3" t="s">
        <v>1005</v>
      </c>
      <c r="C166" s="131" t="s">
        <v>372</v>
      </c>
      <c r="D166" s="131" t="s">
        <v>374</v>
      </c>
      <c r="E166" s="136" t="s">
        <v>26</v>
      </c>
      <c r="F166" s="129">
        <v>1250</v>
      </c>
      <c r="G166" s="167">
        <v>112.5</v>
      </c>
      <c r="H166" s="130">
        <v>112.5</v>
      </c>
      <c r="I166" s="129">
        <v>1475</v>
      </c>
      <c r="J166" s="185" t="s">
        <v>1160</v>
      </c>
      <c r="K166" s="11"/>
      <c r="L166" s="10"/>
      <c r="M166" s="10"/>
      <c r="N166" s="10"/>
      <c r="O166" s="10"/>
      <c r="P166" s="10"/>
      <c r="Q166" s="10"/>
      <c r="R166" s="10"/>
      <c r="S166" s="10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</row>
    <row r="167" spans="1:105" s="12" customFormat="1" ht="15" customHeight="1">
      <c r="A167" s="408">
        <v>46081</v>
      </c>
      <c r="B167" s="131" t="s">
        <v>1125</v>
      </c>
      <c r="C167" s="131" t="s">
        <v>372</v>
      </c>
      <c r="D167" s="131" t="s">
        <v>374</v>
      </c>
      <c r="E167" s="136" t="s">
        <v>26</v>
      </c>
      <c r="F167" s="129">
        <v>2500</v>
      </c>
      <c r="G167" s="129">
        <v>225</v>
      </c>
      <c r="H167" s="130">
        <v>225</v>
      </c>
      <c r="I167" s="129">
        <v>2950</v>
      </c>
      <c r="J167" s="185" t="s">
        <v>1162</v>
      </c>
      <c r="K167" s="11"/>
      <c r="L167" s="10"/>
      <c r="M167" s="10"/>
      <c r="N167" s="10"/>
      <c r="O167" s="10"/>
      <c r="P167" s="10"/>
      <c r="Q167" s="10"/>
      <c r="R167" s="10"/>
      <c r="S167" s="10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</row>
    <row r="168" spans="1:105" s="12" customFormat="1" ht="15" customHeight="1">
      <c r="A168" s="408">
        <v>46112</v>
      </c>
      <c r="B168" s="131" t="s">
        <v>1172</v>
      </c>
      <c r="C168" s="131" t="s">
        <v>372</v>
      </c>
      <c r="D168" s="131" t="s">
        <v>374</v>
      </c>
      <c r="E168" s="136" t="s">
        <v>26</v>
      </c>
      <c r="F168" s="129">
        <v>1250</v>
      </c>
      <c r="G168" s="129">
        <v>112.5</v>
      </c>
      <c r="H168" s="130">
        <v>112.5</v>
      </c>
      <c r="I168" s="129">
        <v>1475</v>
      </c>
      <c r="J168" s="185" t="s">
        <v>1263</v>
      </c>
      <c r="K168" s="11"/>
      <c r="L168" s="10"/>
      <c r="M168" s="10"/>
      <c r="N168" s="10"/>
      <c r="O168" s="10"/>
      <c r="P168" s="10"/>
      <c r="Q168" s="10"/>
      <c r="R168" s="10"/>
      <c r="S168" s="10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</row>
    <row r="169" spans="1:105" ht="15" customHeight="1">
      <c r="I169" s="396">
        <v>12390</v>
      </c>
      <c r="K169" s="11"/>
    </row>
    <row r="170" spans="1:105" s="12" customFormat="1" ht="18" customHeight="1">
      <c r="A170" s="1" t="s">
        <v>0</v>
      </c>
      <c r="B170" s="1" t="s">
        <v>1</v>
      </c>
      <c r="C170" s="1" t="s">
        <v>2</v>
      </c>
      <c r="D170" s="1" t="s">
        <v>4</v>
      </c>
      <c r="E170" s="1" t="s">
        <v>5</v>
      </c>
      <c r="F170" s="1" t="s">
        <v>8</v>
      </c>
      <c r="G170" s="1" t="s">
        <v>9</v>
      </c>
      <c r="H170" s="172" t="s">
        <v>10</v>
      </c>
      <c r="I170" s="1" t="s">
        <v>12</v>
      </c>
      <c r="J170" s="400" t="s">
        <v>17</v>
      </c>
      <c r="K170" s="11"/>
      <c r="L170" s="10"/>
      <c r="M170" s="10"/>
      <c r="N170" s="10"/>
      <c r="O170" s="10"/>
      <c r="P170" s="10"/>
      <c r="Q170" s="10"/>
      <c r="R170" s="10"/>
      <c r="S170" s="1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</row>
    <row r="171" spans="1:105" s="10" customFormat="1" ht="15" customHeight="1">
      <c r="A171" s="92">
        <v>45596</v>
      </c>
      <c r="B171" s="7" t="s">
        <v>280</v>
      </c>
      <c r="C171" s="7" t="s">
        <v>157</v>
      </c>
      <c r="D171" s="7" t="s">
        <v>59</v>
      </c>
      <c r="E171" s="5" t="s">
        <v>26</v>
      </c>
      <c r="F171" s="69">
        <v>8400</v>
      </c>
      <c r="G171" s="69">
        <v>756</v>
      </c>
      <c r="H171" s="70">
        <v>756</v>
      </c>
      <c r="I171" s="69">
        <v>9912</v>
      </c>
      <c r="J171" s="158" t="s">
        <v>431</v>
      </c>
      <c r="K171" s="11"/>
    </row>
    <row r="172" spans="1:105" s="10" customFormat="1" ht="15" customHeight="1">
      <c r="A172" s="92">
        <v>45596</v>
      </c>
      <c r="B172" s="7" t="s">
        <v>432</v>
      </c>
      <c r="C172" s="7" t="s">
        <v>157</v>
      </c>
      <c r="D172" s="7" t="s">
        <v>59</v>
      </c>
      <c r="E172" s="5" t="s">
        <v>26</v>
      </c>
      <c r="F172" s="69">
        <v>12240</v>
      </c>
      <c r="G172" s="69">
        <v>1101.5999999999999</v>
      </c>
      <c r="H172" s="70">
        <v>1101.5999999999999</v>
      </c>
      <c r="I172" s="69">
        <v>14443.2</v>
      </c>
      <c r="J172" s="406" t="s">
        <v>313</v>
      </c>
      <c r="K172" s="11"/>
    </row>
    <row r="173" spans="1:105" s="10" customFormat="1" ht="15" customHeight="1">
      <c r="A173" s="92">
        <v>45626</v>
      </c>
      <c r="B173" s="7" t="s">
        <v>458</v>
      </c>
      <c r="C173" s="7" t="s">
        <v>157</v>
      </c>
      <c r="D173" s="7" t="s">
        <v>59</v>
      </c>
      <c r="E173" s="5" t="s">
        <v>26</v>
      </c>
      <c r="F173" s="69">
        <v>8400</v>
      </c>
      <c r="G173" s="69">
        <v>756</v>
      </c>
      <c r="H173" s="70">
        <v>756</v>
      </c>
      <c r="I173" s="69">
        <v>9912</v>
      </c>
      <c r="J173" s="406" t="s">
        <v>385</v>
      </c>
      <c r="K173" s="11"/>
    </row>
    <row r="174" spans="1:105" s="10" customFormat="1" ht="15" customHeight="1">
      <c r="A174" s="92">
        <v>45747</v>
      </c>
      <c r="B174" s="7" t="s">
        <v>592</v>
      </c>
      <c r="C174" s="84" t="s">
        <v>157</v>
      </c>
      <c r="D174" s="7" t="s">
        <v>67</v>
      </c>
      <c r="E174" s="5" t="s">
        <v>26</v>
      </c>
      <c r="F174" s="69">
        <v>12600</v>
      </c>
      <c r="G174" s="69">
        <v>1134</v>
      </c>
      <c r="H174" s="70">
        <v>1134</v>
      </c>
      <c r="I174" s="69">
        <v>14868</v>
      </c>
      <c r="J174" s="158" t="s">
        <v>473</v>
      </c>
      <c r="K174" s="11"/>
    </row>
    <row r="175" spans="1:105" s="10" customFormat="1" ht="15" customHeight="1">
      <c r="A175" s="412">
        <v>45946</v>
      </c>
      <c r="B175" s="7" t="s">
        <v>857</v>
      </c>
      <c r="C175" s="7" t="s">
        <v>157</v>
      </c>
      <c r="D175" s="122" t="s">
        <v>881</v>
      </c>
      <c r="E175" s="123" t="s">
        <v>26</v>
      </c>
      <c r="F175" s="218">
        <v>6250</v>
      </c>
      <c r="G175" s="218">
        <v>562.5</v>
      </c>
      <c r="H175" s="301">
        <v>562.5</v>
      </c>
      <c r="I175" s="218">
        <v>7375</v>
      </c>
      <c r="J175" s="302" t="s">
        <v>882</v>
      </c>
      <c r="K175" s="11"/>
    </row>
    <row r="176" spans="1:105" ht="15" customHeight="1">
      <c r="I176" s="399">
        <v>56510</v>
      </c>
      <c r="K176" s="11"/>
    </row>
    <row r="177" spans="1:105" s="12" customFormat="1" ht="19.2" customHeight="1">
      <c r="A177" s="1" t="s">
        <v>0</v>
      </c>
      <c r="B177" s="1" t="s">
        <v>1</v>
      </c>
      <c r="C177" s="1" t="s">
        <v>2</v>
      </c>
      <c r="D177" s="1" t="s">
        <v>4</v>
      </c>
      <c r="E177" s="1" t="s">
        <v>5</v>
      </c>
      <c r="F177" s="1" t="s">
        <v>8</v>
      </c>
      <c r="G177" s="1" t="s">
        <v>9</v>
      </c>
      <c r="H177" s="172" t="s">
        <v>10</v>
      </c>
      <c r="I177" s="1" t="s">
        <v>12</v>
      </c>
      <c r="J177" s="400" t="s">
        <v>17</v>
      </c>
      <c r="K177" s="11"/>
      <c r="L177" s="10"/>
      <c r="M177" s="10"/>
      <c r="N177" s="10"/>
      <c r="O177" s="10"/>
      <c r="P177" s="10"/>
      <c r="Q177" s="10"/>
      <c r="R177" s="10"/>
      <c r="S177" s="10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</row>
    <row r="178" spans="1:105" ht="15" customHeight="1">
      <c r="A178" s="408">
        <v>46142</v>
      </c>
      <c r="B178" s="131" t="s">
        <v>1239</v>
      </c>
      <c r="C178" s="131" t="s">
        <v>1187</v>
      </c>
      <c r="D178" s="131" t="s">
        <v>983</v>
      </c>
      <c r="E178" s="136" t="s">
        <v>26</v>
      </c>
      <c r="F178" s="129">
        <v>3500</v>
      </c>
      <c r="G178" s="129">
        <v>315</v>
      </c>
      <c r="H178" s="130">
        <v>315</v>
      </c>
      <c r="I178" s="129">
        <v>4130</v>
      </c>
      <c r="J178" s="185" t="s">
        <v>1264</v>
      </c>
      <c r="K178" s="11"/>
    </row>
    <row r="179" spans="1:105" ht="15" customHeight="1">
      <c r="A179" s="408">
        <v>46142</v>
      </c>
      <c r="B179" s="131" t="s">
        <v>1240</v>
      </c>
      <c r="C179" s="165" t="s">
        <v>1187</v>
      </c>
      <c r="D179" s="165" t="s">
        <v>983</v>
      </c>
      <c r="E179" s="166" t="s">
        <v>26</v>
      </c>
      <c r="F179" s="167">
        <v>3500</v>
      </c>
      <c r="G179" s="167">
        <v>315</v>
      </c>
      <c r="H179" s="168">
        <v>315</v>
      </c>
      <c r="I179" s="129">
        <v>4130</v>
      </c>
      <c r="J179" s="185" t="s">
        <v>1264</v>
      </c>
      <c r="K179" s="11"/>
    </row>
    <row r="180" spans="1:105" ht="15" customHeight="1">
      <c r="I180" s="399">
        <v>8260</v>
      </c>
      <c r="K180" s="11"/>
    </row>
    <row r="181" spans="1:105" s="12" customFormat="1" ht="19.2" customHeight="1">
      <c r="A181" s="1" t="s">
        <v>0</v>
      </c>
      <c r="B181" s="1" t="s">
        <v>1</v>
      </c>
      <c r="C181" s="1" t="s">
        <v>2</v>
      </c>
      <c r="D181" s="1" t="s">
        <v>4</v>
      </c>
      <c r="E181" s="1" t="s">
        <v>5</v>
      </c>
      <c r="F181" s="1" t="s">
        <v>8</v>
      </c>
      <c r="G181" s="1" t="s">
        <v>9</v>
      </c>
      <c r="H181" s="172" t="s">
        <v>10</v>
      </c>
      <c r="I181" s="1" t="s">
        <v>12</v>
      </c>
      <c r="J181" s="400" t="s">
        <v>17</v>
      </c>
      <c r="K181" s="11"/>
      <c r="L181" s="10"/>
      <c r="M181" s="10"/>
      <c r="N181" s="10"/>
      <c r="O181" s="10"/>
      <c r="P181" s="10"/>
      <c r="Q181" s="10"/>
      <c r="R181" s="10"/>
      <c r="S181" s="10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</row>
    <row r="182" spans="1:105" ht="15" customHeight="1">
      <c r="A182" s="2">
        <v>45930</v>
      </c>
      <c r="B182" s="3" t="s">
        <v>832</v>
      </c>
      <c r="C182" s="7" t="s">
        <v>290</v>
      </c>
      <c r="D182" s="3" t="s">
        <v>25</v>
      </c>
      <c r="E182" s="4" t="s">
        <v>26</v>
      </c>
      <c r="F182" s="9">
        <v>3000</v>
      </c>
      <c r="G182" s="9">
        <v>270</v>
      </c>
      <c r="H182" s="41">
        <v>270</v>
      </c>
      <c r="I182" s="9">
        <v>3540</v>
      </c>
      <c r="J182" s="157" t="s">
        <v>879</v>
      </c>
      <c r="K182" s="11"/>
    </row>
    <row r="183" spans="1:105" ht="15" customHeight="1">
      <c r="A183" s="413">
        <v>45961</v>
      </c>
      <c r="B183" s="3" t="s">
        <v>874</v>
      </c>
      <c r="C183" s="7" t="s">
        <v>290</v>
      </c>
      <c r="D183" s="3" t="s">
        <v>25</v>
      </c>
      <c r="E183" s="4" t="s">
        <v>26</v>
      </c>
      <c r="F183" s="124">
        <v>3000</v>
      </c>
      <c r="G183" s="124">
        <v>270</v>
      </c>
      <c r="H183" s="125">
        <v>270</v>
      </c>
      <c r="I183" s="124">
        <v>3540</v>
      </c>
      <c r="J183" s="184" t="s">
        <v>882</v>
      </c>
      <c r="K183" s="11"/>
    </row>
    <row r="184" spans="1:105" s="12" customFormat="1" ht="15" customHeight="1">
      <c r="A184" s="408">
        <v>46112</v>
      </c>
      <c r="B184" s="131" t="s">
        <v>1170</v>
      </c>
      <c r="C184" s="131" t="s">
        <v>290</v>
      </c>
      <c r="D184" s="131" t="s">
        <v>25</v>
      </c>
      <c r="E184" s="136" t="s">
        <v>26</v>
      </c>
      <c r="F184" s="129">
        <v>3000</v>
      </c>
      <c r="G184" s="129">
        <v>270</v>
      </c>
      <c r="H184" s="130">
        <v>270</v>
      </c>
      <c r="I184" s="129">
        <v>3540</v>
      </c>
      <c r="J184" s="185" t="s">
        <v>1263</v>
      </c>
      <c r="K184" s="11"/>
      <c r="L184" s="10"/>
      <c r="M184" s="10"/>
      <c r="N184" s="10"/>
      <c r="O184" s="10"/>
      <c r="P184" s="10"/>
      <c r="Q184" s="10"/>
      <c r="R184" s="10"/>
      <c r="S184" s="10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</row>
    <row r="185" spans="1:105" ht="15" customHeight="1">
      <c r="A185" s="408">
        <v>46142</v>
      </c>
      <c r="B185" s="131" t="s">
        <v>1230</v>
      </c>
      <c r="C185" s="131" t="s">
        <v>290</v>
      </c>
      <c r="D185" s="131" t="s">
        <v>25</v>
      </c>
      <c r="E185" s="136" t="s">
        <v>26</v>
      </c>
      <c r="F185" s="129">
        <v>4500</v>
      </c>
      <c r="G185" s="129">
        <v>405</v>
      </c>
      <c r="H185" s="130">
        <v>405</v>
      </c>
      <c r="I185" s="129">
        <v>5310</v>
      </c>
      <c r="J185" s="185" t="s">
        <v>1264</v>
      </c>
      <c r="K185" s="11"/>
    </row>
    <row r="186" spans="1:105" ht="15" customHeight="1">
      <c r="I186" s="399">
        <v>15930</v>
      </c>
      <c r="K186" s="11"/>
    </row>
    <row r="187" spans="1:105" s="12" customFormat="1" ht="22.95" customHeight="1">
      <c r="A187" s="1" t="s">
        <v>0</v>
      </c>
      <c r="B187" s="1" t="s">
        <v>1</v>
      </c>
      <c r="C187" s="1" t="s">
        <v>2</v>
      </c>
      <c r="D187" s="1" t="s">
        <v>4</v>
      </c>
      <c r="E187" s="1" t="s">
        <v>5</v>
      </c>
      <c r="F187" s="1" t="s">
        <v>8</v>
      </c>
      <c r="G187" s="1" t="s">
        <v>9</v>
      </c>
      <c r="H187" s="172" t="s">
        <v>10</v>
      </c>
      <c r="I187" s="1" t="s">
        <v>12</v>
      </c>
      <c r="J187" s="400" t="s">
        <v>17</v>
      </c>
      <c r="K187" s="11"/>
      <c r="L187" s="10"/>
      <c r="M187" s="10"/>
      <c r="N187" s="10"/>
      <c r="O187" s="10"/>
      <c r="P187" s="10"/>
      <c r="Q187" s="10"/>
      <c r="R187" s="10"/>
      <c r="S187" s="10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</row>
    <row r="188" spans="1:105" s="12" customFormat="1" ht="13.95" customHeight="1">
      <c r="A188" s="408">
        <v>46058</v>
      </c>
      <c r="B188" s="410" t="s">
        <v>1091</v>
      </c>
      <c r="C188" s="131" t="s">
        <v>674</v>
      </c>
      <c r="D188" s="131" t="s">
        <v>676</v>
      </c>
      <c r="E188" s="136" t="s">
        <v>26</v>
      </c>
      <c r="F188" s="129">
        <v>8000</v>
      </c>
      <c r="G188" s="129">
        <v>720</v>
      </c>
      <c r="H188" s="130">
        <v>720</v>
      </c>
      <c r="I188" s="129">
        <v>9440</v>
      </c>
      <c r="J188" s="185" t="s">
        <v>1162</v>
      </c>
      <c r="K188" s="11"/>
      <c r="L188" s="10"/>
      <c r="M188" s="10"/>
      <c r="N188" s="10"/>
      <c r="O188" s="10"/>
      <c r="P188" s="10"/>
      <c r="Q188" s="10"/>
      <c r="R188" s="10"/>
      <c r="S188" s="10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</row>
    <row r="189" spans="1:105" s="12" customFormat="1" ht="13.95" customHeight="1">
      <c r="A189" s="408">
        <v>46058</v>
      </c>
      <c r="B189" s="410" t="s">
        <v>1092</v>
      </c>
      <c r="C189" s="131" t="s">
        <v>674</v>
      </c>
      <c r="D189" s="131" t="s">
        <v>678</v>
      </c>
      <c r="E189" s="136" t="s">
        <v>26</v>
      </c>
      <c r="F189" s="129">
        <v>3850</v>
      </c>
      <c r="G189" s="129">
        <v>346.5</v>
      </c>
      <c r="H189" s="130">
        <v>346.5</v>
      </c>
      <c r="I189" s="129">
        <v>4543</v>
      </c>
      <c r="J189" s="185" t="s">
        <v>1162</v>
      </c>
      <c r="K189" s="11"/>
      <c r="L189" s="10"/>
      <c r="M189" s="10"/>
      <c r="N189" s="10"/>
      <c r="O189" s="10"/>
      <c r="P189" s="10"/>
      <c r="Q189" s="10"/>
      <c r="R189" s="10"/>
      <c r="S189" s="10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</row>
    <row r="190" spans="1:105" s="12" customFormat="1" ht="13.95" customHeight="1">
      <c r="A190" s="408">
        <v>46058</v>
      </c>
      <c r="B190" s="410" t="s">
        <v>1095</v>
      </c>
      <c r="C190" s="131" t="s">
        <v>674</v>
      </c>
      <c r="D190" s="131" t="s">
        <v>956</v>
      </c>
      <c r="E190" s="136" t="s">
        <v>26</v>
      </c>
      <c r="F190" s="129">
        <v>2100</v>
      </c>
      <c r="G190" s="129">
        <v>189</v>
      </c>
      <c r="H190" s="130">
        <v>189</v>
      </c>
      <c r="I190" s="129">
        <v>2478</v>
      </c>
      <c r="J190" s="185" t="s">
        <v>1162</v>
      </c>
      <c r="K190" s="11"/>
      <c r="L190" s="10"/>
      <c r="M190" s="10"/>
      <c r="N190" s="10"/>
      <c r="O190" s="10"/>
      <c r="P190" s="10"/>
      <c r="Q190" s="10"/>
      <c r="R190" s="10"/>
      <c r="S190" s="1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</row>
    <row r="191" spans="1:105" s="12" customFormat="1" ht="13.95" customHeight="1">
      <c r="A191" s="408">
        <v>46058</v>
      </c>
      <c r="B191" s="410" t="s">
        <v>1096</v>
      </c>
      <c r="C191" s="131" t="s">
        <v>674</v>
      </c>
      <c r="D191" s="131" t="s">
        <v>716</v>
      </c>
      <c r="E191" s="136" t="s">
        <v>26</v>
      </c>
      <c r="F191" s="129">
        <v>2000</v>
      </c>
      <c r="G191" s="129">
        <v>180</v>
      </c>
      <c r="H191" s="130">
        <v>180</v>
      </c>
      <c r="I191" s="129">
        <v>2360</v>
      </c>
      <c r="J191" s="185" t="s">
        <v>1162</v>
      </c>
      <c r="K191" s="11"/>
      <c r="L191" s="10"/>
      <c r="M191" s="10"/>
      <c r="N191" s="10"/>
      <c r="O191" s="10"/>
      <c r="P191" s="10"/>
      <c r="Q191" s="10"/>
      <c r="R191" s="10"/>
      <c r="S191" s="10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</row>
    <row r="192" spans="1:105" s="12" customFormat="1" ht="13.95" customHeight="1">
      <c r="A192" s="408">
        <v>46058</v>
      </c>
      <c r="B192" s="410" t="s">
        <v>1097</v>
      </c>
      <c r="C192" s="131" t="s">
        <v>674</v>
      </c>
      <c r="D192" s="131" t="s">
        <v>811</v>
      </c>
      <c r="E192" s="136" t="s">
        <v>26</v>
      </c>
      <c r="F192" s="129">
        <v>11250</v>
      </c>
      <c r="G192" s="129">
        <v>1012.5</v>
      </c>
      <c r="H192" s="130">
        <v>1012.5</v>
      </c>
      <c r="I192" s="129">
        <v>13275</v>
      </c>
      <c r="J192" s="185" t="s">
        <v>1162</v>
      </c>
      <c r="K192" s="11"/>
      <c r="L192" s="10"/>
      <c r="M192" s="10"/>
      <c r="N192" s="10"/>
      <c r="O192" s="10"/>
      <c r="P192" s="10"/>
      <c r="Q192" s="10"/>
      <c r="R192" s="10"/>
      <c r="S192" s="10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</row>
    <row r="193" spans="1:105" s="12" customFormat="1" ht="13.95" customHeight="1">
      <c r="A193" s="408">
        <v>46058</v>
      </c>
      <c r="B193" s="410" t="s">
        <v>1098</v>
      </c>
      <c r="C193" s="131" t="s">
        <v>674</v>
      </c>
      <c r="D193" s="131" t="s">
        <v>813</v>
      </c>
      <c r="E193" s="136" t="s">
        <v>26</v>
      </c>
      <c r="F193" s="129">
        <v>4200</v>
      </c>
      <c r="G193" s="129">
        <v>378</v>
      </c>
      <c r="H193" s="130">
        <v>378</v>
      </c>
      <c r="I193" s="129">
        <v>4956</v>
      </c>
      <c r="J193" s="185" t="s">
        <v>1162</v>
      </c>
      <c r="K193" s="11"/>
      <c r="L193" s="10"/>
      <c r="M193" s="10"/>
      <c r="N193" s="10"/>
      <c r="O193" s="10"/>
      <c r="P193" s="10"/>
      <c r="Q193" s="10"/>
      <c r="R193" s="10"/>
      <c r="S193" s="10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</row>
    <row r="194" spans="1:105" s="12" customFormat="1" ht="13.95" customHeight="1">
      <c r="A194" s="408">
        <v>46058</v>
      </c>
      <c r="B194" s="410" t="s">
        <v>1099</v>
      </c>
      <c r="C194" s="131" t="s">
        <v>674</v>
      </c>
      <c r="D194" s="131" t="s">
        <v>815</v>
      </c>
      <c r="E194" s="136" t="s">
        <v>26</v>
      </c>
      <c r="F194" s="129">
        <v>700</v>
      </c>
      <c r="G194" s="129">
        <v>63</v>
      </c>
      <c r="H194" s="130">
        <v>63</v>
      </c>
      <c r="I194" s="129">
        <v>826</v>
      </c>
      <c r="J194" s="185" t="s">
        <v>1162</v>
      </c>
      <c r="K194" s="11"/>
      <c r="L194" s="10"/>
      <c r="M194" s="10"/>
      <c r="N194" s="10"/>
      <c r="O194" s="10"/>
      <c r="P194" s="10"/>
      <c r="Q194" s="10"/>
      <c r="R194" s="10"/>
      <c r="S194" s="10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</row>
    <row r="195" spans="1:105" s="12" customFormat="1" ht="13.95" customHeight="1">
      <c r="A195" s="408">
        <v>46086</v>
      </c>
      <c r="B195" s="410" t="s">
        <v>1135</v>
      </c>
      <c r="C195" s="131" t="s">
        <v>674</v>
      </c>
      <c r="D195" s="131" t="s">
        <v>676</v>
      </c>
      <c r="E195" s="136" t="s">
        <v>26</v>
      </c>
      <c r="F195" s="129">
        <v>9600</v>
      </c>
      <c r="G195" s="129">
        <v>864</v>
      </c>
      <c r="H195" s="130">
        <v>864</v>
      </c>
      <c r="I195" s="129">
        <v>11328</v>
      </c>
      <c r="J195" s="185" t="s">
        <v>1263</v>
      </c>
      <c r="K195" s="11"/>
      <c r="L195" s="10"/>
      <c r="M195" s="10"/>
      <c r="N195" s="10"/>
      <c r="O195" s="10"/>
      <c r="P195" s="10"/>
      <c r="Q195" s="10"/>
      <c r="R195" s="10"/>
      <c r="S195" s="10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</row>
    <row r="196" spans="1:105" s="12" customFormat="1" ht="13.95" customHeight="1">
      <c r="A196" s="408">
        <v>46086</v>
      </c>
      <c r="B196" s="410" t="s">
        <v>1136</v>
      </c>
      <c r="C196" s="131" t="s">
        <v>674</v>
      </c>
      <c r="D196" s="131" t="s">
        <v>678</v>
      </c>
      <c r="E196" s="136" t="s">
        <v>26</v>
      </c>
      <c r="F196" s="129">
        <v>4900</v>
      </c>
      <c r="G196" s="129">
        <v>441</v>
      </c>
      <c r="H196" s="130">
        <v>441</v>
      </c>
      <c r="I196" s="129">
        <v>5782</v>
      </c>
      <c r="J196" s="185" t="s">
        <v>1263</v>
      </c>
      <c r="K196" s="11"/>
      <c r="L196" s="10"/>
      <c r="M196" s="10"/>
      <c r="N196" s="10"/>
      <c r="O196" s="10"/>
      <c r="P196" s="10"/>
      <c r="Q196" s="10"/>
      <c r="R196" s="10"/>
      <c r="S196" s="10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</row>
    <row r="197" spans="1:105" s="12" customFormat="1" ht="13.95" customHeight="1">
      <c r="A197" s="408">
        <v>46086</v>
      </c>
      <c r="B197" s="410" t="s">
        <v>1138</v>
      </c>
      <c r="C197" s="131" t="s">
        <v>674</v>
      </c>
      <c r="D197" s="131" t="s">
        <v>684</v>
      </c>
      <c r="E197" s="136" t="s">
        <v>26</v>
      </c>
      <c r="F197" s="129">
        <v>3000</v>
      </c>
      <c r="G197" s="129">
        <v>270</v>
      </c>
      <c r="H197" s="130">
        <v>270</v>
      </c>
      <c r="I197" s="129">
        <v>3540</v>
      </c>
      <c r="J197" s="185" t="s">
        <v>1263</v>
      </c>
      <c r="K197" s="11"/>
      <c r="L197" s="10"/>
      <c r="M197" s="10"/>
      <c r="N197" s="10"/>
      <c r="O197" s="10"/>
      <c r="P197" s="10"/>
      <c r="Q197" s="10"/>
      <c r="R197" s="10"/>
      <c r="S197" s="10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</row>
    <row r="198" spans="1:105" s="12" customFormat="1" ht="13.95" customHeight="1">
      <c r="A198" s="408">
        <v>46086</v>
      </c>
      <c r="B198" s="410" t="s">
        <v>1139</v>
      </c>
      <c r="C198" s="131" t="s">
        <v>674</v>
      </c>
      <c r="D198" s="131" t="s">
        <v>956</v>
      </c>
      <c r="E198" s="136" t="s">
        <v>26</v>
      </c>
      <c r="F198" s="129">
        <v>2200</v>
      </c>
      <c r="G198" s="129">
        <v>198</v>
      </c>
      <c r="H198" s="130">
        <v>198</v>
      </c>
      <c r="I198" s="129">
        <v>2596</v>
      </c>
      <c r="J198" s="185" t="s">
        <v>1263</v>
      </c>
      <c r="K198" s="11"/>
      <c r="L198" s="10"/>
      <c r="M198" s="10"/>
      <c r="N198" s="10"/>
      <c r="O198" s="10"/>
      <c r="P198" s="10"/>
      <c r="Q198" s="10"/>
      <c r="R198" s="10"/>
      <c r="S198" s="10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</row>
    <row r="199" spans="1:105" s="12" customFormat="1" ht="13.95" customHeight="1">
      <c r="A199" s="408">
        <v>46086</v>
      </c>
      <c r="B199" s="410" t="s">
        <v>1140</v>
      </c>
      <c r="C199" s="131" t="s">
        <v>674</v>
      </c>
      <c r="D199" s="131" t="s">
        <v>716</v>
      </c>
      <c r="E199" s="136" t="s">
        <v>26</v>
      </c>
      <c r="F199" s="129">
        <v>2800</v>
      </c>
      <c r="G199" s="129">
        <v>252</v>
      </c>
      <c r="H199" s="130">
        <v>252</v>
      </c>
      <c r="I199" s="129">
        <v>3304</v>
      </c>
      <c r="J199" s="185" t="s">
        <v>1263</v>
      </c>
      <c r="K199" s="11"/>
      <c r="L199" s="10"/>
      <c r="M199" s="10"/>
      <c r="N199" s="10"/>
      <c r="O199" s="10"/>
      <c r="P199" s="10"/>
      <c r="Q199" s="10"/>
      <c r="R199" s="10"/>
      <c r="S199" s="10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</row>
    <row r="200" spans="1:105" s="12" customFormat="1" ht="13.95" customHeight="1">
      <c r="A200" s="408">
        <v>46086</v>
      </c>
      <c r="B200" s="410" t="s">
        <v>1141</v>
      </c>
      <c r="C200" s="131" t="s">
        <v>674</v>
      </c>
      <c r="D200" s="131" t="s">
        <v>811</v>
      </c>
      <c r="E200" s="136" t="s">
        <v>26</v>
      </c>
      <c r="F200" s="129">
        <v>9000</v>
      </c>
      <c r="G200" s="129">
        <v>810</v>
      </c>
      <c r="H200" s="130">
        <v>810</v>
      </c>
      <c r="I200" s="129">
        <v>10620</v>
      </c>
      <c r="J200" s="185" t="s">
        <v>1263</v>
      </c>
      <c r="K200" s="11"/>
      <c r="L200" s="10"/>
      <c r="M200" s="10"/>
      <c r="N200" s="10"/>
      <c r="O200" s="10"/>
      <c r="P200" s="10"/>
      <c r="Q200" s="10"/>
      <c r="R200" s="10"/>
      <c r="S200" s="1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</row>
    <row r="201" spans="1:105" s="12" customFormat="1" ht="13.95" customHeight="1">
      <c r="A201" s="408">
        <v>46086</v>
      </c>
      <c r="B201" s="410" t="s">
        <v>1142</v>
      </c>
      <c r="C201" s="131" t="s">
        <v>674</v>
      </c>
      <c r="D201" s="131" t="s">
        <v>813</v>
      </c>
      <c r="E201" s="136" t="s">
        <v>26</v>
      </c>
      <c r="F201" s="129">
        <v>4200</v>
      </c>
      <c r="G201" s="129">
        <v>378</v>
      </c>
      <c r="H201" s="130">
        <v>378</v>
      </c>
      <c r="I201" s="129">
        <v>4956</v>
      </c>
      <c r="J201" s="185" t="s">
        <v>1263</v>
      </c>
      <c r="K201" s="11"/>
      <c r="L201" s="10"/>
      <c r="M201" s="10"/>
      <c r="N201" s="10"/>
      <c r="O201" s="10"/>
      <c r="P201" s="10"/>
      <c r="Q201" s="10"/>
      <c r="R201" s="10"/>
      <c r="S201" s="10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</row>
    <row r="202" spans="1:105" s="12" customFormat="1" ht="13.95" customHeight="1">
      <c r="A202" s="408">
        <v>46086</v>
      </c>
      <c r="B202" s="410" t="s">
        <v>1143</v>
      </c>
      <c r="C202" s="131" t="s">
        <v>674</v>
      </c>
      <c r="D202" s="131" t="s">
        <v>815</v>
      </c>
      <c r="E202" s="136" t="s">
        <v>26</v>
      </c>
      <c r="F202" s="129">
        <v>500</v>
      </c>
      <c r="G202" s="129">
        <v>45</v>
      </c>
      <c r="H202" s="130">
        <v>45</v>
      </c>
      <c r="I202" s="129">
        <v>590</v>
      </c>
      <c r="J202" s="185" t="s">
        <v>1263</v>
      </c>
      <c r="K202" s="11"/>
      <c r="L202" s="10"/>
      <c r="M202" s="10"/>
      <c r="N202" s="10"/>
      <c r="O202" s="10"/>
      <c r="P202" s="10"/>
      <c r="Q202" s="10"/>
      <c r="R202" s="10"/>
      <c r="S202" s="10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</row>
    <row r="203" spans="1:105" s="12" customFormat="1" ht="13.95" customHeight="1">
      <c r="A203" s="408">
        <v>46118</v>
      </c>
      <c r="B203" s="410" t="s">
        <v>1198</v>
      </c>
      <c r="C203" s="131" t="s">
        <v>674</v>
      </c>
      <c r="D203" s="131" t="s">
        <v>676</v>
      </c>
      <c r="E203" s="136" t="s">
        <v>26</v>
      </c>
      <c r="F203" s="129">
        <v>9600</v>
      </c>
      <c r="G203" s="129">
        <v>864</v>
      </c>
      <c r="H203" s="130">
        <v>864</v>
      </c>
      <c r="I203" s="129">
        <v>11328</v>
      </c>
      <c r="J203" s="185" t="s">
        <v>1264</v>
      </c>
      <c r="K203" s="11"/>
      <c r="L203" s="10"/>
      <c r="M203" s="10"/>
      <c r="N203" s="10"/>
      <c r="O203" s="10"/>
      <c r="P203" s="10"/>
      <c r="Q203" s="10"/>
      <c r="R203" s="10"/>
      <c r="S203" s="10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</row>
    <row r="204" spans="1:105" s="12" customFormat="1" ht="13.95" customHeight="1">
      <c r="A204" s="408">
        <v>46118</v>
      </c>
      <c r="B204" s="410" t="s">
        <v>1199</v>
      </c>
      <c r="C204" s="131" t="s">
        <v>674</v>
      </c>
      <c r="D204" s="131" t="s">
        <v>678</v>
      </c>
      <c r="E204" s="136" t="s">
        <v>26</v>
      </c>
      <c r="F204" s="129">
        <v>4900</v>
      </c>
      <c r="G204" s="129">
        <v>441</v>
      </c>
      <c r="H204" s="130">
        <v>441</v>
      </c>
      <c r="I204" s="129">
        <v>5782</v>
      </c>
      <c r="J204" s="185" t="s">
        <v>1264</v>
      </c>
      <c r="K204" s="11"/>
      <c r="L204" s="10"/>
      <c r="M204" s="10"/>
      <c r="N204" s="10"/>
      <c r="O204" s="10"/>
      <c r="P204" s="10"/>
      <c r="Q204" s="10"/>
      <c r="R204" s="10"/>
      <c r="S204" s="10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</row>
    <row r="205" spans="1:105" s="12" customFormat="1" ht="13.95" customHeight="1">
      <c r="A205" s="408">
        <v>46118</v>
      </c>
      <c r="B205" s="410" t="s">
        <v>1200</v>
      </c>
      <c r="C205" s="131" t="s">
        <v>674</v>
      </c>
      <c r="D205" s="131" t="s">
        <v>684</v>
      </c>
      <c r="E205" s="136" t="s">
        <v>26</v>
      </c>
      <c r="F205" s="129">
        <v>2150</v>
      </c>
      <c r="G205" s="129">
        <v>193.5</v>
      </c>
      <c r="H205" s="130">
        <v>193.5</v>
      </c>
      <c r="I205" s="129">
        <v>2537</v>
      </c>
      <c r="J205" s="185" t="s">
        <v>1264</v>
      </c>
      <c r="K205" s="11"/>
      <c r="L205" s="10"/>
      <c r="M205" s="10"/>
      <c r="N205" s="10"/>
      <c r="O205" s="10"/>
      <c r="P205" s="10"/>
      <c r="Q205" s="10"/>
      <c r="R205" s="10"/>
      <c r="S205" s="10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</row>
    <row r="206" spans="1:105" s="12" customFormat="1" ht="13.95" customHeight="1">
      <c r="A206" s="408">
        <v>46118</v>
      </c>
      <c r="B206" s="410" t="s">
        <v>1201</v>
      </c>
      <c r="C206" s="131" t="s">
        <v>674</v>
      </c>
      <c r="D206" s="131" t="s">
        <v>811</v>
      </c>
      <c r="E206" s="136" t="s">
        <v>26</v>
      </c>
      <c r="F206" s="129">
        <v>9000</v>
      </c>
      <c r="G206" s="129">
        <v>810</v>
      </c>
      <c r="H206" s="130">
        <v>810</v>
      </c>
      <c r="I206" s="129">
        <v>10620</v>
      </c>
      <c r="J206" s="185" t="s">
        <v>1264</v>
      </c>
      <c r="K206" s="11"/>
      <c r="L206" s="10"/>
      <c r="M206" s="10"/>
      <c r="N206" s="10"/>
      <c r="O206" s="10"/>
      <c r="P206" s="10"/>
      <c r="Q206" s="10"/>
      <c r="R206" s="10"/>
      <c r="S206" s="10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</row>
    <row r="207" spans="1:105" s="12" customFormat="1" ht="13.95" customHeight="1">
      <c r="A207" s="408">
        <v>46118</v>
      </c>
      <c r="B207" s="410" t="s">
        <v>1202</v>
      </c>
      <c r="C207" s="131" t="s">
        <v>674</v>
      </c>
      <c r="D207" s="131" t="s">
        <v>956</v>
      </c>
      <c r="E207" s="136" t="s">
        <v>26</v>
      </c>
      <c r="F207" s="129">
        <v>2100</v>
      </c>
      <c r="G207" s="129">
        <v>189</v>
      </c>
      <c r="H207" s="130">
        <v>189</v>
      </c>
      <c r="I207" s="129">
        <v>2478</v>
      </c>
      <c r="J207" s="185" t="s">
        <v>1264</v>
      </c>
      <c r="K207" s="11"/>
      <c r="L207" s="10"/>
      <c r="M207" s="10"/>
      <c r="N207" s="10"/>
      <c r="O207" s="10"/>
      <c r="P207" s="10"/>
      <c r="Q207" s="10"/>
      <c r="R207" s="10"/>
      <c r="S207" s="10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</row>
    <row r="208" spans="1:105" s="12" customFormat="1" ht="13.95" customHeight="1">
      <c r="A208" s="408">
        <v>46118</v>
      </c>
      <c r="B208" s="410" t="s">
        <v>1203</v>
      </c>
      <c r="C208" s="131" t="s">
        <v>674</v>
      </c>
      <c r="D208" s="131" t="s">
        <v>815</v>
      </c>
      <c r="E208" s="136" t="s">
        <v>26</v>
      </c>
      <c r="F208" s="129">
        <v>450</v>
      </c>
      <c r="G208" s="129">
        <v>40.5</v>
      </c>
      <c r="H208" s="130">
        <v>40.5</v>
      </c>
      <c r="I208" s="129">
        <v>531</v>
      </c>
      <c r="J208" s="185" t="s">
        <v>1264</v>
      </c>
      <c r="K208" s="11"/>
      <c r="L208" s="10"/>
      <c r="M208" s="10"/>
      <c r="N208" s="10"/>
      <c r="O208" s="10"/>
      <c r="P208" s="10"/>
      <c r="Q208" s="10"/>
      <c r="R208" s="10"/>
      <c r="S208" s="10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</row>
    <row r="209" spans="1:105" s="12" customFormat="1" ht="13.95" customHeight="1">
      <c r="A209" s="408">
        <v>46118</v>
      </c>
      <c r="B209" s="410" t="s">
        <v>1204</v>
      </c>
      <c r="C209" s="131" t="s">
        <v>674</v>
      </c>
      <c r="D209" s="131" t="s">
        <v>813</v>
      </c>
      <c r="E209" s="136" t="s">
        <v>26</v>
      </c>
      <c r="F209" s="129">
        <v>4200</v>
      </c>
      <c r="G209" s="129">
        <v>378</v>
      </c>
      <c r="H209" s="130">
        <v>378</v>
      </c>
      <c r="I209" s="129">
        <v>4956</v>
      </c>
      <c r="J209" s="185" t="s">
        <v>1264</v>
      </c>
      <c r="K209" s="11"/>
      <c r="L209" s="10"/>
      <c r="M209" s="10"/>
      <c r="N209" s="10"/>
      <c r="O209" s="10"/>
      <c r="P209" s="10"/>
      <c r="Q209" s="10"/>
      <c r="R209" s="10"/>
      <c r="S209" s="10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</row>
    <row r="210" spans="1:105" s="12" customFormat="1" ht="13.95" customHeight="1">
      <c r="A210" s="408">
        <v>46118</v>
      </c>
      <c r="B210" s="410" t="s">
        <v>1205</v>
      </c>
      <c r="C210" s="131" t="s">
        <v>674</v>
      </c>
      <c r="D210" s="131" t="s">
        <v>716</v>
      </c>
      <c r="E210" s="136" t="s">
        <v>26</v>
      </c>
      <c r="F210" s="129">
        <v>2800</v>
      </c>
      <c r="G210" s="129">
        <v>252</v>
      </c>
      <c r="H210" s="130">
        <v>252</v>
      </c>
      <c r="I210" s="129">
        <v>3304</v>
      </c>
      <c r="J210" s="185" t="s">
        <v>1264</v>
      </c>
      <c r="K210" s="11"/>
      <c r="L210" s="10"/>
      <c r="M210" s="10"/>
      <c r="N210" s="10"/>
      <c r="O210" s="10"/>
      <c r="P210" s="10"/>
      <c r="Q210" s="10"/>
      <c r="R210" s="10"/>
      <c r="S210" s="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</row>
    <row r="211" spans="1:105" s="12" customFormat="1" ht="13.95" customHeight="1">
      <c r="A211" s="411">
        <v>46147</v>
      </c>
      <c r="B211" s="414" t="s">
        <v>1247</v>
      </c>
      <c r="C211" s="131" t="s">
        <v>674</v>
      </c>
      <c r="D211" s="131" t="s">
        <v>676</v>
      </c>
      <c r="E211" s="136" t="s">
        <v>26</v>
      </c>
      <c r="F211" s="129">
        <v>10200</v>
      </c>
      <c r="G211" s="129">
        <v>918</v>
      </c>
      <c r="H211" s="130">
        <v>918</v>
      </c>
      <c r="I211" s="129">
        <v>12036</v>
      </c>
      <c r="J211" s="185"/>
      <c r="K211" s="11"/>
      <c r="L211" s="407"/>
      <c r="M211" s="11"/>
      <c r="N211" s="11"/>
      <c r="O211" s="11"/>
      <c r="P211" s="11"/>
      <c r="Q211" s="11"/>
      <c r="R211" s="11"/>
      <c r="S211" s="11"/>
    </row>
    <row r="212" spans="1:105" s="12" customFormat="1" ht="13.95" customHeight="1">
      <c r="A212" s="411">
        <v>46147</v>
      </c>
      <c r="B212" s="414" t="s">
        <v>1249</v>
      </c>
      <c r="C212" s="131" t="s">
        <v>674</v>
      </c>
      <c r="D212" s="131" t="s">
        <v>678</v>
      </c>
      <c r="E212" s="136" t="s">
        <v>26</v>
      </c>
      <c r="F212" s="129">
        <v>4900</v>
      </c>
      <c r="G212" s="129">
        <v>441</v>
      </c>
      <c r="H212" s="130">
        <v>441</v>
      </c>
      <c r="I212" s="129">
        <v>5782</v>
      </c>
      <c r="J212" s="185"/>
      <c r="K212" s="11"/>
      <c r="L212" s="407"/>
      <c r="M212" s="11"/>
      <c r="N212" s="11"/>
      <c r="O212" s="11"/>
      <c r="P212" s="11"/>
      <c r="Q212" s="11"/>
      <c r="R212" s="11"/>
      <c r="S212" s="11"/>
    </row>
    <row r="213" spans="1:105" s="12" customFormat="1" ht="13.95" customHeight="1">
      <c r="A213" s="411">
        <v>46147</v>
      </c>
      <c r="B213" s="414" t="s">
        <v>1250</v>
      </c>
      <c r="C213" s="131" t="s">
        <v>674</v>
      </c>
      <c r="D213" s="131" t="s">
        <v>684</v>
      </c>
      <c r="E213" s="136" t="s">
        <v>26</v>
      </c>
      <c r="F213" s="129">
        <v>2400</v>
      </c>
      <c r="G213" s="129">
        <v>216</v>
      </c>
      <c r="H213" s="130">
        <v>216</v>
      </c>
      <c r="I213" s="129">
        <v>2832</v>
      </c>
      <c r="J213" s="185"/>
      <c r="K213" s="11"/>
      <c r="L213" s="407"/>
      <c r="M213" s="11"/>
      <c r="N213" s="11"/>
      <c r="O213" s="11"/>
      <c r="P213" s="11"/>
      <c r="Q213" s="11"/>
      <c r="R213" s="11"/>
      <c r="S213" s="11"/>
    </row>
    <row r="214" spans="1:105" s="12" customFormat="1" ht="13.95" customHeight="1">
      <c r="A214" s="411">
        <v>46147</v>
      </c>
      <c r="B214" s="414" t="s">
        <v>1251</v>
      </c>
      <c r="C214" s="131" t="s">
        <v>674</v>
      </c>
      <c r="D214" s="131" t="s">
        <v>956</v>
      </c>
      <c r="E214" s="136" t="s">
        <v>26</v>
      </c>
      <c r="F214" s="129">
        <v>1800</v>
      </c>
      <c r="G214" s="129">
        <v>162</v>
      </c>
      <c r="H214" s="130">
        <v>162</v>
      </c>
      <c r="I214" s="129">
        <v>2124</v>
      </c>
      <c r="J214" s="185"/>
      <c r="K214" s="11"/>
      <c r="L214" s="407"/>
      <c r="M214" s="11"/>
      <c r="N214" s="11"/>
      <c r="O214" s="11"/>
      <c r="P214" s="11"/>
      <c r="Q214" s="11"/>
      <c r="R214" s="11"/>
      <c r="S214" s="11"/>
    </row>
    <row r="215" spans="1:105" s="12" customFormat="1" ht="13.95" customHeight="1">
      <c r="A215" s="411">
        <v>46147</v>
      </c>
      <c r="B215" s="414" t="s">
        <v>1252</v>
      </c>
      <c r="C215" s="131" t="s">
        <v>674</v>
      </c>
      <c r="D215" s="131" t="s">
        <v>716</v>
      </c>
      <c r="E215" s="136" t="s">
        <v>26</v>
      </c>
      <c r="F215" s="129">
        <v>2150</v>
      </c>
      <c r="G215" s="129">
        <v>193.5</v>
      </c>
      <c r="H215" s="130">
        <v>193.5</v>
      </c>
      <c r="I215" s="129">
        <v>2537</v>
      </c>
      <c r="J215" s="185"/>
      <c r="K215" s="11"/>
      <c r="L215" s="407"/>
      <c r="M215" s="11"/>
      <c r="N215" s="11"/>
      <c r="O215" s="11"/>
      <c r="P215" s="11"/>
      <c r="Q215" s="11"/>
      <c r="R215" s="11"/>
      <c r="S215" s="11"/>
    </row>
    <row r="216" spans="1:105" s="12" customFormat="1" ht="13.95" customHeight="1">
      <c r="A216" s="411">
        <v>46147</v>
      </c>
      <c r="B216" s="414" t="s">
        <v>1253</v>
      </c>
      <c r="C216" s="131" t="s">
        <v>674</v>
      </c>
      <c r="D216" s="131" t="s">
        <v>811</v>
      </c>
      <c r="E216" s="136" t="s">
        <v>26</v>
      </c>
      <c r="F216" s="129">
        <v>7000</v>
      </c>
      <c r="G216" s="129">
        <v>630</v>
      </c>
      <c r="H216" s="130">
        <v>630</v>
      </c>
      <c r="I216" s="129">
        <v>8260</v>
      </c>
      <c r="J216" s="185"/>
      <c r="K216" s="11"/>
      <c r="L216" s="407"/>
      <c r="M216" s="11"/>
      <c r="N216" s="11"/>
      <c r="O216" s="11"/>
      <c r="P216" s="11"/>
      <c r="Q216" s="11"/>
      <c r="R216" s="11"/>
      <c r="S216" s="11"/>
    </row>
    <row r="217" spans="1:105" s="12" customFormat="1" ht="13.95" customHeight="1">
      <c r="A217" s="411">
        <v>46147</v>
      </c>
      <c r="B217" s="414" t="s">
        <v>1254</v>
      </c>
      <c r="C217" s="131" t="s">
        <v>674</v>
      </c>
      <c r="D217" s="131" t="s">
        <v>1265</v>
      </c>
      <c r="E217" s="136" t="s">
        <v>26</v>
      </c>
      <c r="F217" s="129">
        <v>5500</v>
      </c>
      <c r="G217" s="129">
        <v>495</v>
      </c>
      <c r="H217" s="130">
        <v>495</v>
      </c>
      <c r="I217" s="129">
        <v>6490</v>
      </c>
      <c r="J217" s="185"/>
      <c r="K217" s="11"/>
      <c r="L217" s="407"/>
      <c r="M217" s="11"/>
      <c r="N217" s="11"/>
      <c r="O217" s="11"/>
      <c r="P217" s="11"/>
      <c r="Q217" s="11"/>
      <c r="R217" s="11"/>
      <c r="S217" s="11"/>
    </row>
    <row r="218" spans="1:105" s="12" customFormat="1" ht="13.95" customHeight="1">
      <c r="A218" s="411">
        <v>46147</v>
      </c>
      <c r="B218" s="410" t="s">
        <v>1255</v>
      </c>
      <c r="C218" s="131" t="s">
        <v>674</v>
      </c>
      <c r="D218" s="131" t="s">
        <v>956</v>
      </c>
      <c r="E218" s="136" t="s">
        <v>26</v>
      </c>
      <c r="F218" s="129">
        <v>550</v>
      </c>
      <c r="G218" s="129">
        <v>49.5</v>
      </c>
      <c r="H218" s="130">
        <v>49.5</v>
      </c>
      <c r="I218" s="129">
        <v>649</v>
      </c>
      <c r="J218" s="185"/>
      <c r="K218" s="11"/>
      <c r="L218" s="407"/>
      <c r="M218" s="11"/>
      <c r="N218" s="11"/>
      <c r="O218" s="11"/>
      <c r="P218" s="11"/>
      <c r="Q218" s="11"/>
      <c r="R218" s="11"/>
      <c r="S218" s="11"/>
    </row>
    <row r="219" spans="1:105" ht="13.95" customHeight="1">
      <c r="A219" s="416"/>
      <c r="I219" s="396">
        <v>162840</v>
      </c>
      <c r="K219" s="11"/>
    </row>
    <row r="220" spans="1:105" s="12" customFormat="1" ht="21.6" customHeight="1">
      <c r="A220" s="1" t="s">
        <v>0</v>
      </c>
      <c r="B220" s="187" t="s">
        <v>1</v>
      </c>
      <c r="C220" s="1" t="s">
        <v>2</v>
      </c>
      <c r="D220" s="1" t="s">
        <v>4</v>
      </c>
      <c r="E220" s="1" t="s">
        <v>5</v>
      </c>
      <c r="F220" s="1" t="s">
        <v>8</v>
      </c>
      <c r="G220" s="1" t="s">
        <v>9</v>
      </c>
      <c r="H220" s="172" t="s">
        <v>10</v>
      </c>
      <c r="I220" s="1" t="s">
        <v>12</v>
      </c>
      <c r="J220" s="400" t="s">
        <v>17</v>
      </c>
      <c r="K220" s="11"/>
      <c r="L220" s="10"/>
      <c r="M220" s="10"/>
      <c r="N220" s="10"/>
      <c r="O220" s="10"/>
      <c r="P220" s="10"/>
      <c r="Q220" s="10"/>
      <c r="R220" s="10"/>
      <c r="S220" s="1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</row>
    <row r="221" spans="1:105" s="12" customFormat="1" ht="16.95" customHeight="1">
      <c r="A221" s="408">
        <v>46142</v>
      </c>
      <c r="B221" s="410" t="s">
        <v>1241</v>
      </c>
      <c r="C221" s="131" t="s">
        <v>954</v>
      </c>
      <c r="D221" s="131" t="s">
        <v>62</v>
      </c>
      <c r="E221" s="136" t="s">
        <v>37</v>
      </c>
      <c r="F221" s="129">
        <v>20710</v>
      </c>
      <c r="G221" s="129">
        <v>1863.9</v>
      </c>
      <c r="H221" s="130">
        <v>1863.9</v>
      </c>
      <c r="I221" s="129">
        <v>24437.800000000003</v>
      </c>
      <c r="J221" s="185" t="s">
        <v>1264</v>
      </c>
      <c r="K221" s="11"/>
      <c r="L221" s="407"/>
      <c r="M221" s="11"/>
      <c r="N221" s="11"/>
      <c r="O221" s="11"/>
      <c r="P221" s="11"/>
      <c r="Q221" s="11"/>
      <c r="R221" s="11"/>
      <c r="S221" s="11"/>
    </row>
    <row r="222" spans="1:105" ht="16.95" customHeight="1">
      <c r="A222" s="416"/>
      <c r="I222" s="396">
        <v>24437.800000000003</v>
      </c>
      <c r="K222" s="11"/>
    </row>
    <row r="223" spans="1:105" s="12" customFormat="1" ht="21" customHeight="1">
      <c r="A223" s="1" t="s">
        <v>0</v>
      </c>
      <c r="B223" s="187" t="s">
        <v>1</v>
      </c>
      <c r="C223" s="1" t="s">
        <v>2</v>
      </c>
      <c r="D223" s="1" t="s">
        <v>4</v>
      </c>
      <c r="E223" s="1" t="s">
        <v>5</v>
      </c>
      <c r="F223" s="1" t="s">
        <v>8</v>
      </c>
      <c r="G223" s="1" t="s">
        <v>9</v>
      </c>
      <c r="H223" s="172" t="s">
        <v>10</v>
      </c>
      <c r="I223" s="1" t="s">
        <v>12</v>
      </c>
      <c r="J223" s="400" t="s">
        <v>17</v>
      </c>
      <c r="K223" s="11"/>
      <c r="L223" s="10"/>
      <c r="M223" s="10"/>
      <c r="N223" s="10"/>
      <c r="O223" s="10"/>
      <c r="P223" s="10"/>
      <c r="Q223" s="10"/>
      <c r="R223" s="10"/>
      <c r="S223" s="10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</row>
    <row r="224" spans="1:105" s="10" customFormat="1" ht="16.95" customHeight="1">
      <c r="A224" s="92">
        <v>45596</v>
      </c>
      <c r="B224" s="415" t="s">
        <v>280</v>
      </c>
      <c r="C224" s="7" t="s">
        <v>157</v>
      </c>
      <c r="D224" s="7" t="s">
        <v>59</v>
      </c>
      <c r="E224" s="5" t="s">
        <v>26</v>
      </c>
      <c r="F224" s="69">
        <v>8400</v>
      </c>
      <c r="G224" s="69">
        <v>756</v>
      </c>
      <c r="H224" s="70">
        <v>756</v>
      </c>
      <c r="I224" s="69">
        <v>9912</v>
      </c>
      <c r="J224" s="158" t="s">
        <v>431</v>
      </c>
      <c r="K224" s="11"/>
    </row>
    <row r="225" spans="1:105" s="10" customFormat="1" ht="16.95" customHeight="1">
      <c r="A225" s="92">
        <v>45596</v>
      </c>
      <c r="B225" s="415" t="s">
        <v>432</v>
      </c>
      <c r="C225" s="7" t="s">
        <v>157</v>
      </c>
      <c r="D225" s="7" t="s">
        <v>59</v>
      </c>
      <c r="E225" s="5" t="s">
        <v>26</v>
      </c>
      <c r="F225" s="69">
        <v>12240</v>
      </c>
      <c r="G225" s="69">
        <v>1101.5999999999999</v>
      </c>
      <c r="H225" s="70">
        <v>1101.5999999999999</v>
      </c>
      <c r="I225" s="69">
        <v>14443.2</v>
      </c>
      <c r="J225" s="406" t="s">
        <v>313</v>
      </c>
      <c r="K225" s="11"/>
    </row>
    <row r="226" spans="1:105" s="10" customFormat="1" ht="16.95" customHeight="1">
      <c r="A226" s="92">
        <v>45626</v>
      </c>
      <c r="B226" s="415" t="s">
        <v>458</v>
      </c>
      <c r="C226" s="7" t="s">
        <v>157</v>
      </c>
      <c r="D226" s="7" t="s">
        <v>59</v>
      </c>
      <c r="E226" s="5" t="s">
        <v>26</v>
      </c>
      <c r="F226" s="69">
        <v>8400</v>
      </c>
      <c r="G226" s="69">
        <v>756</v>
      </c>
      <c r="H226" s="70">
        <v>756</v>
      </c>
      <c r="I226" s="69">
        <v>9912</v>
      </c>
      <c r="J226" s="406" t="s">
        <v>385</v>
      </c>
      <c r="K226" s="11"/>
    </row>
    <row r="227" spans="1:105" s="10" customFormat="1" ht="16.95" customHeight="1">
      <c r="A227" s="92">
        <v>45747</v>
      </c>
      <c r="B227" s="415" t="s">
        <v>592</v>
      </c>
      <c r="C227" s="84" t="s">
        <v>157</v>
      </c>
      <c r="D227" s="7" t="s">
        <v>67</v>
      </c>
      <c r="E227" s="5" t="s">
        <v>26</v>
      </c>
      <c r="F227" s="69">
        <v>12600</v>
      </c>
      <c r="G227" s="69">
        <v>1134</v>
      </c>
      <c r="H227" s="70">
        <v>1134</v>
      </c>
      <c r="I227" s="69">
        <v>14868</v>
      </c>
      <c r="J227" s="158" t="s">
        <v>473</v>
      </c>
      <c r="K227" s="11"/>
    </row>
    <row r="228" spans="1:105" s="10" customFormat="1" ht="16.95" customHeight="1">
      <c r="A228" s="412">
        <v>45946</v>
      </c>
      <c r="B228" s="415" t="s">
        <v>857</v>
      </c>
      <c r="C228" s="7" t="s">
        <v>157</v>
      </c>
      <c r="D228" s="122" t="s">
        <v>881</v>
      </c>
      <c r="E228" s="123" t="s">
        <v>26</v>
      </c>
      <c r="F228" s="218">
        <v>6250</v>
      </c>
      <c r="G228" s="218">
        <v>562.5</v>
      </c>
      <c r="H228" s="301">
        <v>562.5</v>
      </c>
      <c r="I228" s="218">
        <v>7375</v>
      </c>
      <c r="J228" s="302" t="s">
        <v>882</v>
      </c>
      <c r="K228" s="11"/>
    </row>
    <row r="229" spans="1:105" ht="16.95" customHeight="1">
      <c r="I229" s="399">
        <v>56510</v>
      </c>
      <c r="K229" s="11"/>
    </row>
    <row r="230" spans="1:105" s="12" customFormat="1" ht="21.6" customHeight="1">
      <c r="A230" s="1" t="s">
        <v>0</v>
      </c>
      <c r="B230" s="1" t="s">
        <v>1</v>
      </c>
      <c r="C230" s="1" t="s">
        <v>2</v>
      </c>
      <c r="D230" s="1" t="s">
        <v>4</v>
      </c>
      <c r="E230" s="1" t="s">
        <v>5</v>
      </c>
      <c r="F230" s="1" t="s">
        <v>8</v>
      </c>
      <c r="G230" s="1" t="s">
        <v>9</v>
      </c>
      <c r="H230" s="172" t="s">
        <v>10</v>
      </c>
      <c r="I230" s="1" t="s">
        <v>12</v>
      </c>
      <c r="J230" s="400" t="s">
        <v>17</v>
      </c>
      <c r="K230" s="11"/>
      <c r="L230" s="10"/>
      <c r="M230" s="10"/>
      <c r="N230" s="10"/>
      <c r="O230" s="10"/>
      <c r="P230" s="10"/>
      <c r="Q230" s="10"/>
      <c r="R230" s="10"/>
      <c r="S230" s="1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</row>
    <row r="231" spans="1:105" ht="16.95" customHeight="1">
      <c r="A231" s="408">
        <v>46142</v>
      </c>
      <c r="B231" s="131" t="s">
        <v>1239</v>
      </c>
      <c r="C231" s="131" t="s">
        <v>1187</v>
      </c>
      <c r="D231" s="131" t="s">
        <v>983</v>
      </c>
      <c r="E231" s="136" t="s">
        <v>26</v>
      </c>
      <c r="F231" s="129">
        <v>3500</v>
      </c>
      <c r="G231" s="129">
        <v>315</v>
      </c>
      <c r="H231" s="130">
        <v>315</v>
      </c>
      <c r="I231" s="129">
        <v>4130</v>
      </c>
      <c r="J231" s="185" t="s">
        <v>1264</v>
      </c>
      <c r="K231" s="11"/>
    </row>
    <row r="232" spans="1:105" ht="16.95" customHeight="1">
      <c r="A232" s="408">
        <v>46142</v>
      </c>
      <c r="B232" s="131" t="s">
        <v>1240</v>
      </c>
      <c r="C232" s="165" t="s">
        <v>1187</v>
      </c>
      <c r="D232" s="165" t="s">
        <v>983</v>
      </c>
      <c r="E232" s="166" t="s">
        <v>26</v>
      </c>
      <c r="F232" s="167">
        <v>3500</v>
      </c>
      <c r="G232" s="167">
        <v>315</v>
      </c>
      <c r="H232" s="168">
        <v>315</v>
      </c>
      <c r="I232" s="129">
        <v>4130</v>
      </c>
      <c r="J232" s="185" t="s">
        <v>1264</v>
      </c>
      <c r="K232" s="11"/>
    </row>
    <row r="233" spans="1:105" ht="16.95" customHeight="1">
      <c r="I233" s="396">
        <v>8260</v>
      </c>
      <c r="K233" s="11"/>
    </row>
    <row r="234" spans="1:105" s="12" customFormat="1" ht="21" customHeight="1">
      <c r="A234" s="1" t="s">
        <v>0</v>
      </c>
      <c r="B234" s="1" t="s">
        <v>1</v>
      </c>
      <c r="C234" s="1" t="s">
        <v>2</v>
      </c>
      <c r="D234" s="1" t="s">
        <v>4</v>
      </c>
      <c r="E234" s="1" t="s">
        <v>5</v>
      </c>
      <c r="F234" s="1" t="s">
        <v>8</v>
      </c>
      <c r="G234" s="1" t="s">
        <v>9</v>
      </c>
      <c r="H234" s="172" t="s">
        <v>10</v>
      </c>
      <c r="I234" s="1" t="s">
        <v>12</v>
      </c>
      <c r="J234" s="400" t="s">
        <v>17</v>
      </c>
      <c r="K234" s="11"/>
      <c r="L234" s="10"/>
      <c r="M234" s="10"/>
      <c r="N234" s="10"/>
      <c r="O234" s="10"/>
      <c r="P234" s="10"/>
      <c r="Q234" s="10"/>
      <c r="R234" s="10"/>
      <c r="S234" s="10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</row>
    <row r="235" spans="1:105" ht="16.95" customHeight="1">
      <c r="A235" s="2">
        <v>45930</v>
      </c>
      <c r="B235" s="3" t="s">
        <v>832</v>
      </c>
      <c r="C235" s="7" t="s">
        <v>290</v>
      </c>
      <c r="D235" s="3" t="s">
        <v>25</v>
      </c>
      <c r="E235" s="4" t="s">
        <v>26</v>
      </c>
      <c r="F235" s="9">
        <v>3000</v>
      </c>
      <c r="G235" s="9">
        <v>270</v>
      </c>
      <c r="H235" s="41">
        <v>270</v>
      </c>
      <c r="I235" s="9">
        <v>3540</v>
      </c>
      <c r="J235" s="157" t="s">
        <v>879</v>
      </c>
      <c r="K235" s="11"/>
    </row>
    <row r="236" spans="1:105" ht="16.95" customHeight="1">
      <c r="A236" s="413">
        <v>45961</v>
      </c>
      <c r="B236" s="3" t="s">
        <v>874</v>
      </c>
      <c r="C236" s="7" t="s">
        <v>290</v>
      </c>
      <c r="D236" s="3" t="s">
        <v>25</v>
      </c>
      <c r="E236" s="4" t="s">
        <v>26</v>
      </c>
      <c r="F236" s="124">
        <v>3000</v>
      </c>
      <c r="G236" s="124">
        <v>270</v>
      </c>
      <c r="H236" s="125">
        <v>270</v>
      </c>
      <c r="I236" s="124">
        <v>3540</v>
      </c>
      <c r="J236" s="184" t="s">
        <v>882</v>
      </c>
      <c r="K236" s="11"/>
    </row>
    <row r="237" spans="1:105" s="12" customFormat="1" ht="16.95" customHeight="1">
      <c r="A237" s="408">
        <v>46112</v>
      </c>
      <c r="B237" s="131" t="s">
        <v>1170</v>
      </c>
      <c r="C237" s="131" t="s">
        <v>290</v>
      </c>
      <c r="D237" s="131" t="s">
        <v>25</v>
      </c>
      <c r="E237" s="136" t="s">
        <v>26</v>
      </c>
      <c r="F237" s="129">
        <v>3000</v>
      </c>
      <c r="G237" s="129">
        <v>270</v>
      </c>
      <c r="H237" s="130">
        <v>270</v>
      </c>
      <c r="I237" s="129">
        <v>3540</v>
      </c>
      <c r="J237" s="185" t="s">
        <v>1263</v>
      </c>
      <c r="K237" s="11"/>
      <c r="L237" s="10"/>
      <c r="M237" s="10"/>
      <c r="N237" s="10"/>
      <c r="O237" s="10"/>
      <c r="P237" s="10"/>
      <c r="Q237" s="10"/>
      <c r="R237" s="10"/>
      <c r="S237" s="10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</row>
    <row r="238" spans="1:105" ht="16.95" customHeight="1">
      <c r="A238" s="408">
        <v>46142</v>
      </c>
      <c r="B238" s="131" t="s">
        <v>1230</v>
      </c>
      <c r="C238" s="131" t="s">
        <v>290</v>
      </c>
      <c r="D238" s="131" t="s">
        <v>25</v>
      </c>
      <c r="E238" s="136" t="s">
        <v>26</v>
      </c>
      <c r="F238" s="129">
        <v>4500</v>
      </c>
      <c r="G238" s="129">
        <v>405</v>
      </c>
      <c r="H238" s="130">
        <v>405</v>
      </c>
      <c r="I238" s="129">
        <v>5310</v>
      </c>
      <c r="J238" s="185" t="s">
        <v>1264</v>
      </c>
      <c r="K238" s="11"/>
    </row>
    <row r="239" spans="1:105" ht="16.95" customHeight="1">
      <c r="I239" s="396">
        <v>15930</v>
      </c>
      <c r="K239" s="11"/>
    </row>
    <row r="240" spans="1:105" s="12" customFormat="1" ht="21" customHeight="1">
      <c r="A240" s="1" t="s">
        <v>0</v>
      </c>
      <c r="B240" s="1" t="s">
        <v>1</v>
      </c>
      <c r="C240" s="1" t="s">
        <v>2</v>
      </c>
      <c r="D240" s="1" t="s">
        <v>4</v>
      </c>
      <c r="E240" s="1" t="s">
        <v>5</v>
      </c>
      <c r="F240" s="1" t="s">
        <v>8</v>
      </c>
      <c r="G240" s="1" t="s">
        <v>9</v>
      </c>
      <c r="H240" s="172" t="s">
        <v>10</v>
      </c>
      <c r="I240" s="1" t="s">
        <v>12</v>
      </c>
      <c r="J240" s="400" t="s">
        <v>17</v>
      </c>
      <c r="K240" s="11"/>
      <c r="L240" s="10"/>
      <c r="M240" s="10"/>
      <c r="N240" s="10"/>
      <c r="O240" s="10"/>
      <c r="P240" s="10"/>
      <c r="Q240" s="10"/>
      <c r="R240" s="10"/>
      <c r="S240" s="1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</row>
    <row r="241" spans="1:105" s="12" customFormat="1" ht="16.95" customHeight="1">
      <c r="A241" s="408">
        <v>46049</v>
      </c>
      <c r="B241" s="3" t="s">
        <v>1034</v>
      </c>
      <c r="C241" s="131" t="s">
        <v>1041</v>
      </c>
      <c r="D241" s="131" t="s">
        <v>1025</v>
      </c>
      <c r="E241" s="136" t="s">
        <v>26</v>
      </c>
      <c r="F241" s="129">
        <v>4200</v>
      </c>
      <c r="G241" s="129">
        <v>378</v>
      </c>
      <c r="H241" s="130">
        <v>378</v>
      </c>
      <c r="I241" s="129">
        <v>4956</v>
      </c>
      <c r="J241" s="185" t="s">
        <v>1161</v>
      </c>
      <c r="K241" s="11"/>
      <c r="L241" s="10"/>
      <c r="M241" s="10"/>
      <c r="N241" s="10"/>
      <c r="O241" s="10"/>
      <c r="P241" s="10"/>
      <c r="Q241" s="10"/>
      <c r="R241" s="10"/>
      <c r="S241" s="10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</row>
    <row r="242" spans="1:105" ht="16.95" customHeight="1">
      <c r="I242" s="396">
        <v>4956</v>
      </c>
      <c r="K242" s="11"/>
    </row>
    <row r="243" spans="1:105" s="12" customFormat="1" ht="20.399999999999999" customHeight="1">
      <c r="A243" s="1" t="s">
        <v>0</v>
      </c>
      <c r="B243" s="1" t="s">
        <v>1</v>
      </c>
      <c r="C243" s="1" t="s">
        <v>2</v>
      </c>
      <c r="D243" s="1" t="s">
        <v>4</v>
      </c>
      <c r="E243" s="1" t="s">
        <v>5</v>
      </c>
      <c r="F243" s="1" t="s">
        <v>8</v>
      </c>
      <c r="G243" s="1" t="s">
        <v>9</v>
      </c>
      <c r="H243" s="172" t="s">
        <v>10</v>
      </c>
      <c r="I243" s="1" t="s">
        <v>12</v>
      </c>
      <c r="J243" s="400" t="s">
        <v>17</v>
      </c>
      <c r="K243" s="11"/>
      <c r="L243" s="10"/>
      <c r="M243" s="10"/>
      <c r="N243" s="10"/>
      <c r="O243" s="10"/>
      <c r="P243" s="10"/>
      <c r="Q243" s="10"/>
      <c r="R243" s="10"/>
      <c r="S243" s="10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</row>
    <row r="244" spans="1:105" ht="16.95" customHeight="1">
      <c r="A244" s="2">
        <v>45504</v>
      </c>
      <c r="B244" s="3" t="s">
        <v>357</v>
      </c>
      <c r="C244" s="3" t="s">
        <v>342</v>
      </c>
      <c r="D244" s="3" t="s">
        <v>59</v>
      </c>
      <c r="E244" s="4" t="s">
        <v>26</v>
      </c>
      <c r="F244" s="9">
        <v>1000</v>
      </c>
      <c r="G244" s="9">
        <v>90</v>
      </c>
      <c r="H244" s="41">
        <v>90</v>
      </c>
      <c r="I244" s="9">
        <v>1180</v>
      </c>
      <c r="J244" s="403" t="s">
        <v>311</v>
      </c>
      <c r="K244" s="11"/>
    </row>
    <row r="245" spans="1:105" ht="16.95" customHeight="1">
      <c r="I245" s="397">
        <v>1180</v>
      </c>
      <c r="K245" s="11"/>
    </row>
    <row r="246" spans="1:105" s="12" customFormat="1" ht="20.399999999999999" customHeight="1">
      <c r="A246" s="1" t="s">
        <v>0</v>
      </c>
      <c r="B246" s="1" t="s">
        <v>1</v>
      </c>
      <c r="C246" s="1" t="s">
        <v>2</v>
      </c>
      <c r="D246" s="1" t="s">
        <v>4</v>
      </c>
      <c r="E246" s="1" t="s">
        <v>5</v>
      </c>
      <c r="F246" s="1" t="s">
        <v>8</v>
      </c>
      <c r="G246" s="1" t="s">
        <v>9</v>
      </c>
      <c r="H246" s="172" t="s">
        <v>10</v>
      </c>
      <c r="I246" s="1" t="s">
        <v>12</v>
      </c>
      <c r="J246" s="400" t="s">
        <v>17</v>
      </c>
      <c r="K246" s="11"/>
      <c r="L246" s="10"/>
      <c r="M246" s="10"/>
      <c r="N246" s="10"/>
      <c r="O246" s="10"/>
      <c r="P246" s="10"/>
      <c r="Q246" s="10"/>
      <c r="R246" s="10"/>
      <c r="S246" s="10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</row>
    <row r="247" spans="1:105" s="10" customFormat="1" ht="15" customHeight="1">
      <c r="A247" s="92">
        <v>45596</v>
      </c>
      <c r="B247" s="7" t="s">
        <v>304</v>
      </c>
      <c r="C247" s="7" t="s">
        <v>337</v>
      </c>
      <c r="D247" s="7" t="s">
        <v>339</v>
      </c>
      <c r="E247" s="5" t="s">
        <v>37</v>
      </c>
      <c r="F247" s="69">
        <v>6825</v>
      </c>
      <c r="G247" s="69">
        <v>614.25</v>
      </c>
      <c r="H247" s="70">
        <v>614.25</v>
      </c>
      <c r="I247" s="69">
        <v>8053.5</v>
      </c>
      <c r="J247" s="405" t="s">
        <v>413</v>
      </c>
      <c r="K247" s="11"/>
    </row>
    <row r="248" spans="1:105" s="11" customFormat="1" ht="15" customHeight="1">
      <c r="A248" s="92">
        <v>45626</v>
      </c>
      <c r="B248" s="7" t="s">
        <v>459</v>
      </c>
      <c r="C248" s="7" t="s">
        <v>337</v>
      </c>
      <c r="D248" s="7" t="s">
        <v>339</v>
      </c>
      <c r="E248" s="5" t="s">
        <v>26</v>
      </c>
      <c r="F248" s="69">
        <v>6200</v>
      </c>
      <c r="G248" s="69">
        <v>558</v>
      </c>
      <c r="H248" s="70">
        <v>558</v>
      </c>
      <c r="I248" s="69">
        <v>7316</v>
      </c>
      <c r="J248" s="405" t="s">
        <v>413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</row>
    <row r="249" spans="1:105" s="10" customFormat="1" ht="15" customHeight="1">
      <c r="A249" s="92">
        <v>45747</v>
      </c>
      <c r="B249" s="7" t="s">
        <v>581</v>
      </c>
      <c r="C249" s="84" t="s">
        <v>337</v>
      </c>
      <c r="D249" s="7" t="s">
        <v>59</v>
      </c>
      <c r="E249" s="5" t="s">
        <v>26</v>
      </c>
      <c r="F249" s="69">
        <v>3500</v>
      </c>
      <c r="G249" s="69">
        <v>315</v>
      </c>
      <c r="H249" s="70">
        <v>315</v>
      </c>
      <c r="I249" s="69">
        <v>4130</v>
      </c>
      <c r="J249" s="158" t="s">
        <v>473</v>
      </c>
      <c r="K249" s="11"/>
    </row>
    <row r="250" spans="1:105" s="10" customFormat="1" ht="15" customHeight="1">
      <c r="A250" s="92">
        <v>45777</v>
      </c>
      <c r="B250" s="7" t="s">
        <v>614</v>
      </c>
      <c r="C250" s="7" t="s">
        <v>337</v>
      </c>
      <c r="D250" s="7" t="s">
        <v>59</v>
      </c>
      <c r="E250" s="5" t="s">
        <v>26</v>
      </c>
      <c r="F250" s="69">
        <v>3500</v>
      </c>
      <c r="G250" s="69">
        <v>315</v>
      </c>
      <c r="H250" s="70">
        <v>315</v>
      </c>
      <c r="I250" s="69">
        <v>4130</v>
      </c>
      <c r="J250" s="405" t="s">
        <v>413</v>
      </c>
      <c r="K250" s="11"/>
    </row>
    <row r="251" spans="1:105" s="10" customFormat="1" ht="15" customHeight="1">
      <c r="A251" s="92">
        <v>45808</v>
      </c>
      <c r="B251" s="7" t="s">
        <v>651</v>
      </c>
      <c r="C251" s="7" t="s">
        <v>337</v>
      </c>
      <c r="D251" s="7" t="s">
        <v>59</v>
      </c>
      <c r="E251" s="5" t="s">
        <v>26</v>
      </c>
      <c r="F251" s="69">
        <v>7000</v>
      </c>
      <c r="G251" s="69">
        <v>630</v>
      </c>
      <c r="H251" s="70">
        <v>630</v>
      </c>
      <c r="I251" s="69">
        <v>8260</v>
      </c>
      <c r="J251" s="405" t="s">
        <v>413</v>
      </c>
      <c r="K251" s="11"/>
    </row>
    <row r="252" spans="1:105" s="10" customFormat="1" ht="15" customHeight="1">
      <c r="A252" s="92">
        <v>45813</v>
      </c>
      <c r="B252" s="7" t="s">
        <v>682</v>
      </c>
      <c r="C252" s="7" t="s">
        <v>337</v>
      </c>
      <c r="D252" s="7" t="s">
        <v>339</v>
      </c>
      <c r="E252" s="5" t="s">
        <v>37</v>
      </c>
      <c r="F252" s="69">
        <v>17556</v>
      </c>
      <c r="G252" s="69">
        <v>1580.04</v>
      </c>
      <c r="H252" s="70">
        <v>1580.04</v>
      </c>
      <c r="I252" s="69">
        <v>20716.080000000002</v>
      </c>
      <c r="J252" s="405" t="s">
        <v>413</v>
      </c>
      <c r="K252" s="11"/>
    </row>
    <row r="253" spans="1:105" ht="15" customHeight="1">
      <c r="I253" s="398">
        <v>52605</v>
      </c>
      <c r="K253" s="11"/>
    </row>
    <row r="254" spans="1:105" s="12" customFormat="1" ht="15" customHeight="1">
      <c r="A254" s="1" t="s">
        <v>0</v>
      </c>
      <c r="B254" s="1" t="s">
        <v>1</v>
      </c>
      <c r="C254" s="1" t="s">
        <v>2</v>
      </c>
      <c r="D254" s="1" t="s">
        <v>4</v>
      </c>
      <c r="E254" s="1" t="s">
        <v>5</v>
      </c>
      <c r="F254" s="1" t="s">
        <v>8</v>
      </c>
      <c r="G254" s="1" t="s">
        <v>9</v>
      </c>
      <c r="H254" s="172" t="s">
        <v>10</v>
      </c>
      <c r="I254" s="1" t="s">
        <v>12</v>
      </c>
      <c r="J254" s="400" t="s">
        <v>17</v>
      </c>
      <c r="K254" s="11"/>
      <c r="L254" s="10"/>
      <c r="M254" s="10"/>
      <c r="N254" s="10"/>
      <c r="O254" s="10"/>
      <c r="P254" s="10"/>
      <c r="Q254" s="10"/>
      <c r="R254" s="10"/>
      <c r="S254" s="10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</row>
    <row r="255" spans="1:105" s="10" customFormat="1" ht="15" customHeight="1">
      <c r="A255" s="92">
        <v>45504</v>
      </c>
      <c r="B255" s="7" t="s">
        <v>350</v>
      </c>
      <c r="C255" s="7" t="s">
        <v>234</v>
      </c>
      <c r="D255" s="7" t="s">
        <v>236</v>
      </c>
      <c r="E255" s="5" t="s">
        <v>26</v>
      </c>
      <c r="F255" s="69">
        <v>8570</v>
      </c>
      <c r="G255" s="69">
        <v>771.3</v>
      </c>
      <c r="H255" s="70">
        <v>771.3</v>
      </c>
      <c r="I255" s="69">
        <v>10112.599999999999</v>
      </c>
      <c r="J255" s="406" t="s">
        <v>311</v>
      </c>
      <c r="K255" s="11"/>
    </row>
    <row r="256" spans="1:105" s="10" customFormat="1" ht="15" customHeight="1">
      <c r="A256" s="92">
        <v>45596</v>
      </c>
      <c r="B256" s="7" t="s">
        <v>288</v>
      </c>
      <c r="C256" s="7" t="s">
        <v>234</v>
      </c>
      <c r="D256" s="7" t="s">
        <v>236</v>
      </c>
      <c r="E256" s="5" t="s">
        <v>26</v>
      </c>
      <c r="F256" s="69">
        <v>6000</v>
      </c>
      <c r="G256" s="69">
        <v>540</v>
      </c>
      <c r="H256" s="70">
        <v>540</v>
      </c>
      <c r="I256" s="69">
        <v>7080</v>
      </c>
      <c r="J256" s="406" t="s">
        <v>385</v>
      </c>
      <c r="K256" s="11"/>
    </row>
    <row r="257" spans="1:105" s="10" customFormat="1" ht="15" customHeight="1">
      <c r="A257" s="92">
        <v>45900</v>
      </c>
      <c r="B257" s="7" t="s">
        <v>798</v>
      </c>
      <c r="C257" s="7" t="s">
        <v>234</v>
      </c>
      <c r="D257" s="7" t="s">
        <v>236</v>
      </c>
      <c r="E257" s="5" t="s">
        <v>26</v>
      </c>
      <c r="F257" s="69">
        <v>9400</v>
      </c>
      <c r="G257" s="69">
        <v>846</v>
      </c>
      <c r="H257" s="70">
        <v>846</v>
      </c>
      <c r="I257" s="69">
        <v>11092</v>
      </c>
      <c r="J257" s="158" t="s">
        <v>752</v>
      </c>
      <c r="K257" s="11"/>
    </row>
    <row r="258" spans="1:105" s="10" customFormat="1" ht="15" customHeight="1">
      <c r="A258" s="92">
        <v>45930</v>
      </c>
      <c r="B258" s="7" t="s">
        <v>838</v>
      </c>
      <c r="C258" s="7" t="s">
        <v>234</v>
      </c>
      <c r="D258" s="7" t="s">
        <v>236</v>
      </c>
      <c r="E258" s="5" t="s">
        <v>26</v>
      </c>
      <c r="F258" s="69">
        <v>14100</v>
      </c>
      <c r="G258" s="69">
        <v>1269</v>
      </c>
      <c r="H258" s="70">
        <v>1269</v>
      </c>
      <c r="I258" s="69">
        <v>16638</v>
      </c>
      <c r="J258" s="158" t="s">
        <v>879</v>
      </c>
      <c r="K258" s="11"/>
    </row>
    <row r="259" spans="1:105" ht="15" customHeight="1">
      <c r="I259" s="398">
        <v>44922</v>
      </c>
      <c r="K259" s="11"/>
    </row>
    <row r="260" spans="1:105" s="12" customFormat="1" ht="15" customHeight="1">
      <c r="A260" s="1" t="s">
        <v>0</v>
      </c>
      <c r="B260" s="1" t="s">
        <v>1</v>
      </c>
      <c r="C260" s="1" t="s">
        <v>2</v>
      </c>
      <c r="D260" s="1" t="s">
        <v>4</v>
      </c>
      <c r="E260" s="1" t="s">
        <v>5</v>
      </c>
      <c r="F260" s="1" t="s">
        <v>8</v>
      </c>
      <c r="G260" s="1" t="s">
        <v>9</v>
      </c>
      <c r="H260" s="172" t="s">
        <v>10</v>
      </c>
      <c r="I260" s="1" t="s">
        <v>12</v>
      </c>
      <c r="J260" s="400" t="s">
        <v>17</v>
      </c>
      <c r="K260" s="11"/>
      <c r="L260" s="10"/>
      <c r="M260" s="10"/>
      <c r="N260" s="10"/>
      <c r="O260" s="10"/>
      <c r="P260" s="10"/>
      <c r="Q260" s="10"/>
      <c r="R260" s="10"/>
      <c r="S260" s="1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</row>
    <row r="261" spans="1:105" ht="15" customHeight="1">
      <c r="A261" s="2">
        <v>45882</v>
      </c>
      <c r="B261" s="3" t="s">
        <v>769</v>
      </c>
      <c r="C261" s="3" t="s">
        <v>444</v>
      </c>
      <c r="D261" s="3" t="s">
        <v>89</v>
      </c>
      <c r="E261" s="4" t="s">
        <v>37</v>
      </c>
      <c r="F261" s="9">
        <v>5463.6</v>
      </c>
      <c r="G261" s="9">
        <v>491.72399999999999</v>
      </c>
      <c r="H261" s="41">
        <v>491.72399999999999</v>
      </c>
      <c r="I261" s="9">
        <v>6447.0480000000007</v>
      </c>
      <c r="J261" s="157" t="s">
        <v>752</v>
      </c>
      <c r="K261" s="11"/>
    </row>
    <row r="262" spans="1:105" ht="15" customHeight="1">
      <c r="A262" s="413">
        <v>45961</v>
      </c>
      <c r="B262" s="3" t="s">
        <v>892</v>
      </c>
      <c r="C262" s="163" t="s">
        <v>444</v>
      </c>
      <c r="D262" s="131" t="s">
        <v>25</v>
      </c>
      <c r="E262" s="136" t="s">
        <v>26</v>
      </c>
      <c r="F262" s="129">
        <v>3150</v>
      </c>
      <c r="G262" s="129">
        <v>283.5</v>
      </c>
      <c r="H262" s="130">
        <v>283.5</v>
      </c>
      <c r="I262" s="129">
        <v>3717</v>
      </c>
      <c r="J262" s="184" t="s">
        <v>882</v>
      </c>
      <c r="K262" s="11"/>
    </row>
    <row r="263" spans="1:105" s="12" customFormat="1" ht="15" customHeight="1">
      <c r="A263" s="408">
        <v>46002</v>
      </c>
      <c r="B263" s="165" t="s">
        <v>950</v>
      </c>
      <c r="C263" s="165" t="s">
        <v>444</v>
      </c>
      <c r="D263" s="165" t="s">
        <v>89</v>
      </c>
      <c r="E263" s="166" t="s">
        <v>37</v>
      </c>
      <c r="F263" s="167">
        <v>3570</v>
      </c>
      <c r="G263" s="167">
        <v>321.3</v>
      </c>
      <c r="H263" s="168">
        <v>321.3</v>
      </c>
      <c r="I263" s="129">
        <v>4212.6000000000004</v>
      </c>
      <c r="J263" s="185" t="s">
        <v>1160</v>
      </c>
      <c r="K263" s="11"/>
      <c r="L263" s="10"/>
      <c r="M263" s="10"/>
      <c r="N263" s="10"/>
      <c r="O263" s="10"/>
      <c r="P263" s="10"/>
      <c r="Q263" s="10"/>
      <c r="R263" s="10"/>
      <c r="S263" s="10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</row>
    <row r="264" spans="1:105" s="12" customFormat="1" ht="15" customHeight="1">
      <c r="A264" s="408">
        <v>46027</v>
      </c>
      <c r="B264" s="3" t="s">
        <v>1021</v>
      </c>
      <c r="C264" s="131" t="s">
        <v>444</v>
      </c>
      <c r="D264" s="131" t="s">
        <v>232</v>
      </c>
      <c r="E264" s="136" t="s">
        <v>26</v>
      </c>
      <c r="F264" s="129">
        <v>5850</v>
      </c>
      <c r="G264" s="129">
        <v>526.5</v>
      </c>
      <c r="H264" s="130">
        <v>526.5</v>
      </c>
      <c r="I264" s="129">
        <v>6903</v>
      </c>
      <c r="J264" s="185" t="s">
        <v>1161</v>
      </c>
      <c r="K264" s="11"/>
      <c r="L264" s="10"/>
      <c r="M264" s="10"/>
      <c r="N264" s="10"/>
      <c r="O264" s="10"/>
      <c r="P264" s="10"/>
      <c r="Q264" s="10"/>
      <c r="R264" s="10"/>
      <c r="S264" s="10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</row>
    <row r="265" spans="1:105" s="12" customFormat="1" ht="15" customHeight="1">
      <c r="A265" s="408">
        <v>46112</v>
      </c>
      <c r="B265" s="131" t="s">
        <v>1176</v>
      </c>
      <c r="C265" s="131" t="s">
        <v>444</v>
      </c>
      <c r="D265" s="131" t="s">
        <v>232</v>
      </c>
      <c r="E265" s="136" t="s">
        <v>26</v>
      </c>
      <c r="F265" s="129">
        <v>3750</v>
      </c>
      <c r="G265" s="129">
        <v>337.5</v>
      </c>
      <c r="H265" s="130">
        <v>337.5</v>
      </c>
      <c r="I265" s="129">
        <v>4425</v>
      </c>
      <c r="J265" s="185" t="s">
        <v>1263</v>
      </c>
      <c r="K265" s="11"/>
      <c r="L265" s="10"/>
      <c r="M265" s="10"/>
      <c r="N265" s="10"/>
      <c r="O265" s="10"/>
      <c r="P265" s="10"/>
      <c r="Q265" s="10"/>
      <c r="R265" s="10"/>
      <c r="S265" s="10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</row>
    <row r="266" spans="1:105" ht="15" customHeight="1">
      <c r="A266" s="408">
        <v>46142</v>
      </c>
      <c r="B266" s="131" t="s">
        <v>1233</v>
      </c>
      <c r="C266" s="131" t="s">
        <v>444</v>
      </c>
      <c r="D266" s="131" t="s">
        <v>232</v>
      </c>
      <c r="E266" s="136" t="s">
        <v>26</v>
      </c>
      <c r="F266" s="129">
        <v>3300</v>
      </c>
      <c r="G266" s="129">
        <v>297</v>
      </c>
      <c r="H266" s="130">
        <v>297</v>
      </c>
      <c r="I266" s="129">
        <v>3894</v>
      </c>
      <c r="J266" s="185" t="s">
        <v>1264</v>
      </c>
      <c r="K266" s="11"/>
    </row>
    <row r="267" spans="1:105" ht="15" customHeight="1">
      <c r="I267" s="396">
        <v>29598</v>
      </c>
      <c r="K267" s="11"/>
    </row>
    <row r="268" spans="1:105" s="12" customFormat="1" ht="15" customHeight="1">
      <c r="A268" s="1" t="s">
        <v>0</v>
      </c>
      <c r="B268" s="1" t="s">
        <v>1</v>
      </c>
      <c r="C268" s="1" t="s">
        <v>2</v>
      </c>
      <c r="D268" s="1" t="s">
        <v>4</v>
      </c>
      <c r="E268" s="1" t="s">
        <v>5</v>
      </c>
      <c r="F268" s="1" t="s">
        <v>8</v>
      </c>
      <c r="G268" s="1" t="s">
        <v>9</v>
      </c>
      <c r="H268" s="172" t="s">
        <v>10</v>
      </c>
      <c r="I268" s="1" t="s">
        <v>12</v>
      </c>
      <c r="J268" s="400" t="s">
        <v>17</v>
      </c>
      <c r="K268" s="11"/>
      <c r="L268" s="10"/>
      <c r="M268" s="10"/>
      <c r="N268" s="10"/>
      <c r="O268" s="10"/>
      <c r="P268" s="10"/>
      <c r="Q268" s="10"/>
      <c r="R268" s="10"/>
      <c r="S268" s="10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</row>
    <row r="269" spans="1:105" ht="15" customHeight="1">
      <c r="A269" s="232">
        <v>45678</v>
      </c>
      <c r="B269" s="7" t="s">
        <v>517</v>
      </c>
      <c r="C269" s="3" t="s">
        <v>518</v>
      </c>
      <c r="D269" s="3" t="s">
        <v>520</v>
      </c>
      <c r="E269" s="136" t="s">
        <v>37</v>
      </c>
      <c r="F269" s="129"/>
      <c r="G269" s="129"/>
      <c r="H269" s="130"/>
      <c r="I269" s="129">
        <v>4965</v>
      </c>
      <c r="K269" s="11"/>
    </row>
    <row r="270" spans="1:105" ht="15" customHeight="1">
      <c r="A270" s="232">
        <v>45768</v>
      </c>
      <c r="B270" s="7" t="s">
        <v>611</v>
      </c>
      <c r="C270" s="3" t="s">
        <v>518</v>
      </c>
      <c r="D270" s="3" t="s">
        <v>520</v>
      </c>
      <c r="E270" s="136" t="s">
        <v>37</v>
      </c>
      <c r="F270" s="129"/>
      <c r="G270" s="129"/>
      <c r="H270" s="130"/>
      <c r="I270" s="129">
        <v>2455</v>
      </c>
      <c r="K270" s="11"/>
    </row>
    <row r="271" spans="1:105" s="12" customFormat="1" ht="15" customHeight="1">
      <c r="A271" s="408">
        <v>46155</v>
      </c>
      <c r="B271" s="131" t="s">
        <v>1266</v>
      </c>
      <c r="C271" s="131" t="s">
        <v>518</v>
      </c>
      <c r="D271" s="131" t="s">
        <v>520</v>
      </c>
      <c r="E271" s="136" t="s">
        <v>37</v>
      </c>
      <c r="F271" s="129">
        <v>26432</v>
      </c>
      <c r="G271" s="129">
        <v>2378.88</v>
      </c>
      <c r="H271" s="130">
        <v>2378.88</v>
      </c>
      <c r="I271" s="129">
        <v>31189.760000000002</v>
      </c>
      <c r="J271" s="185"/>
      <c r="K271" s="11"/>
      <c r="L271" s="407"/>
      <c r="M271" s="11"/>
      <c r="N271" s="11"/>
      <c r="O271" s="11"/>
      <c r="P271" s="11"/>
      <c r="Q271" s="11"/>
      <c r="R271" s="11"/>
      <c r="S271" s="11"/>
    </row>
    <row r="272" spans="1:105" ht="15" customHeight="1">
      <c r="I272" s="396">
        <v>38609</v>
      </c>
      <c r="K272" s="11"/>
    </row>
    <row r="273" spans="1:105" s="12" customFormat="1" ht="15" customHeight="1">
      <c r="A273" s="1" t="s">
        <v>0</v>
      </c>
      <c r="B273" s="1" t="s">
        <v>1</v>
      </c>
      <c r="C273" s="1" t="s">
        <v>2</v>
      </c>
      <c r="D273" s="1" t="s">
        <v>4</v>
      </c>
      <c r="E273" s="1" t="s">
        <v>5</v>
      </c>
      <c r="F273" s="1" t="s">
        <v>8</v>
      </c>
      <c r="G273" s="1" t="s">
        <v>9</v>
      </c>
      <c r="H273" s="172" t="s">
        <v>10</v>
      </c>
      <c r="I273" s="1" t="s">
        <v>12</v>
      </c>
      <c r="J273" s="400" t="s">
        <v>17</v>
      </c>
      <c r="K273" s="11"/>
      <c r="L273" s="10"/>
      <c r="M273" s="10"/>
      <c r="N273" s="10"/>
      <c r="O273" s="10"/>
      <c r="P273" s="10"/>
      <c r="Q273" s="10"/>
      <c r="R273" s="10"/>
      <c r="S273" s="10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</row>
    <row r="274" spans="1:105" s="12" customFormat="1" ht="15" customHeight="1">
      <c r="A274" s="408">
        <v>46142</v>
      </c>
      <c r="B274" s="131" t="s">
        <v>1241</v>
      </c>
      <c r="C274" s="131" t="s">
        <v>954</v>
      </c>
      <c r="D274" s="131" t="s">
        <v>62</v>
      </c>
      <c r="E274" s="136" t="s">
        <v>37</v>
      </c>
      <c r="F274" s="129">
        <v>20710</v>
      </c>
      <c r="G274" s="129">
        <v>1863.9</v>
      </c>
      <c r="H274" s="130">
        <v>1863.9</v>
      </c>
      <c r="I274" s="129">
        <v>24437.800000000003</v>
      </c>
      <c r="J274" s="185" t="s">
        <v>1264</v>
      </c>
      <c r="K274" s="11"/>
      <c r="L274" s="407"/>
      <c r="M274" s="11"/>
      <c r="N274" s="11"/>
      <c r="O274" s="11"/>
      <c r="P274" s="11"/>
      <c r="Q274" s="11"/>
      <c r="R274" s="11"/>
      <c r="S274" s="11"/>
    </row>
    <row r="275" spans="1:105" ht="15" customHeight="1">
      <c r="I275" s="396">
        <v>24437.800000000003</v>
      </c>
      <c r="K275" s="11"/>
    </row>
    <row r="276" spans="1:105">
      <c r="K276" s="11"/>
    </row>
  </sheetData>
  <autoFilter ref="C1:C393" xr:uid="{47C74150-2A76-4A14-9F3D-419D5652BDEC}"/>
  <phoneticPr fontId="27" type="noConversion"/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topLeftCell="A11" workbookViewId="0">
      <selection activeCell="E43" sqref="E43"/>
    </sheetView>
  </sheetViews>
  <sheetFormatPr defaultColWidth="9" defaultRowHeight="14.4"/>
  <cols>
    <col min="1" max="1" width="12" customWidth="1"/>
    <col min="2" max="2" width="14" customWidth="1"/>
    <col min="3" max="3" width="27.88671875" customWidth="1"/>
    <col min="4" max="4" width="20.6640625" customWidth="1"/>
    <col min="5" max="5" width="12.88671875" customWidth="1"/>
    <col min="13" max="13" width="14.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45901</v>
      </c>
      <c r="B2" s="3" t="s">
        <v>799</v>
      </c>
      <c r="C2" s="3" t="s">
        <v>800</v>
      </c>
      <c r="D2" s="3" t="s">
        <v>801</v>
      </c>
      <c r="E2" s="3" t="s">
        <v>59</v>
      </c>
      <c r="F2" s="4" t="s">
        <v>26</v>
      </c>
      <c r="G2" s="4">
        <v>998531</v>
      </c>
      <c r="H2" s="6">
        <v>0.18</v>
      </c>
      <c r="I2" s="9">
        <v>11016.94</v>
      </c>
      <c r="J2" s="9">
        <f t="shared" ref="J2:J37" si="0">I2*9/100</f>
        <v>991.52460000000008</v>
      </c>
      <c r="K2" s="9">
        <f t="shared" ref="K2:K37" si="1">I2*9/100</f>
        <v>991.52460000000008</v>
      </c>
      <c r="L2" s="9"/>
      <c r="M2" s="9">
        <f>SUM(I2:K2)</f>
        <v>12999.989200000002</v>
      </c>
    </row>
    <row r="3" spans="1:13">
      <c r="A3" s="2">
        <v>45901</v>
      </c>
      <c r="B3" s="3" t="s">
        <v>802</v>
      </c>
      <c r="C3" s="3" t="s">
        <v>595</v>
      </c>
      <c r="D3" s="3" t="s">
        <v>596</v>
      </c>
      <c r="E3" s="3" t="s">
        <v>629</v>
      </c>
      <c r="F3" s="4" t="s">
        <v>26</v>
      </c>
      <c r="G3" s="4">
        <v>998531</v>
      </c>
      <c r="H3" s="6">
        <v>0.18</v>
      </c>
      <c r="I3" s="9">
        <v>16000</v>
      </c>
      <c r="J3" s="9">
        <f t="shared" si="0"/>
        <v>1440</v>
      </c>
      <c r="K3" s="9">
        <f t="shared" si="1"/>
        <v>1440</v>
      </c>
      <c r="L3" s="9"/>
      <c r="M3" s="9">
        <f t="shared" ref="M3:M37" si="2">SUM(I3:K3)</f>
        <v>18880</v>
      </c>
    </row>
    <row r="4" spans="1:13">
      <c r="A4" s="2">
        <v>45901</v>
      </c>
      <c r="B4" s="3" t="s">
        <v>803</v>
      </c>
      <c r="C4" s="3" t="s">
        <v>173</v>
      </c>
      <c r="D4" s="3" t="s">
        <v>174</v>
      </c>
      <c r="E4" s="3" t="s">
        <v>62</v>
      </c>
      <c r="F4" s="4" t="s">
        <v>26</v>
      </c>
      <c r="G4" s="4">
        <v>998531</v>
      </c>
      <c r="H4" s="6">
        <v>0.18</v>
      </c>
      <c r="I4" s="9">
        <v>8800</v>
      </c>
      <c r="J4" s="9">
        <f t="shared" si="0"/>
        <v>792</v>
      </c>
      <c r="K4" s="9">
        <f t="shared" si="1"/>
        <v>792</v>
      </c>
      <c r="L4" s="9"/>
      <c r="M4" s="9">
        <f t="shared" si="2"/>
        <v>10384</v>
      </c>
    </row>
    <row r="5" spans="1:13">
      <c r="A5" s="2">
        <v>45905</v>
      </c>
      <c r="B5" s="3" t="s">
        <v>804</v>
      </c>
      <c r="C5" s="3" t="s">
        <v>674</v>
      </c>
      <c r="D5" s="3" t="s">
        <v>675</v>
      </c>
      <c r="E5" s="3" t="s">
        <v>676</v>
      </c>
      <c r="F5" s="4" t="s">
        <v>26</v>
      </c>
      <c r="G5" s="4">
        <v>998531</v>
      </c>
      <c r="H5" s="6">
        <v>0.18</v>
      </c>
      <c r="I5" s="9">
        <v>7400</v>
      </c>
      <c r="J5" s="9">
        <f t="shared" si="0"/>
        <v>666</v>
      </c>
      <c r="K5" s="9">
        <f t="shared" si="1"/>
        <v>666</v>
      </c>
      <c r="L5" s="9"/>
      <c r="M5" s="9">
        <f t="shared" si="2"/>
        <v>8732</v>
      </c>
    </row>
    <row r="6" spans="1:13">
      <c r="A6" s="2">
        <v>45905</v>
      </c>
      <c r="B6" s="3" t="s">
        <v>805</v>
      </c>
      <c r="C6" s="3" t="s">
        <v>674</v>
      </c>
      <c r="D6" s="3" t="s">
        <v>675</v>
      </c>
      <c r="E6" s="3" t="s">
        <v>678</v>
      </c>
      <c r="F6" s="4" t="s">
        <v>26</v>
      </c>
      <c r="G6" s="4">
        <v>998531</v>
      </c>
      <c r="H6" s="6">
        <v>0.18</v>
      </c>
      <c r="I6" s="9">
        <v>3000</v>
      </c>
      <c r="J6" s="9">
        <f t="shared" si="0"/>
        <v>270</v>
      </c>
      <c r="K6" s="9">
        <f t="shared" si="1"/>
        <v>270</v>
      </c>
      <c r="L6" s="9"/>
      <c r="M6" s="9">
        <f t="shared" si="2"/>
        <v>3540</v>
      </c>
    </row>
    <row r="7" spans="1:13">
      <c r="A7" s="2">
        <v>45905</v>
      </c>
      <c r="B7" s="3" t="s">
        <v>806</v>
      </c>
      <c r="C7" s="3" t="s">
        <v>674</v>
      </c>
      <c r="D7" s="3" t="s">
        <v>675</v>
      </c>
      <c r="E7" s="3" t="s">
        <v>680</v>
      </c>
      <c r="F7" s="4" t="s">
        <v>26</v>
      </c>
      <c r="G7" s="4">
        <v>998531</v>
      </c>
      <c r="H7" s="6">
        <v>0.18</v>
      </c>
      <c r="I7" s="9">
        <v>5200</v>
      </c>
      <c r="J7" s="9">
        <f t="shared" si="0"/>
        <v>468</v>
      </c>
      <c r="K7" s="9">
        <f t="shared" si="1"/>
        <v>468</v>
      </c>
      <c r="L7" s="9"/>
      <c r="M7" s="9">
        <f t="shared" si="2"/>
        <v>6136</v>
      </c>
    </row>
    <row r="8" spans="1:13">
      <c r="A8" s="2">
        <v>45905</v>
      </c>
      <c r="B8" s="3" t="s">
        <v>807</v>
      </c>
      <c r="C8" s="3" t="s">
        <v>674</v>
      </c>
      <c r="D8" s="3" t="s">
        <v>675</v>
      </c>
      <c r="E8" s="3" t="s">
        <v>684</v>
      </c>
      <c r="F8" s="4" t="s">
        <v>26</v>
      </c>
      <c r="G8" s="4">
        <v>998531</v>
      </c>
      <c r="H8" s="6">
        <v>0.18</v>
      </c>
      <c r="I8" s="9">
        <v>2650</v>
      </c>
      <c r="J8" s="9">
        <f t="shared" si="0"/>
        <v>238.5</v>
      </c>
      <c r="K8" s="9">
        <f t="shared" si="1"/>
        <v>238.5</v>
      </c>
      <c r="L8" s="9"/>
      <c r="M8" s="9">
        <f t="shared" si="2"/>
        <v>3127</v>
      </c>
    </row>
    <row r="9" spans="1:13">
      <c r="A9" s="2">
        <v>45905</v>
      </c>
      <c r="B9" s="3" t="s">
        <v>808</v>
      </c>
      <c r="C9" s="3" t="s">
        <v>674</v>
      </c>
      <c r="D9" s="3" t="s">
        <v>675</v>
      </c>
      <c r="E9" s="3" t="s">
        <v>714</v>
      </c>
      <c r="F9" s="4" t="s">
        <v>26</v>
      </c>
      <c r="G9" s="4">
        <v>998531</v>
      </c>
      <c r="H9" s="6">
        <v>0.18</v>
      </c>
      <c r="I9" s="9">
        <v>2250</v>
      </c>
      <c r="J9" s="9">
        <f t="shared" si="0"/>
        <v>202.5</v>
      </c>
      <c r="K9" s="9">
        <f t="shared" si="1"/>
        <v>202.5</v>
      </c>
      <c r="L9" s="9"/>
      <c r="M9" s="9">
        <f t="shared" si="2"/>
        <v>2655</v>
      </c>
    </row>
    <row r="10" spans="1:13">
      <c r="A10" s="2">
        <v>45905</v>
      </c>
      <c r="B10" s="3" t="s">
        <v>809</v>
      </c>
      <c r="C10" s="3" t="s">
        <v>674</v>
      </c>
      <c r="D10" s="3" t="s">
        <v>675</v>
      </c>
      <c r="E10" s="3" t="s">
        <v>716</v>
      </c>
      <c r="F10" s="4" t="s">
        <v>26</v>
      </c>
      <c r="G10" s="4">
        <v>998531</v>
      </c>
      <c r="H10" s="6">
        <v>0.18</v>
      </c>
      <c r="I10" s="9">
        <v>2350</v>
      </c>
      <c r="J10" s="9">
        <f t="shared" si="0"/>
        <v>211.5</v>
      </c>
      <c r="K10" s="9">
        <f t="shared" si="1"/>
        <v>211.5</v>
      </c>
      <c r="L10" s="9"/>
      <c r="M10" s="9">
        <f t="shared" si="2"/>
        <v>2773</v>
      </c>
    </row>
    <row r="11" spans="1:13">
      <c r="A11" s="2">
        <v>45905</v>
      </c>
      <c r="B11" s="3" t="s">
        <v>810</v>
      </c>
      <c r="C11" s="3" t="s">
        <v>674</v>
      </c>
      <c r="D11" s="3" t="s">
        <v>675</v>
      </c>
      <c r="E11" s="3" t="s">
        <v>811</v>
      </c>
      <c r="F11" s="4" t="s">
        <v>26</v>
      </c>
      <c r="G11" s="4">
        <v>998531</v>
      </c>
      <c r="H11" s="6">
        <v>0.18</v>
      </c>
      <c r="I11" s="9">
        <v>11400</v>
      </c>
      <c r="J11" s="9">
        <f t="shared" si="0"/>
        <v>1026</v>
      </c>
      <c r="K11" s="9">
        <f t="shared" si="1"/>
        <v>1026</v>
      </c>
      <c r="L11" s="9"/>
      <c r="M11" s="9">
        <f t="shared" si="2"/>
        <v>13452</v>
      </c>
    </row>
    <row r="12" spans="1:13">
      <c r="A12" s="2">
        <v>45905</v>
      </c>
      <c r="B12" s="3" t="s">
        <v>812</v>
      </c>
      <c r="C12" s="3" t="s">
        <v>674</v>
      </c>
      <c r="D12" s="3" t="s">
        <v>675</v>
      </c>
      <c r="E12" s="3" t="s">
        <v>813</v>
      </c>
      <c r="F12" s="4" t="s">
        <v>26</v>
      </c>
      <c r="G12" s="4">
        <v>998531</v>
      </c>
      <c r="H12" s="6">
        <v>0.18</v>
      </c>
      <c r="I12" s="9">
        <v>6300</v>
      </c>
      <c r="J12" s="9">
        <f t="shared" si="0"/>
        <v>567</v>
      </c>
      <c r="K12" s="9">
        <f t="shared" si="1"/>
        <v>567</v>
      </c>
      <c r="L12" s="9"/>
      <c r="M12" s="9">
        <f t="shared" si="2"/>
        <v>7434</v>
      </c>
    </row>
    <row r="13" spans="1:13">
      <c r="A13" s="2">
        <v>45905</v>
      </c>
      <c r="B13" s="3" t="s">
        <v>814</v>
      </c>
      <c r="C13" s="3" t="s">
        <v>674</v>
      </c>
      <c r="D13" s="3" t="s">
        <v>675</v>
      </c>
      <c r="E13" s="3" t="s">
        <v>815</v>
      </c>
      <c r="F13" s="4" t="s">
        <v>26</v>
      </c>
      <c r="G13" s="4">
        <v>998531</v>
      </c>
      <c r="H13" s="6">
        <v>0.18</v>
      </c>
      <c r="I13" s="9">
        <v>1100</v>
      </c>
      <c r="J13" s="9">
        <f t="shared" si="0"/>
        <v>99</v>
      </c>
      <c r="K13" s="9">
        <f t="shared" si="1"/>
        <v>99</v>
      </c>
      <c r="L13" s="41"/>
      <c r="M13" s="9">
        <f t="shared" si="2"/>
        <v>1298</v>
      </c>
    </row>
    <row r="14" spans="1:13">
      <c r="A14" s="2">
        <v>45925</v>
      </c>
      <c r="B14" s="3" t="s">
        <v>816</v>
      </c>
      <c r="C14" s="3" t="s">
        <v>637</v>
      </c>
      <c r="D14" s="3" t="s">
        <v>638</v>
      </c>
      <c r="E14" s="3" t="s">
        <v>629</v>
      </c>
      <c r="F14" s="4" t="s">
        <v>26</v>
      </c>
      <c r="G14" s="8">
        <v>998531</v>
      </c>
      <c r="H14" s="6">
        <v>0.18</v>
      </c>
      <c r="I14" s="9">
        <v>12400</v>
      </c>
      <c r="J14" s="9">
        <f t="shared" si="0"/>
        <v>1116</v>
      </c>
      <c r="K14" s="9">
        <f t="shared" si="1"/>
        <v>1116</v>
      </c>
      <c r="L14" s="9"/>
      <c r="M14" s="9">
        <f t="shared" si="2"/>
        <v>14632</v>
      </c>
    </row>
    <row r="15" spans="1:13" s="10" customFormat="1">
      <c r="A15" s="92">
        <v>45925</v>
      </c>
      <c r="B15" s="7" t="s">
        <v>817</v>
      </c>
      <c r="C15" s="7" t="s">
        <v>42</v>
      </c>
      <c r="D15" s="7" t="s">
        <v>730</v>
      </c>
      <c r="E15" s="7" t="s">
        <v>632</v>
      </c>
      <c r="F15" s="5" t="s">
        <v>26</v>
      </c>
      <c r="G15" s="5">
        <v>998531</v>
      </c>
      <c r="H15" s="6">
        <v>0.18</v>
      </c>
      <c r="I15" s="69">
        <v>16030</v>
      </c>
      <c r="J15" s="69">
        <f t="shared" si="0"/>
        <v>1442.7</v>
      </c>
      <c r="K15" s="69">
        <f t="shared" si="1"/>
        <v>1442.7</v>
      </c>
      <c r="L15" s="69"/>
      <c r="M15" s="69">
        <f t="shared" si="2"/>
        <v>18915.400000000001</v>
      </c>
    </row>
    <row r="16" spans="1:13" s="10" customFormat="1">
      <c r="A16" s="92">
        <v>45925</v>
      </c>
      <c r="B16" s="7" t="s">
        <v>818</v>
      </c>
      <c r="C16" s="7" t="s">
        <v>42</v>
      </c>
      <c r="D16" s="7" t="s">
        <v>730</v>
      </c>
      <c r="E16" s="7" t="s">
        <v>101</v>
      </c>
      <c r="F16" s="5" t="s">
        <v>26</v>
      </c>
      <c r="G16" s="5">
        <v>998531</v>
      </c>
      <c r="H16" s="6">
        <v>0.18</v>
      </c>
      <c r="I16" s="69">
        <v>5050</v>
      </c>
      <c r="J16" s="69">
        <f t="shared" si="0"/>
        <v>454.5</v>
      </c>
      <c r="K16" s="69">
        <f t="shared" si="1"/>
        <v>454.5</v>
      </c>
      <c r="L16" s="69"/>
      <c r="M16" s="69">
        <f t="shared" si="2"/>
        <v>5959</v>
      </c>
    </row>
    <row r="17" spans="1:13">
      <c r="A17" s="2">
        <v>45925</v>
      </c>
      <c r="B17" s="3" t="s">
        <v>819</v>
      </c>
      <c r="C17" s="3" t="s">
        <v>42</v>
      </c>
      <c r="D17" s="3" t="s">
        <v>730</v>
      </c>
      <c r="E17" s="3" t="s">
        <v>44</v>
      </c>
      <c r="F17" s="4" t="s">
        <v>26</v>
      </c>
      <c r="G17" s="4">
        <v>998531</v>
      </c>
      <c r="H17" s="6">
        <v>0.18</v>
      </c>
      <c r="I17" s="9">
        <v>15400</v>
      </c>
      <c r="J17" s="9">
        <f t="shared" si="0"/>
        <v>1386</v>
      </c>
      <c r="K17" s="9">
        <f t="shared" si="1"/>
        <v>1386</v>
      </c>
      <c r="L17" s="9"/>
      <c r="M17" s="9">
        <f t="shared" si="2"/>
        <v>18172</v>
      </c>
    </row>
    <row r="18" spans="1:13">
      <c r="A18" s="2">
        <v>45925</v>
      </c>
      <c r="B18" s="3" t="s">
        <v>820</v>
      </c>
      <c r="C18" s="3" t="s">
        <v>42</v>
      </c>
      <c r="D18" s="3" t="s">
        <v>730</v>
      </c>
      <c r="E18" s="3" t="s">
        <v>163</v>
      </c>
      <c r="F18" s="4" t="s">
        <v>26</v>
      </c>
      <c r="G18" s="4">
        <v>998531</v>
      </c>
      <c r="H18" s="6">
        <v>0.18</v>
      </c>
      <c r="I18" s="9">
        <v>20550</v>
      </c>
      <c r="J18" s="9">
        <f t="shared" si="0"/>
        <v>1849.5</v>
      </c>
      <c r="K18" s="9">
        <f t="shared" si="1"/>
        <v>1849.5</v>
      </c>
      <c r="L18" s="9"/>
      <c r="M18" s="9">
        <f t="shared" si="2"/>
        <v>24249</v>
      </c>
    </row>
    <row r="19" spans="1:13">
      <c r="A19" s="2">
        <v>45930</v>
      </c>
      <c r="B19" s="3" t="s">
        <v>821</v>
      </c>
      <c r="C19" s="3" t="s">
        <v>319</v>
      </c>
      <c r="D19" s="3" t="s">
        <v>320</v>
      </c>
      <c r="E19" s="3" t="s">
        <v>85</v>
      </c>
      <c r="F19" s="4" t="s">
        <v>26</v>
      </c>
      <c r="G19" s="4">
        <v>998531</v>
      </c>
      <c r="H19" s="6">
        <v>0.18</v>
      </c>
      <c r="I19" s="9">
        <v>18300</v>
      </c>
      <c r="J19" s="9">
        <f t="shared" si="0"/>
        <v>1647</v>
      </c>
      <c r="K19" s="9">
        <f t="shared" si="1"/>
        <v>1647</v>
      </c>
      <c r="L19" s="41"/>
      <c r="M19" s="9">
        <f t="shared" si="2"/>
        <v>21594</v>
      </c>
    </row>
    <row r="20" spans="1:13">
      <c r="A20" s="2">
        <v>45930</v>
      </c>
      <c r="B20" s="3" t="s">
        <v>822</v>
      </c>
      <c r="C20" s="3" t="s">
        <v>319</v>
      </c>
      <c r="D20" s="3" t="s">
        <v>320</v>
      </c>
      <c r="E20" s="3" t="s">
        <v>59</v>
      </c>
      <c r="F20" s="4" t="s">
        <v>26</v>
      </c>
      <c r="G20" s="4">
        <v>998531</v>
      </c>
      <c r="H20" s="6">
        <v>0.18</v>
      </c>
      <c r="I20" s="9">
        <v>26100</v>
      </c>
      <c r="J20" s="9">
        <f t="shared" si="0"/>
        <v>2349</v>
      </c>
      <c r="K20" s="9">
        <f t="shared" si="1"/>
        <v>2349</v>
      </c>
      <c r="L20" s="41"/>
      <c r="M20" s="9">
        <f t="shared" si="2"/>
        <v>30798</v>
      </c>
    </row>
    <row r="21" spans="1:13">
      <c r="A21" s="2">
        <v>45930</v>
      </c>
      <c r="B21" s="3" t="s">
        <v>823</v>
      </c>
      <c r="C21" s="7" t="s">
        <v>319</v>
      </c>
      <c r="D21" s="7" t="s">
        <v>320</v>
      </c>
      <c r="E21" s="7" t="s">
        <v>89</v>
      </c>
      <c r="F21" s="5" t="s">
        <v>26</v>
      </c>
      <c r="G21" s="4">
        <v>998531</v>
      </c>
      <c r="H21" s="6">
        <v>0.18</v>
      </c>
      <c r="I21" s="9">
        <v>19200</v>
      </c>
      <c r="J21" s="9">
        <f t="shared" si="0"/>
        <v>1728</v>
      </c>
      <c r="K21" s="9">
        <f t="shared" si="1"/>
        <v>1728</v>
      </c>
      <c r="L21" s="41"/>
      <c r="M21" s="9">
        <f t="shared" si="2"/>
        <v>22656</v>
      </c>
    </row>
    <row r="22" spans="1:13">
      <c r="A22" s="2">
        <v>45930</v>
      </c>
      <c r="B22" s="3" t="s">
        <v>824</v>
      </c>
      <c r="C22" s="3" t="s">
        <v>782</v>
      </c>
      <c r="D22" s="3" t="s">
        <v>117</v>
      </c>
      <c r="E22" s="3" t="s">
        <v>59</v>
      </c>
      <c r="F22" s="4" t="s">
        <v>26</v>
      </c>
      <c r="G22" s="4">
        <v>998531</v>
      </c>
      <c r="H22" s="6">
        <v>0.18</v>
      </c>
      <c r="I22" s="9">
        <v>17300</v>
      </c>
      <c r="J22" s="9">
        <f t="shared" si="0"/>
        <v>1557</v>
      </c>
      <c r="K22" s="9">
        <f t="shared" si="1"/>
        <v>1557</v>
      </c>
      <c r="L22" s="41"/>
      <c r="M22" s="9">
        <f t="shared" si="2"/>
        <v>20414</v>
      </c>
    </row>
    <row r="23" spans="1:13">
      <c r="A23" s="2">
        <v>45930</v>
      </c>
      <c r="B23" s="3" t="s">
        <v>825</v>
      </c>
      <c r="C23" s="3" t="s">
        <v>390</v>
      </c>
      <c r="D23" s="3" t="s">
        <v>391</v>
      </c>
      <c r="E23" s="3" t="s">
        <v>260</v>
      </c>
      <c r="F23" s="4" t="s">
        <v>26</v>
      </c>
      <c r="G23" s="5">
        <v>998531</v>
      </c>
      <c r="H23" s="6">
        <v>0.18</v>
      </c>
      <c r="I23" s="9">
        <v>1205.1600000000001</v>
      </c>
      <c r="J23" s="9">
        <f t="shared" si="0"/>
        <v>108.46440000000001</v>
      </c>
      <c r="K23" s="9">
        <f t="shared" si="1"/>
        <v>108.46440000000001</v>
      </c>
      <c r="L23" s="41"/>
      <c r="M23" s="9">
        <f t="shared" si="2"/>
        <v>1422.0888000000002</v>
      </c>
    </row>
    <row r="24" spans="1:13">
      <c r="A24" s="2">
        <v>45930</v>
      </c>
      <c r="B24" s="3" t="s">
        <v>826</v>
      </c>
      <c r="C24" s="3" t="s">
        <v>390</v>
      </c>
      <c r="D24" s="3" t="s">
        <v>391</v>
      </c>
      <c r="E24" s="3" t="s">
        <v>260</v>
      </c>
      <c r="F24" s="4" t="s">
        <v>26</v>
      </c>
      <c r="G24" s="4">
        <v>998531</v>
      </c>
      <c r="H24" s="6">
        <v>0.18</v>
      </c>
      <c r="I24" s="9">
        <v>1448.35</v>
      </c>
      <c r="J24" s="9">
        <f t="shared" si="0"/>
        <v>130.35149999999999</v>
      </c>
      <c r="K24" s="9">
        <f t="shared" si="1"/>
        <v>130.35149999999999</v>
      </c>
      <c r="L24" s="41"/>
      <c r="M24" s="9">
        <f t="shared" si="2"/>
        <v>1709.0529999999999</v>
      </c>
    </row>
    <row r="25" spans="1:13">
      <c r="A25" s="2">
        <v>45930</v>
      </c>
      <c r="B25" s="3" t="s">
        <v>827</v>
      </c>
      <c r="C25" s="3" t="s">
        <v>390</v>
      </c>
      <c r="D25" s="3" t="s">
        <v>391</v>
      </c>
      <c r="E25" s="3" t="s">
        <v>260</v>
      </c>
      <c r="F25" s="4" t="s">
        <v>26</v>
      </c>
      <c r="G25" s="4">
        <v>998531</v>
      </c>
      <c r="H25" s="6">
        <v>0.18</v>
      </c>
      <c r="I25" s="9">
        <v>2008.6</v>
      </c>
      <c r="J25" s="9">
        <f t="shared" si="0"/>
        <v>180.77399999999997</v>
      </c>
      <c r="K25" s="9">
        <f t="shared" si="1"/>
        <v>180.77399999999997</v>
      </c>
      <c r="L25" s="41"/>
      <c r="M25" s="9">
        <f t="shared" si="2"/>
        <v>2370.1479999999997</v>
      </c>
    </row>
    <row r="26" spans="1:13">
      <c r="A26" s="2">
        <v>45930</v>
      </c>
      <c r="B26" s="3" t="s">
        <v>828</v>
      </c>
      <c r="C26" s="3" t="s">
        <v>390</v>
      </c>
      <c r="D26" s="3" t="s">
        <v>391</v>
      </c>
      <c r="E26" s="3" t="s">
        <v>260</v>
      </c>
      <c r="F26" s="4" t="s">
        <v>26</v>
      </c>
      <c r="G26" s="4">
        <v>998531</v>
      </c>
      <c r="H26" s="6">
        <v>0.18</v>
      </c>
      <c r="I26" s="9">
        <v>1035.8399999999999</v>
      </c>
      <c r="J26" s="9">
        <f t="shared" si="0"/>
        <v>93.2256</v>
      </c>
      <c r="K26" s="9">
        <f t="shared" si="1"/>
        <v>93.2256</v>
      </c>
      <c r="L26" s="41"/>
      <c r="M26" s="9">
        <f t="shared" si="2"/>
        <v>1222.2911999999999</v>
      </c>
    </row>
    <row r="27" spans="1:13">
      <c r="A27" s="2">
        <v>45930</v>
      </c>
      <c r="B27" s="3" t="s">
        <v>829</v>
      </c>
      <c r="C27" s="3" t="s">
        <v>390</v>
      </c>
      <c r="D27" s="3" t="s">
        <v>391</v>
      </c>
      <c r="E27" s="3" t="s">
        <v>260</v>
      </c>
      <c r="F27" s="4" t="s">
        <v>26</v>
      </c>
      <c r="G27" s="4">
        <v>998531</v>
      </c>
      <c r="H27" s="6">
        <v>0.18</v>
      </c>
      <c r="I27" s="9">
        <v>972.76</v>
      </c>
      <c r="J27" s="9">
        <f t="shared" si="0"/>
        <v>87.548400000000001</v>
      </c>
      <c r="K27" s="9">
        <f t="shared" si="1"/>
        <v>87.548400000000001</v>
      </c>
      <c r="L27" s="41"/>
      <c r="M27" s="9">
        <f t="shared" si="2"/>
        <v>1147.8567999999998</v>
      </c>
    </row>
    <row r="28" spans="1:13">
      <c r="A28" s="2">
        <v>45930</v>
      </c>
      <c r="B28" s="3" t="s">
        <v>830</v>
      </c>
      <c r="C28" s="3" t="s">
        <v>390</v>
      </c>
      <c r="D28" s="3" t="s">
        <v>391</v>
      </c>
      <c r="E28" s="3" t="s">
        <v>260</v>
      </c>
      <c r="F28" s="4" t="s">
        <v>26</v>
      </c>
      <c r="G28" s="4">
        <v>998531</v>
      </c>
      <c r="H28" s="6">
        <v>0.18</v>
      </c>
      <c r="I28" s="9">
        <v>930.43</v>
      </c>
      <c r="J28" s="9">
        <f t="shared" si="0"/>
        <v>83.738699999999994</v>
      </c>
      <c r="K28" s="9">
        <f t="shared" si="1"/>
        <v>83.738699999999994</v>
      </c>
      <c r="L28" s="41"/>
      <c r="M28" s="9">
        <f t="shared" si="2"/>
        <v>1097.9074000000001</v>
      </c>
    </row>
    <row r="29" spans="1:13">
      <c r="A29" s="2">
        <v>45930</v>
      </c>
      <c r="B29" s="3" t="s">
        <v>831</v>
      </c>
      <c r="C29" s="3" t="s">
        <v>390</v>
      </c>
      <c r="D29" s="3" t="s">
        <v>391</v>
      </c>
      <c r="E29" s="3" t="s">
        <v>260</v>
      </c>
      <c r="F29" s="4" t="s">
        <v>26</v>
      </c>
      <c r="G29" s="4">
        <v>998531</v>
      </c>
      <c r="H29" s="6">
        <v>0.18</v>
      </c>
      <c r="I29" s="9">
        <v>698.86</v>
      </c>
      <c r="J29" s="9">
        <f t="shared" si="0"/>
        <v>62.897399999999998</v>
      </c>
      <c r="K29" s="9">
        <f t="shared" si="1"/>
        <v>62.897399999999998</v>
      </c>
      <c r="L29" s="41"/>
      <c r="M29" s="9">
        <f t="shared" si="2"/>
        <v>824.65479999999991</v>
      </c>
    </row>
    <row r="30" spans="1:13">
      <c r="A30" s="2">
        <v>45930</v>
      </c>
      <c r="B30" s="3" t="s">
        <v>832</v>
      </c>
      <c r="C30" s="3" t="s">
        <v>290</v>
      </c>
      <c r="D30" s="3" t="s">
        <v>291</v>
      </c>
      <c r="E30" s="3" t="s">
        <v>25</v>
      </c>
      <c r="F30" s="4" t="s">
        <v>26</v>
      </c>
      <c r="G30" s="4">
        <v>998531</v>
      </c>
      <c r="H30" s="6">
        <v>0.18</v>
      </c>
      <c r="I30" s="9">
        <v>3000</v>
      </c>
      <c r="J30" s="9">
        <f t="shared" si="0"/>
        <v>270</v>
      </c>
      <c r="K30" s="9">
        <f t="shared" si="1"/>
        <v>270</v>
      </c>
      <c r="L30" s="41"/>
      <c r="M30" s="9">
        <f t="shared" si="2"/>
        <v>3540</v>
      </c>
    </row>
    <row r="31" spans="1:13">
      <c r="A31" s="2">
        <v>45930</v>
      </c>
      <c r="B31" s="3" t="s">
        <v>833</v>
      </c>
      <c r="C31" s="3" t="s">
        <v>792</v>
      </c>
      <c r="D31" s="3" t="s">
        <v>205</v>
      </c>
      <c r="E31" s="3" t="s">
        <v>67</v>
      </c>
      <c r="F31" s="4" t="s">
        <v>26</v>
      </c>
      <c r="G31" s="4">
        <v>998531</v>
      </c>
      <c r="H31" s="6">
        <v>0.18</v>
      </c>
      <c r="I31" s="9">
        <v>10000</v>
      </c>
      <c r="J31" s="9">
        <f t="shared" si="0"/>
        <v>900</v>
      </c>
      <c r="K31" s="9">
        <f t="shared" si="1"/>
        <v>900</v>
      </c>
      <c r="L31" s="41"/>
      <c r="M31" s="9">
        <f t="shared" si="2"/>
        <v>11800</v>
      </c>
    </row>
    <row r="32" spans="1:13">
      <c r="A32" s="2">
        <v>45930</v>
      </c>
      <c r="B32" s="3" t="s">
        <v>834</v>
      </c>
      <c r="C32" s="3" t="s">
        <v>372</v>
      </c>
      <c r="D32" s="3" t="s">
        <v>794</v>
      </c>
      <c r="E32" s="3" t="s">
        <v>374</v>
      </c>
      <c r="F32" s="4" t="s">
        <v>26</v>
      </c>
      <c r="G32" s="4">
        <v>998531</v>
      </c>
      <c r="H32" s="6">
        <v>0.18</v>
      </c>
      <c r="I32" s="9">
        <v>1250</v>
      </c>
      <c r="J32" s="9">
        <f t="shared" si="0"/>
        <v>112.5</v>
      </c>
      <c r="K32" s="9">
        <f t="shared" si="1"/>
        <v>112.5</v>
      </c>
      <c r="L32" s="41"/>
      <c r="M32" s="9">
        <f t="shared" si="2"/>
        <v>1475</v>
      </c>
    </row>
    <row r="33" spans="1:13">
      <c r="A33" s="2">
        <v>45930</v>
      </c>
      <c r="B33" s="3" t="s">
        <v>835</v>
      </c>
      <c r="C33" s="3" t="s">
        <v>567</v>
      </c>
      <c r="D33" s="7" t="s">
        <v>568</v>
      </c>
      <c r="E33" s="7" t="s">
        <v>232</v>
      </c>
      <c r="F33" s="5" t="s">
        <v>26</v>
      </c>
      <c r="G33" s="4">
        <v>998531</v>
      </c>
      <c r="H33" s="6">
        <v>0.18</v>
      </c>
      <c r="I33" s="9">
        <v>1000</v>
      </c>
      <c r="J33" s="9">
        <f t="shared" si="0"/>
        <v>90</v>
      </c>
      <c r="K33" s="9">
        <f t="shared" si="1"/>
        <v>90</v>
      </c>
      <c r="L33" s="41"/>
      <c r="M33" s="9">
        <f t="shared" si="2"/>
        <v>1180</v>
      </c>
    </row>
    <row r="34" spans="1:13">
      <c r="A34" s="2">
        <v>45930</v>
      </c>
      <c r="B34" s="3" t="s">
        <v>836</v>
      </c>
      <c r="C34" s="3" t="s">
        <v>720</v>
      </c>
      <c r="D34" s="3" t="s">
        <v>721</v>
      </c>
      <c r="E34" s="3" t="s">
        <v>722</v>
      </c>
      <c r="F34" s="4" t="s">
        <v>26</v>
      </c>
      <c r="G34" s="4">
        <v>998531</v>
      </c>
      <c r="H34" s="6">
        <v>0.18</v>
      </c>
      <c r="I34" s="9">
        <v>34400</v>
      </c>
      <c r="J34" s="9">
        <f t="shared" si="0"/>
        <v>3096</v>
      </c>
      <c r="K34" s="9">
        <f t="shared" si="1"/>
        <v>3096</v>
      </c>
      <c r="L34" s="41"/>
      <c r="M34" s="9">
        <f t="shared" si="2"/>
        <v>40592</v>
      </c>
    </row>
    <row r="35" spans="1:13">
      <c r="A35" s="2">
        <v>45930</v>
      </c>
      <c r="B35" s="3" t="s">
        <v>837</v>
      </c>
      <c r="C35" s="3" t="s">
        <v>720</v>
      </c>
      <c r="D35" s="3" t="s">
        <v>721</v>
      </c>
      <c r="E35" s="3" t="s">
        <v>750</v>
      </c>
      <c r="F35" s="4" t="s">
        <v>26</v>
      </c>
      <c r="G35" s="5">
        <v>998531</v>
      </c>
      <c r="H35" s="6">
        <v>0.18</v>
      </c>
      <c r="I35" s="9">
        <v>24750</v>
      </c>
      <c r="J35" s="9">
        <f t="shared" si="0"/>
        <v>2227.5</v>
      </c>
      <c r="K35" s="9">
        <f t="shared" si="1"/>
        <v>2227.5</v>
      </c>
      <c r="L35" s="41"/>
      <c r="M35" s="9">
        <f t="shared" si="2"/>
        <v>29205</v>
      </c>
    </row>
    <row r="36" spans="1:13">
      <c r="A36" s="2">
        <v>45930</v>
      </c>
      <c r="B36" s="3" t="s">
        <v>838</v>
      </c>
      <c r="C36" s="3" t="s">
        <v>234</v>
      </c>
      <c r="D36" s="3" t="s">
        <v>235</v>
      </c>
      <c r="E36" s="3" t="s">
        <v>236</v>
      </c>
      <c r="F36" s="4" t="s">
        <v>26</v>
      </c>
      <c r="G36" s="8">
        <v>998531</v>
      </c>
      <c r="H36" s="6">
        <v>0.18</v>
      </c>
      <c r="I36" s="9">
        <v>14100</v>
      </c>
      <c r="J36" s="9">
        <f t="shared" si="0"/>
        <v>1269</v>
      </c>
      <c r="K36" s="9">
        <f t="shared" si="1"/>
        <v>1269</v>
      </c>
      <c r="L36" s="41"/>
      <c r="M36" s="9">
        <f t="shared" si="2"/>
        <v>16638</v>
      </c>
    </row>
    <row r="37" spans="1:13">
      <c r="A37" s="2">
        <v>45930</v>
      </c>
      <c r="B37" s="3" t="s">
        <v>839</v>
      </c>
      <c r="C37" s="7" t="s">
        <v>142</v>
      </c>
      <c r="D37" s="7" t="s">
        <v>143</v>
      </c>
      <c r="E37" s="7" t="s">
        <v>515</v>
      </c>
      <c r="F37" s="4" t="s">
        <v>840</v>
      </c>
      <c r="G37" s="4">
        <v>998531</v>
      </c>
      <c r="H37" s="6">
        <v>0.18</v>
      </c>
      <c r="I37" s="9">
        <v>8500</v>
      </c>
      <c r="J37" s="9">
        <f t="shared" si="0"/>
        <v>765</v>
      </c>
      <c r="K37" s="9">
        <f t="shared" si="1"/>
        <v>765</v>
      </c>
      <c r="L37" s="41"/>
      <c r="M37" s="9">
        <f t="shared" si="2"/>
        <v>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INVOICE</vt:lpstr>
      <vt:lpstr>GST - AUG 26</vt:lpstr>
      <vt:lpstr>KEAN CONSTRUCTION</vt:lpstr>
      <vt:lpstr>EPSILON CONST</vt:lpstr>
      <vt:lpstr>JUNE-26 GST</vt:lpstr>
      <vt:lpstr>KEC</vt:lpstr>
      <vt:lpstr>APRIL-26 GST</vt:lpstr>
      <vt:lpstr>MAR-26 GST</vt:lpstr>
      <vt:lpstr>west best</vt:lpstr>
      <vt:lpstr>Senghani</vt:lpstr>
      <vt:lpstr>PAYMENT BALANCE</vt:lpstr>
      <vt:lpstr>SEP-25 GST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Aditya Patil</cp:lastModifiedBy>
  <cp:lastPrinted>2026-07-08T14:12:02Z</cp:lastPrinted>
  <dcterms:created xsi:type="dcterms:W3CDTF">2025-06-28T15:11:00Z</dcterms:created>
  <dcterms:modified xsi:type="dcterms:W3CDTF">2026-09-19T12:21:03Z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9579FCA03AEE4FA5968EE3BBCFBD3DE5_12</vt:lpwstr>
  </property>
  <property fmtid="{D5CDD505-2E9C-101B-9397-08002B2CF9AE}" pid="3" name="KSOProductBuildVer">
    <vt:lpwstr>1033-12.2.0.22549</vt:lpwstr>
  </property>
</Properties>
</file>