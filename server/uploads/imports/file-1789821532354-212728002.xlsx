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Aditya\Downloads\CRM Documents\New docs\"/>
    </mc:Choice>
  </mc:AlternateContent>
  <xr:revisionPtr revIDLastSave="0" documentId="8_{CCC8D000-B1E5-4ACC-BBFD-2F66756AE7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NE TIME JOB" sheetId="1" r:id="rId1"/>
  </sheets>
  <definedNames>
    <definedName name="_xlnm._FilterDatabase" localSheetId="0" hidden="1">'ONE TIME JOB'!$A$1:$Y$1362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82" i="1" l="1"/>
  <c r="X382" i="1" s="1"/>
  <c r="S363" i="1"/>
  <c r="X363" i="1" s="1"/>
  <c r="S354" i="1"/>
  <c r="X354" i="1" s="1"/>
  <c r="S355" i="1"/>
  <c r="X355" i="1" s="1"/>
  <c r="S356" i="1"/>
  <c r="X356" i="1" s="1"/>
  <c r="S357" i="1"/>
  <c r="X357" i="1" s="1"/>
  <c r="S358" i="1"/>
  <c r="X358" i="1" s="1"/>
  <c r="S359" i="1"/>
  <c r="X359" i="1" s="1"/>
  <c r="S360" i="1"/>
  <c r="X360" i="1" s="1"/>
  <c r="S361" i="1"/>
  <c r="X361" i="1" s="1"/>
  <c r="S344" i="1"/>
  <c r="X344" i="1" s="1"/>
  <c r="S341" i="1"/>
  <c r="X341" i="1" s="1"/>
  <c r="S342" i="1"/>
  <c r="X342" i="1" s="1"/>
  <c r="S343" i="1"/>
  <c r="X343" i="1" s="1"/>
  <c r="X283" i="1"/>
  <c r="X308" i="1"/>
  <c r="S307" i="1"/>
  <c r="X307" i="1" s="1"/>
  <c r="X306" i="1"/>
  <c r="S296" i="1"/>
  <c r="X296" i="1" s="1"/>
  <c r="S1377" i="1"/>
  <c r="X1377" i="1" s="1"/>
  <c r="S3" i="1"/>
  <c r="X3" i="1" s="1"/>
  <c r="S4" i="1"/>
  <c r="X4" i="1" s="1"/>
  <c r="S5" i="1"/>
  <c r="X5" i="1" s="1"/>
  <c r="S6" i="1"/>
  <c r="X6" i="1" s="1"/>
  <c r="S7" i="1"/>
  <c r="X7" i="1" s="1"/>
  <c r="S8" i="1"/>
  <c r="X8" i="1" s="1"/>
  <c r="S9" i="1"/>
  <c r="X9" i="1" s="1"/>
  <c r="S10" i="1"/>
  <c r="X10" i="1" s="1"/>
  <c r="S11" i="1"/>
  <c r="X11" i="1" s="1"/>
  <c r="S12" i="1"/>
  <c r="X12" i="1" s="1"/>
  <c r="S13" i="1"/>
  <c r="X13" i="1" s="1"/>
  <c r="S14" i="1"/>
  <c r="X14" i="1" s="1"/>
  <c r="S15" i="1"/>
  <c r="X15" i="1" s="1"/>
  <c r="S16" i="1"/>
  <c r="X16" i="1" s="1"/>
  <c r="S17" i="1"/>
  <c r="X17" i="1" s="1"/>
  <c r="S18" i="1"/>
  <c r="X18" i="1" s="1"/>
  <c r="S19" i="1"/>
  <c r="X19" i="1" s="1"/>
  <c r="S20" i="1"/>
  <c r="X20" i="1" s="1"/>
  <c r="S21" i="1"/>
  <c r="X21" i="1" s="1"/>
  <c r="S22" i="1"/>
  <c r="X22" i="1" s="1"/>
  <c r="S23" i="1"/>
  <c r="X23" i="1" s="1"/>
  <c r="S24" i="1"/>
  <c r="X24" i="1" s="1"/>
  <c r="S25" i="1"/>
  <c r="X25" i="1" s="1"/>
  <c r="S26" i="1"/>
  <c r="X26" i="1" s="1"/>
  <c r="S27" i="1"/>
  <c r="X27" i="1" s="1"/>
  <c r="S28" i="1"/>
  <c r="X28" i="1" s="1"/>
  <c r="S29" i="1"/>
  <c r="X29" i="1" s="1"/>
  <c r="S30" i="1"/>
  <c r="X30" i="1" s="1"/>
  <c r="S31" i="1"/>
  <c r="X31" i="1" s="1"/>
  <c r="S32" i="1"/>
  <c r="X32" i="1" s="1"/>
  <c r="S33" i="1"/>
  <c r="X33" i="1" s="1"/>
  <c r="S34" i="1"/>
  <c r="X34" i="1" s="1"/>
  <c r="S35" i="1"/>
  <c r="X35" i="1" s="1"/>
  <c r="S36" i="1"/>
  <c r="X36" i="1" s="1"/>
  <c r="S37" i="1"/>
  <c r="X37" i="1" s="1"/>
  <c r="S38" i="1"/>
  <c r="X38" i="1" s="1"/>
  <c r="S39" i="1"/>
  <c r="X39" i="1" s="1"/>
  <c r="S40" i="1"/>
  <c r="X40" i="1" s="1"/>
  <c r="S41" i="1"/>
  <c r="X41" i="1" s="1"/>
  <c r="S42" i="1"/>
  <c r="X42" i="1" s="1"/>
  <c r="S43" i="1"/>
  <c r="X43" i="1" s="1"/>
  <c r="S44" i="1"/>
  <c r="X44" i="1" s="1"/>
  <c r="S45" i="1"/>
  <c r="X45" i="1" s="1"/>
  <c r="S46" i="1"/>
  <c r="X46" i="1" s="1"/>
  <c r="S47" i="1"/>
  <c r="X47" i="1" s="1"/>
  <c r="S48" i="1"/>
  <c r="X48" i="1" s="1"/>
  <c r="S49" i="1"/>
  <c r="X49" i="1" s="1"/>
  <c r="S50" i="1"/>
  <c r="X50" i="1" s="1"/>
  <c r="S51" i="1"/>
  <c r="X51" i="1" s="1"/>
  <c r="S52" i="1"/>
  <c r="S53" i="1"/>
  <c r="X53" i="1" s="1"/>
  <c r="S54" i="1"/>
  <c r="X54" i="1" s="1"/>
  <c r="S55" i="1"/>
  <c r="X55" i="1" s="1"/>
  <c r="S56" i="1"/>
  <c r="X56" i="1" s="1"/>
  <c r="S57" i="1"/>
  <c r="X57" i="1" s="1"/>
  <c r="S58" i="1"/>
  <c r="X58" i="1" s="1"/>
  <c r="S59" i="1"/>
  <c r="X59" i="1" s="1"/>
  <c r="S60" i="1"/>
  <c r="X60" i="1" s="1"/>
  <c r="S61" i="1"/>
  <c r="X61" i="1" s="1"/>
  <c r="S62" i="1"/>
  <c r="X62" i="1" s="1"/>
  <c r="S63" i="1"/>
  <c r="X63" i="1" s="1"/>
  <c r="S64" i="1"/>
  <c r="X64" i="1" s="1"/>
  <c r="S65" i="1"/>
  <c r="X65" i="1" s="1"/>
  <c r="S66" i="1"/>
  <c r="X66" i="1" s="1"/>
  <c r="S67" i="1"/>
  <c r="X67" i="1" s="1"/>
  <c r="S68" i="1"/>
  <c r="X68" i="1" s="1"/>
  <c r="S69" i="1"/>
  <c r="X69" i="1" s="1"/>
  <c r="S70" i="1"/>
  <c r="X70" i="1" s="1"/>
  <c r="S71" i="1"/>
  <c r="X71" i="1" s="1"/>
  <c r="S72" i="1"/>
  <c r="X72" i="1" s="1"/>
  <c r="S73" i="1"/>
  <c r="X73" i="1" s="1"/>
  <c r="S74" i="1"/>
  <c r="X74" i="1" s="1"/>
  <c r="S75" i="1"/>
  <c r="X75" i="1" s="1"/>
  <c r="S76" i="1"/>
  <c r="X76" i="1" s="1"/>
  <c r="S77" i="1"/>
  <c r="X77" i="1" s="1"/>
  <c r="S78" i="1"/>
  <c r="X78" i="1" s="1"/>
  <c r="S79" i="1"/>
  <c r="X79" i="1" s="1"/>
  <c r="S80" i="1"/>
  <c r="X80" i="1" s="1"/>
  <c r="S81" i="1"/>
  <c r="X81" i="1" s="1"/>
  <c r="S82" i="1"/>
  <c r="X82" i="1" s="1"/>
  <c r="S83" i="1"/>
  <c r="X83" i="1" s="1"/>
  <c r="S84" i="1"/>
  <c r="X84" i="1" s="1"/>
  <c r="S85" i="1"/>
  <c r="X85" i="1" s="1"/>
  <c r="S86" i="1"/>
  <c r="X86" i="1" s="1"/>
  <c r="S87" i="1"/>
  <c r="X87" i="1" s="1"/>
  <c r="S88" i="1"/>
  <c r="X88" i="1" s="1"/>
  <c r="S89" i="1"/>
  <c r="X89" i="1" s="1"/>
  <c r="S90" i="1"/>
  <c r="X90" i="1" s="1"/>
  <c r="S91" i="1"/>
  <c r="X91" i="1" s="1"/>
  <c r="S92" i="1"/>
  <c r="X92" i="1" s="1"/>
  <c r="S93" i="1"/>
  <c r="X93" i="1" s="1"/>
  <c r="S94" i="1"/>
  <c r="X94" i="1" s="1"/>
  <c r="S95" i="1"/>
  <c r="X95" i="1" s="1"/>
  <c r="S96" i="1"/>
  <c r="X96" i="1" s="1"/>
  <c r="S97" i="1"/>
  <c r="X97" i="1" s="1"/>
  <c r="S98" i="1"/>
  <c r="X98" i="1" s="1"/>
  <c r="S99" i="1"/>
  <c r="X99" i="1" s="1"/>
  <c r="S100" i="1"/>
  <c r="X100" i="1" s="1"/>
  <c r="S101" i="1"/>
  <c r="X101" i="1" s="1"/>
  <c r="S102" i="1"/>
  <c r="X102" i="1" s="1"/>
  <c r="S103" i="1"/>
  <c r="X103" i="1" s="1"/>
  <c r="S104" i="1"/>
  <c r="X104" i="1" s="1"/>
  <c r="S105" i="1"/>
  <c r="X105" i="1" s="1"/>
  <c r="S106" i="1"/>
  <c r="X106" i="1" s="1"/>
  <c r="S107" i="1"/>
  <c r="X107" i="1" s="1"/>
  <c r="S108" i="1"/>
  <c r="X108" i="1" s="1"/>
  <c r="S109" i="1"/>
  <c r="X109" i="1" s="1"/>
  <c r="S110" i="1"/>
  <c r="X110" i="1" s="1"/>
  <c r="S111" i="1"/>
  <c r="X111" i="1" s="1"/>
  <c r="S112" i="1"/>
  <c r="X112" i="1" s="1"/>
  <c r="S113" i="1"/>
  <c r="X113" i="1" s="1"/>
  <c r="S114" i="1"/>
  <c r="X114" i="1" s="1"/>
  <c r="S115" i="1"/>
  <c r="X115" i="1" s="1"/>
  <c r="S116" i="1"/>
  <c r="X116" i="1" s="1"/>
  <c r="S117" i="1"/>
  <c r="X117" i="1" s="1"/>
  <c r="S118" i="1"/>
  <c r="X118" i="1" s="1"/>
  <c r="S119" i="1"/>
  <c r="X119" i="1" s="1"/>
  <c r="S120" i="1"/>
  <c r="X120" i="1" s="1"/>
  <c r="S121" i="1"/>
  <c r="X121" i="1" s="1"/>
  <c r="S122" i="1"/>
  <c r="X122" i="1" s="1"/>
  <c r="S123" i="1"/>
  <c r="X123" i="1" s="1"/>
  <c r="S124" i="1"/>
  <c r="X124" i="1" s="1"/>
  <c r="S125" i="1"/>
  <c r="X125" i="1" s="1"/>
  <c r="S126" i="1"/>
  <c r="X126" i="1" s="1"/>
  <c r="S127" i="1"/>
  <c r="X127" i="1" s="1"/>
  <c r="S128" i="1"/>
  <c r="X128" i="1" s="1"/>
  <c r="S129" i="1"/>
  <c r="X129" i="1" s="1"/>
  <c r="S130" i="1"/>
  <c r="X130" i="1" s="1"/>
  <c r="S131" i="1"/>
  <c r="X131" i="1" s="1"/>
  <c r="S132" i="1"/>
  <c r="X132" i="1" s="1"/>
  <c r="S133" i="1"/>
  <c r="X133" i="1" s="1"/>
  <c r="S134" i="1"/>
  <c r="X134" i="1" s="1"/>
  <c r="S135" i="1"/>
  <c r="X135" i="1" s="1"/>
  <c r="S136" i="1"/>
  <c r="X136" i="1" s="1"/>
  <c r="S137" i="1"/>
  <c r="X137" i="1" s="1"/>
  <c r="S138" i="1"/>
  <c r="X138" i="1" s="1"/>
  <c r="S139" i="1"/>
  <c r="X139" i="1" s="1"/>
  <c r="S140" i="1"/>
  <c r="X140" i="1" s="1"/>
  <c r="S141" i="1"/>
  <c r="X141" i="1" s="1"/>
  <c r="S142" i="1"/>
  <c r="X142" i="1" s="1"/>
  <c r="S143" i="1"/>
  <c r="X143" i="1" s="1"/>
  <c r="S144" i="1"/>
  <c r="X144" i="1" s="1"/>
  <c r="S145" i="1"/>
  <c r="X145" i="1" s="1"/>
  <c r="S146" i="1"/>
  <c r="X146" i="1" s="1"/>
  <c r="S147" i="1"/>
  <c r="X147" i="1" s="1"/>
  <c r="S148" i="1"/>
  <c r="X148" i="1" s="1"/>
  <c r="S149" i="1"/>
  <c r="X149" i="1" s="1"/>
  <c r="S150" i="1"/>
  <c r="X150" i="1" s="1"/>
  <c r="S151" i="1"/>
  <c r="X151" i="1" s="1"/>
  <c r="S152" i="1"/>
  <c r="X152" i="1" s="1"/>
  <c r="S153" i="1"/>
  <c r="X153" i="1" s="1"/>
  <c r="S154" i="1"/>
  <c r="X154" i="1" s="1"/>
  <c r="S155" i="1"/>
  <c r="X155" i="1" s="1"/>
  <c r="S156" i="1"/>
  <c r="X156" i="1" s="1"/>
  <c r="S157" i="1"/>
  <c r="X157" i="1" s="1"/>
  <c r="S158" i="1"/>
  <c r="X158" i="1" s="1"/>
  <c r="S159" i="1"/>
  <c r="X159" i="1" s="1"/>
  <c r="S160" i="1"/>
  <c r="X160" i="1" s="1"/>
  <c r="S161" i="1"/>
  <c r="X161" i="1" s="1"/>
  <c r="S162" i="1"/>
  <c r="X162" i="1" s="1"/>
  <c r="S163" i="1"/>
  <c r="X163" i="1" s="1"/>
  <c r="S164" i="1"/>
  <c r="X164" i="1" s="1"/>
  <c r="S165" i="1"/>
  <c r="X165" i="1" s="1"/>
  <c r="S166" i="1"/>
  <c r="X166" i="1" s="1"/>
  <c r="S167" i="1"/>
  <c r="X167" i="1" s="1"/>
  <c r="S168" i="1"/>
  <c r="X168" i="1" s="1"/>
  <c r="S169" i="1"/>
  <c r="X169" i="1" s="1"/>
  <c r="S170" i="1"/>
  <c r="X170" i="1" s="1"/>
  <c r="S171" i="1"/>
  <c r="X171" i="1" s="1"/>
  <c r="S172" i="1"/>
  <c r="X172" i="1" s="1"/>
  <c r="S173" i="1"/>
  <c r="X173" i="1" s="1"/>
  <c r="S174" i="1"/>
  <c r="X174" i="1" s="1"/>
  <c r="S175" i="1"/>
  <c r="X175" i="1" s="1"/>
  <c r="S176" i="1"/>
  <c r="X176" i="1" s="1"/>
  <c r="X177" i="1"/>
  <c r="S178" i="1"/>
  <c r="X178" i="1" s="1"/>
  <c r="S179" i="1"/>
  <c r="X179" i="1" s="1"/>
  <c r="X180" i="1"/>
  <c r="S181" i="1"/>
  <c r="X181" i="1" s="1"/>
  <c r="S182" i="1"/>
  <c r="X182" i="1" s="1"/>
  <c r="S183" i="1"/>
  <c r="X183" i="1" s="1"/>
  <c r="S184" i="1"/>
  <c r="X184" i="1" s="1"/>
  <c r="S185" i="1"/>
  <c r="X185" i="1" s="1"/>
  <c r="S186" i="1"/>
  <c r="X186" i="1" s="1"/>
  <c r="S187" i="1"/>
  <c r="X187" i="1" s="1"/>
  <c r="S188" i="1"/>
  <c r="X188" i="1" s="1"/>
  <c r="S189" i="1"/>
  <c r="X189" i="1" s="1"/>
  <c r="S190" i="1"/>
  <c r="X190" i="1" s="1"/>
  <c r="S191" i="1"/>
  <c r="X191" i="1" s="1"/>
  <c r="S192" i="1"/>
  <c r="X192" i="1" s="1"/>
  <c r="S193" i="1"/>
  <c r="X193" i="1" s="1"/>
  <c r="S194" i="1"/>
  <c r="X194" i="1" s="1"/>
  <c r="S195" i="1"/>
  <c r="X195" i="1" s="1"/>
  <c r="X196" i="1"/>
  <c r="S197" i="1"/>
  <c r="X197" i="1" s="1"/>
  <c r="S198" i="1"/>
  <c r="X198" i="1" s="1"/>
  <c r="S199" i="1"/>
  <c r="X199" i="1" s="1"/>
  <c r="S200" i="1"/>
  <c r="X200" i="1" s="1"/>
  <c r="S201" i="1"/>
  <c r="X201" i="1" s="1"/>
  <c r="S202" i="1"/>
  <c r="X202" i="1" s="1"/>
  <c r="S203" i="1"/>
  <c r="X203" i="1" s="1"/>
  <c r="S204" i="1"/>
  <c r="X204" i="1" s="1"/>
  <c r="S205" i="1"/>
  <c r="X205" i="1" s="1"/>
  <c r="S206" i="1"/>
  <c r="X206" i="1" s="1"/>
  <c r="S207" i="1"/>
  <c r="X207" i="1" s="1"/>
  <c r="S208" i="1"/>
  <c r="X208" i="1" s="1"/>
  <c r="S209" i="1"/>
  <c r="X209" i="1" s="1"/>
  <c r="S210" i="1"/>
  <c r="X210" i="1" s="1"/>
  <c r="S211" i="1"/>
  <c r="X211" i="1" s="1"/>
  <c r="S212" i="1"/>
  <c r="X212" i="1" s="1"/>
  <c r="S213" i="1"/>
  <c r="X213" i="1" s="1"/>
  <c r="S214" i="1"/>
  <c r="X214" i="1" s="1"/>
  <c r="S215" i="1"/>
  <c r="X215" i="1" s="1"/>
  <c r="S216" i="1"/>
  <c r="X216" i="1" s="1"/>
  <c r="S217" i="1"/>
  <c r="X217" i="1" s="1"/>
  <c r="S218" i="1"/>
  <c r="X218" i="1" s="1"/>
  <c r="S219" i="1"/>
  <c r="X219" i="1" s="1"/>
  <c r="S220" i="1"/>
  <c r="X220" i="1" s="1"/>
  <c r="S221" i="1"/>
  <c r="X221" i="1" s="1"/>
  <c r="S222" i="1"/>
  <c r="X222" i="1" s="1"/>
  <c r="S223" i="1"/>
  <c r="X223" i="1" s="1"/>
  <c r="S224" i="1"/>
  <c r="X224" i="1" s="1"/>
  <c r="S225" i="1"/>
  <c r="X225" i="1" s="1"/>
  <c r="S226" i="1"/>
  <c r="X226" i="1" s="1"/>
  <c r="S227" i="1"/>
  <c r="X227" i="1" s="1"/>
  <c r="S228" i="1"/>
  <c r="X228" i="1" s="1"/>
  <c r="S229" i="1"/>
  <c r="X229" i="1" s="1"/>
  <c r="S230" i="1"/>
  <c r="X230" i="1" s="1"/>
  <c r="S231" i="1"/>
  <c r="X231" i="1" s="1"/>
  <c r="S232" i="1"/>
  <c r="X232" i="1" s="1"/>
  <c r="S233" i="1"/>
  <c r="X233" i="1" s="1"/>
  <c r="S234" i="1"/>
  <c r="X234" i="1" s="1"/>
  <c r="S235" i="1"/>
  <c r="X235" i="1" s="1"/>
  <c r="S236" i="1"/>
  <c r="X236" i="1" s="1"/>
  <c r="S237" i="1"/>
  <c r="X237" i="1" s="1"/>
  <c r="S238" i="1"/>
  <c r="X238" i="1" s="1"/>
  <c r="S239" i="1"/>
  <c r="X239" i="1" s="1"/>
  <c r="S240" i="1"/>
  <c r="X240" i="1" s="1"/>
  <c r="S241" i="1"/>
  <c r="X241" i="1" s="1"/>
  <c r="S242" i="1"/>
  <c r="X242" i="1" s="1"/>
  <c r="S243" i="1"/>
  <c r="X243" i="1" s="1"/>
  <c r="S244" i="1"/>
  <c r="X244" i="1" s="1"/>
  <c r="S245" i="1"/>
  <c r="X245" i="1" s="1"/>
  <c r="S246" i="1"/>
  <c r="X246" i="1" s="1"/>
  <c r="S247" i="1"/>
  <c r="X247" i="1" s="1"/>
  <c r="S248" i="1"/>
  <c r="X248" i="1" s="1"/>
  <c r="S249" i="1"/>
  <c r="X249" i="1" s="1"/>
  <c r="S250" i="1"/>
  <c r="X250" i="1" s="1"/>
  <c r="S251" i="1"/>
  <c r="X251" i="1" s="1"/>
  <c r="S252" i="1"/>
  <c r="X252" i="1" s="1"/>
  <c r="S253" i="1"/>
  <c r="X253" i="1" s="1"/>
  <c r="S254" i="1"/>
  <c r="X254" i="1" s="1"/>
  <c r="S255" i="1"/>
  <c r="X255" i="1" s="1"/>
  <c r="S256" i="1"/>
  <c r="X256" i="1" s="1"/>
  <c r="S257" i="1"/>
  <c r="X257" i="1" s="1"/>
  <c r="S258" i="1"/>
  <c r="X258" i="1" s="1"/>
  <c r="S259" i="1"/>
  <c r="X259" i="1" s="1"/>
  <c r="S260" i="1"/>
  <c r="X260" i="1" s="1"/>
  <c r="S261" i="1"/>
  <c r="X261" i="1" s="1"/>
  <c r="S262" i="1"/>
  <c r="X262" i="1" s="1"/>
  <c r="S263" i="1"/>
  <c r="X263" i="1" s="1"/>
  <c r="S264" i="1"/>
  <c r="X264" i="1" s="1"/>
  <c r="S265" i="1"/>
  <c r="X265" i="1" s="1"/>
  <c r="S266" i="1"/>
  <c r="X266" i="1" s="1"/>
  <c r="S267" i="1"/>
  <c r="X267" i="1" s="1"/>
  <c r="S268" i="1"/>
  <c r="X268" i="1" s="1"/>
  <c r="S269" i="1"/>
  <c r="X269" i="1" s="1"/>
  <c r="S270" i="1"/>
  <c r="X270" i="1" s="1"/>
  <c r="S271" i="1"/>
  <c r="X271" i="1" s="1"/>
  <c r="S272" i="1"/>
  <c r="X272" i="1" s="1"/>
  <c r="S273" i="1"/>
  <c r="X273" i="1" s="1"/>
  <c r="S274" i="1"/>
  <c r="X274" i="1" s="1"/>
  <c r="S275" i="1"/>
  <c r="X275" i="1" s="1"/>
  <c r="S276" i="1"/>
  <c r="X276" i="1" s="1"/>
  <c r="S277" i="1"/>
  <c r="X277" i="1" s="1"/>
  <c r="S278" i="1"/>
  <c r="X278" i="1" s="1"/>
  <c r="S279" i="1"/>
  <c r="X279" i="1" s="1"/>
  <c r="S280" i="1"/>
  <c r="X280" i="1" s="1"/>
  <c r="S281" i="1"/>
  <c r="X281" i="1" s="1"/>
  <c r="S282" i="1"/>
  <c r="X282" i="1" s="1"/>
  <c r="S284" i="1"/>
  <c r="X284" i="1" s="1"/>
  <c r="S285" i="1"/>
  <c r="X285" i="1" s="1"/>
  <c r="S286" i="1"/>
  <c r="X286" i="1" s="1"/>
  <c r="S287" i="1"/>
  <c r="X287" i="1" s="1"/>
  <c r="S288" i="1"/>
  <c r="X288" i="1" s="1"/>
  <c r="X289" i="1"/>
  <c r="S290" i="1"/>
  <c r="X290" i="1" s="1"/>
  <c r="S291" i="1"/>
  <c r="X291" i="1" s="1"/>
  <c r="S292" i="1"/>
  <c r="X292" i="1" s="1"/>
  <c r="S293" i="1"/>
  <c r="X293" i="1" s="1"/>
  <c r="S294" i="1"/>
  <c r="X294" i="1" s="1"/>
  <c r="S295" i="1"/>
  <c r="X295" i="1" s="1"/>
  <c r="S297" i="1"/>
  <c r="X297" i="1" s="1"/>
  <c r="S298" i="1"/>
  <c r="X298" i="1" s="1"/>
  <c r="S299" i="1"/>
  <c r="X299" i="1" s="1"/>
  <c r="S300" i="1"/>
  <c r="X300" i="1" s="1"/>
  <c r="S301" i="1"/>
  <c r="X301" i="1" s="1"/>
  <c r="S302" i="1"/>
  <c r="X302" i="1" s="1"/>
  <c r="S303" i="1"/>
  <c r="X303" i="1" s="1"/>
  <c r="S304" i="1"/>
  <c r="X304" i="1" s="1"/>
  <c r="S305" i="1"/>
  <c r="X305" i="1" s="1"/>
  <c r="S309" i="1"/>
  <c r="X309" i="1" s="1"/>
  <c r="S310" i="1"/>
  <c r="X310" i="1" s="1"/>
  <c r="S311" i="1"/>
  <c r="X311" i="1" s="1"/>
  <c r="S312" i="1"/>
  <c r="X312" i="1" s="1"/>
  <c r="S313" i="1"/>
  <c r="X313" i="1" s="1"/>
  <c r="X314" i="1"/>
  <c r="S315" i="1"/>
  <c r="X315" i="1" s="1"/>
  <c r="S316" i="1"/>
  <c r="X316" i="1" s="1"/>
  <c r="S317" i="1"/>
  <c r="X317" i="1" s="1"/>
  <c r="S318" i="1"/>
  <c r="X318" i="1" s="1"/>
  <c r="S319" i="1"/>
  <c r="X319" i="1" s="1"/>
  <c r="S320" i="1"/>
  <c r="X320" i="1" s="1"/>
  <c r="S321" i="1"/>
  <c r="X321" i="1" s="1"/>
  <c r="S322" i="1"/>
  <c r="X322" i="1" s="1"/>
  <c r="X323" i="1"/>
  <c r="S324" i="1"/>
  <c r="X324" i="1" s="1"/>
  <c r="S325" i="1"/>
  <c r="X325" i="1" s="1"/>
  <c r="S326" i="1"/>
  <c r="X326" i="1" s="1"/>
  <c r="S327" i="1"/>
  <c r="X327" i="1" s="1"/>
  <c r="S328" i="1"/>
  <c r="X328" i="1" s="1"/>
  <c r="S329" i="1"/>
  <c r="X329" i="1" s="1"/>
  <c r="S330" i="1"/>
  <c r="X330" i="1" s="1"/>
  <c r="S331" i="1"/>
  <c r="X331" i="1" s="1"/>
  <c r="S332" i="1"/>
  <c r="X332" i="1" s="1"/>
  <c r="S333" i="1"/>
  <c r="X333" i="1" s="1"/>
  <c r="S334" i="1"/>
  <c r="X334" i="1" s="1"/>
  <c r="S335" i="1"/>
  <c r="X335" i="1" s="1"/>
  <c r="S336" i="1"/>
  <c r="X336" i="1" s="1"/>
  <c r="S337" i="1"/>
  <c r="X337" i="1" s="1"/>
  <c r="S338" i="1"/>
  <c r="X338" i="1" s="1"/>
  <c r="S339" i="1"/>
  <c r="X339" i="1" s="1"/>
  <c r="S340" i="1"/>
  <c r="X340" i="1" s="1"/>
  <c r="S345" i="1"/>
  <c r="X345" i="1" s="1"/>
  <c r="S346" i="1"/>
  <c r="X346" i="1" s="1"/>
  <c r="X347" i="1"/>
  <c r="S348" i="1"/>
  <c r="X348" i="1" s="1"/>
  <c r="S349" i="1"/>
  <c r="X349" i="1" s="1"/>
  <c r="S350" i="1"/>
  <c r="X350" i="1" s="1"/>
  <c r="S351" i="1"/>
  <c r="X351" i="1" s="1"/>
  <c r="S352" i="1"/>
  <c r="X352" i="1" s="1"/>
  <c r="S353" i="1"/>
  <c r="X353" i="1" s="1"/>
  <c r="S362" i="1"/>
  <c r="X362" i="1" s="1"/>
  <c r="S364" i="1"/>
  <c r="X364" i="1" s="1"/>
  <c r="S365" i="1"/>
  <c r="X365" i="1" s="1"/>
  <c r="S366" i="1"/>
  <c r="X366" i="1" s="1"/>
  <c r="S367" i="1"/>
  <c r="X367" i="1" s="1"/>
  <c r="S368" i="1"/>
  <c r="X368" i="1" s="1"/>
  <c r="S369" i="1"/>
  <c r="X369" i="1" s="1"/>
  <c r="S370" i="1"/>
  <c r="X370" i="1" s="1"/>
  <c r="S371" i="1"/>
  <c r="X371" i="1" s="1"/>
  <c r="S372" i="1"/>
  <c r="X372" i="1" s="1"/>
  <c r="S373" i="1"/>
  <c r="X373" i="1" s="1"/>
  <c r="S374" i="1"/>
  <c r="X374" i="1" s="1"/>
  <c r="S375" i="1"/>
  <c r="X375" i="1" s="1"/>
  <c r="S376" i="1"/>
  <c r="X376" i="1" s="1"/>
  <c r="S377" i="1"/>
  <c r="X377" i="1" s="1"/>
  <c r="S378" i="1"/>
  <c r="X378" i="1" s="1"/>
  <c r="S379" i="1"/>
  <c r="X379" i="1" s="1"/>
  <c r="S380" i="1"/>
  <c r="X380" i="1" s="1"/>
  <c r="S381" i="1"/>
  <c r="X381" i="1" s="1"/>
  <c r="S383" i="1"/>
  <c r="X383" i="1" s="1"/>
  <c r="S384" i="1"/>
  <c r="X384" i="1" s="1"/>
  <c r="S385" i="1"/>
  <c r="X385" i="1" s="1"/>
  <c r="S386" i="1"/>
  <c r="X386" i="1" s="1"/>
  <c r="S387" i="1"/>
  <c r="X387" i="1" s="1"/>
  <c r="S388" i="1"/>
  <c r="X388" i="1" s="1"/>
  <c r="S389" i="1"/>
  <c r="X389" i="1" s="1"/>
  <c r="S390" i="1"/>
  <c r="X390" i="1" s="1"/>
  <c r="X391" i="1"/>
  <c r="S392" i="1"/>
  <c r="X392" i="1" s="1"/>
  <c r="S393" i="1"/>
  <c r="X393" i="1" s="1"/>
  <c r="S394" i="1"/>
  <c r="X394" i="1" s="1"/>
  <c r="S395" i="1"/>
  <c r="X395" i="1" s="1"/>
  <c r="S396" i="1"/>
  <c r="X396" i="1" s="1"/>
  <c r="S397" i="1"/>
  <c r="X397" i="1" s="1"/>
  <c r="S398" i="1"/>
  <c r="X398" i="1" s="1"/>
  <c r="S399" i="1"/>
  <c r="X399" i="1" s="1"/>
  <c r="S400" i="1"/>
  <c r="X400" i="1" s="1"/>
  <c r="S401" i="1"/>
  <c r="X401" i="1" s="1"/>
  <c r="S402" i="1"/>
  <c r="X402" i="1" s="1"/>
  <c r="S403" i="1"/>
  <c r="X403" i="1" s="1"/>
  <c r="S404" i="1"/>
  <c r="X404" i="1" s="1"/>
  <c r="S405" i="1"/>
  <c r="X405" i="1" s="1"/>
  <c r="S406" i="1"/>
  <c r="X406" i="1" s="1"/>
  <c r="S407" i="1"/>
  <c r="X407" i="1" s="1"/>
  <c r="S408" i="1"/>
  <c r="X408" i="1" s="1"/>
  <c r="S409" i="1"/>
  <c r="X409" i="1" s="1"/>
  <c r="S410" i="1"/>
  <c r="X410" i="1" s="1"/>
  <c r="S411" i="1"/>
  <c r="X411" i="1" s="1"/>
  <c r="S412" i="1"/>
  <c r="X412" i="1" s="1"/>
  <c r="S413" i="1"/>
  <c r="X413" i="1" s="1"/>
  <c r="S414" i="1"/>
  <c r="X414" i="1" s="1"/>
  <c r="S415" i="1"/>
  <c r="X415" i="1" s="1"/>
  <c r="S416" i="1"/>
  <c r="X416" i="1" s="1"/>
  <c r="S417" i="1"/>
  <c r="X417" i="1" s="1"/>
  <c r="S418" i="1"/>
  <c r="X418" i="1" s="1"/>
  <c r="S419" i="1"/>
  <c r="X419" i="1" s="1"/>
  <c r="S420" i="1"/>
  <c r="X420" i="1" s="1"/>
  <c r="S421" i="1"/>
  <c r="X421" i="1" s="1"/>
  <c r="S422" i="1"/>
  <c r="X422" i="1" s="1"/>
  <c r="S423" i="1"/>
  <c r="X423" i="1" s="1"/>
  <c r="S424" i="1"/>
  <c r="X424" i="1" s="1"/>
  <c r="S425" i="1"/>
  <c r="X425" i="1" s="1"/>
  <c r="S426" i="1"/>
  <c r="X426" i="1" s="1"/>
  <c r="S427" i="1"/>
  <c r="X427" i="1" s="1"/>
  <c r="S428" i="1"/>
  <c r="X428" i="1" s="1"/>
  <c r="S429" i="1"/>
  <c r="X429" i="1" s="1"/>
  <c r="S430" i="1"/>
  <c r="X430" i="1" s="1"/>
  <c r="S431" i="1"/>
  <c r="X431" i="1" s="1"/>
  <c r="S432" i="1"/>
  <c r="X432" i="1" s="1"/>
  <c r="S433" i="1"/>
  <c r="X433" i="1" s="1"/>
  <c r="S434" i="1"/>
  <c r="X434" i="1" s="1"/>
  <c r="S435" i="1"/>
  <c r="X435" i="1" s="1"/>
  <c r="S436" i="1"/>
  <c r="X436" i="1" s="1"/>
  <c r="S437" i="1"/>
  <c r="X437" i="1" s="1"/>
  <c r="S438" i="1"/>
  <c r="X438" i="1" s="1"/>
  <c r="S439" i="1"/>
  <c r="X439" i="1" s="1"/>
  <c r="S440" i="1"/>
  <c r="X440" i="1" s="1"/>
  <c r="S441" i="1"/>
  <c r="X441" i="1" s="1"/>
  <c r="S442" i="1"/>
  <c r="X442" i="1" s="1"/>
  <c r="S443" i="1"/>
  <c r="X443" i="1" s="1"/>
  <c r="S444" i="1"/>
  <c r="X444" i="1" s="1"/>
  <c r="S445" i="1"/>
  <c r="X445" i="1" s="1"/>
  <c r="S446" i="1"/>
  <c r="X446" i="1" s="1"/>
  <c r="S447" i="1"/>
  <c r="X447" i="1" s="1"/>
  <c r="S448" i="1"/>
  <c r="X448" i="1" s="1"/>
  <c r="S449" i="1"/>
  <c r="X449" i="1" s="1"/>
  <c r="S450" i="1"/>
  <c r="X450" i="1" s="1"/>
  <c r="S451" i="1"/>
  <c r="X451" i="1" s="1"/>
  <c r="S452" i="1"/>
  <c r="X452" i="1" s="1"/>
  <c r="S453" i="1"/>
  <c r="X453" i="1" s="1"/>
  <c r="S454" i="1"/>
  <c r="X454" i="1" s="1"/>
  <c r="S455" i="1"/>
  <c r="X455" i="1" s="1"/>
  <c r="S456" i="1"/>
  <c r="X456" i="1" s="1"/>
  <c r="S457" i="1"/>
  <c r="X457" i="1" s="1"/>
  <c r="S458" i="1"/>
  <c r="X458" i="1" s="1"/>
  <c r="S459" i="1"/>
  <c r="X459" i="1" s="1"/>
  <c r="S460" i="1"/>
  <c r="X460" i="1" s="1"/>
  <c r="S461" i="1"/>
  <c r="X461" i="1" s="1"/>
  <c r="S462" i="1"/>
  <c r="X462" i="1" s="1"/>
  <c r="S463" i="1"/>
  <c r="X463" i="1" s="1"/>
  <c r="S464" i="1"/>
  <c r="X464" i="1" s="1"/>
  <c r="S465" i="1"/>
  <c r="X465" i="1" s="1"/>
  <c r="S466" i="1"/>
  <c r="X466" i="1" s="1"/>
  <c r="S467" i="1"/>
  <c r="X467" i="1" s="1"/>
  <c r="S468" i="1"/>
  <c r="X468" i="1" s="1"/>
  <c r="S469" i="1"/>
  <c r="X469" i="1" s="1"/>
  <c r="S470" i="1"/>
  <c r="X470" i="1" s="1"/>
  <c r="S471" i="1"/>
  <c r="X471" i="1" s="1"/>
  <c r="S472" i="1"/>
  <c r="X472" i="1" s="1"/>
  <c r="S473" i="1"/>
  <c r="X473" i="1" s="1"/>
  <c r="S474" i="1"/>
  <c r="X474" i="1" s="1"/>
  <c r="S475" i="1"/>
  <c r="X475" i="1" s="1"/>
  <c r="S476" i="1"/>
  <c r="X476" i="1" s="1"/>
  <c r="S477" i="1"/>
  <c r="X477" i="1" s="1"/>
  <c r="S478" i="1"/>
  <c r="X478" i="1" s="1"/>
  <c r="S479" i="1"/>
  <c r="X479" i="1" s="1"/>
  <c r="S480" i="1"/>
  <c r="X480" i="1" s="1"/>
  <c r="S481" i="1"/>
  <c r="X481" i="1" s="1"/>
  <c r="S482" i="1"/>
  <c r="X482" i="1" s="1"/>
  <c r="S483" i="1"/>
  <c r="X483" i="1" s="1"/>
  <c r="S484" i="1"/>
  <c r="X484" i="1" s="1"/>
  <c r="S485" i="1"/>
  <c r="X485" i="1" s="1"/>
  <c r="S486" i="1"/>
  <c r="X486" i="1" s="1"/>
  <c r="S487" i="1"/>
  <c r="X487" i="1" s="1"/>
  <c r="S488" i="1"/>
  <c r="X488" i="1" s="1"/>
  <c r="S489" i="1"/>
  <c r="X489" i="1" s="1"/>
  <c r="S490" i="1"/>
  <c r="X490" i="1" s="1"/>
  <c r="S491" i="1"/>
  <c r="X491" i="1" s="1"/>
  <c r="S492" i="1"/>
  <c r="X492" i="1" s="1"/>
  <c r="S493" i="1"/>
  <c r="X493" i="1" s="1"/>
  <c r="S494" i="1"/>
  <c r="X494" i="1" s="1"/>
  <c r="S495" i="1"/>
  <c r="X495" i="1" s="1"/>
  <c r="S496" i="1"/>
  <c r="X496" i="1" s="1"/>
  <c r="S497" i="1"/>
  <c r="X497" i="1" s="1"/>
  <c r="S498" i="1"/>
  <c r="X498" i="1" s="1"/>
  <c r="S499" i="1"/>
  <c r="X499" i="1" s="1"/>
  <c r="S500" i="1"/>
  <c r="X500" i="1" s="1"/>
  <c r="S501" i="1"/>
  <c r="X501" i="1" s="1"/>
  <c r="S502" i="1"/>
  <c r="X502" i="1" s="1"/>
  <c r="S503" i="1"/>
  <c r="X503" i="1" s="1"/>
  <c r="S504" i="1"/>
  <c r="X504" i="1" s="1"/>
  <c r="S505" i="1"/>
  <c r="X505" i="1" s="1"/>
  <c r="S506" i="1"/>
  <c r="X506" i="1" s="1"/>
  <c r="S507" i="1"/>
  <c r="X507" i="1" s="1"/>
  <c r="S508" i="1"/>
  <c r="X508" i="1" s="1"/>
  <c r="S509" i="1"/>
  <c r="X509" i="1" s="1"/>
  <c r="S510" i="1"/>
  <c r="X510" i="1" s="1"/>
  <c r="S511" i="1"/>
  <c r="X511" i="1" s="1"/>
  <c r="S512" i="1"/>
  <c r="X512" i="1" s="1"/>
  <c r="S513" i="1"/>
  <c r="X513" i="1" s="1"/>
  <c r="S514" i="1"/>
  <c r="X514" i="1" s="1"/>
  <c r="S515" i="1"/>
  <c r="X515" i="1" s="1"/>
  <c r="S516" i="1"/>
  <c r="X516" i="1" s="1"/>
  <c r="S517" i="1"/>
  <c r="X517" i="1" s="1"/>
  <c r="S518" i="1"/>
  <c r="X518" i="1" s="1"/>
  <c r="S519" i="1"/>
  <c r="X519" i="1" s="1"/>
  <c r="S520" i="1"/>
  <c r="X520" i="1" s="1"/>
  <c r="S521" i="1"/>
  <c r="X521" i="1" s="1"/>
  <c r="S522" i="1"/>
  <c r="X522" i="1" s="1"/>
  <c r="S523" i="1"/>
  <c r="X523" i="1" s="1"/>
  <c r="S524" i="1"/>
  <c r="X524" i="1" s="1"/>
  <c r="S525" i="1"/>
  <c r="X525" i="1" s="1"/>
  <c r="S526" i="1"/>
  <c r="X526" i="1" s="1"/>
  <c r="S527" i="1"/>
  <c r="X527" i="1" s="1"/>
  <c r="S528" i="1"/>
  <c r="X528" i="1" s="1"/>
  <c r="S529" i="1"/>
  <c r="X529" i="1" s="1"/>
  <c r="S530" i="1"/>
  <c r="X530" i="1" s="1"/>
  <c r="S531" i="1"/>
  <c r="X531" i="1" s="1"/>
  <c r="S532" i="1"/>
  <c r="X532" i="1" s="1"/>
  <c r="S533" i="1"/>
  <c r="X533" i="1" s="1"/>
  <c r="S534" i="1"/>
  <c r="X534" i="1" s="1"/>
  <c r="S535" i="1"/>
  <c r="X535" i="1" s="1"/>
  <c r="S536" i="1"/>
  <c r="X536" i="1" s="1"/>
  <c r="S537" i="1"/>
  <c r="X537" i="1" s="1"/>
  <c r="S538" i="1"/>
  <c r="X538" i="1" s="1"/>
  <c r="S539" i="1"/>
  <c r="X539" i="1" s="1"/>
  <c r="S540" i="1"/>
  <c r="X540" i="1" s="1"/>
  <c r="S541" i="1"/>
  <c r="X541" i="1" s="1"/>
  <c r="S542" i="1"/>
  <c r="X542" i="1" s="1"/>
  <c r="S543" i="1"/>
  <c r="X543" i="1" s="1"/>
  <c r="S544" i="1"/>
  <c r="X544" i="1" s="1"/>
  <c r="S545" i="1"/>
  <c r="X545" i="1" s="1"/>
  <c r="S546" i="1"/>
  <c r="X546" i="1" s="1"/>
  <c r="S547" i="1"/>
  <c r="X547" i="1" s="1"/>
  <c r="S548" i="1"/>
  <c r="X548" i="1" s="1"/>
  <c r="S549" i="1"/>
  <c r="X549" i="1" s="1"/>
  <c r="S550" i="1"/>
  <c r="X550" i="1" s="1"/>
  <c r="S551" i="1"/>
  <c r="X551" i="1" s="1"/>
  <c r="S552" i="1"/>
  <c r="X552" i="1" s="1"/>
  <c r="S553" i="1"/>
  <c r="X553" i="1" s="1"/>
  <c r="S554" i="1"/>
  <c r="X554" i="1" s="1"/>
  <c r="S555" i="1"/>
  <c r="X555" i="1" s="1"/>
  <c r="S556" i="1"/>
  <c r="X556" i="1" s="1"/>
  <c r="S557" i="1"/>
  <c r="X557" i="1" s="1"/>
  <c r="S558" i="1"/>
  <c r="X558" i="1" s="1"/>
  <c r="S559" i="1"/>
  <c r="X559" i="1" s="1"/>
  <c r="S560" i="1"/>
  <c r="X560" i="1" s="1"/>
  <c r="S561" i="1"/>
  <c r="X561" i="1" s="1"/>
  <c r="S562" i="1"/>
  <c r="X562" i="1" s="1"/>
  <c r="S563" i="1"/>
  <c r="X563" i="1" s="1"/>
  <c r="S564" i="1"/>
  <c r="X564" i="1" s="1"/>
  <c r="S565" i="1"/>
  <c r="X565" i="1" s="1"/>
  <c r="S566" i="1"/>
  <c r="X566" i="1" s="1"/>
  <c r="S567" i="1"/>
  <c r="X567" i="1" s="1"/>
  <c r="S568" i="1"/>
  <c r="X568" i="1" s="1"/>
  <c r="S569" i="1"/>
  <c r="X569" i="1" s="1"/>
  <c r="S570" i="1"/>
  <c r="X570" i="1" s="1"/>
  <c r="S571" i="1"/>
  <c r="X571" i="1" s="1"/>
  <c r="S572" i="1"/>
  <c r="X572" i="1" s="1"/>
  <c r="S573" i="1"/>
  <c r="X573" i="1" s="1"/>
  <c r="S574" i="1"/>
  <c r="X574" i="1" s="1"/>
  <c r="S575" i="1"/>
  <c r="X575" i="1" s="1"/>
  <c r="S576" i="1"/>
  <c r="X576" i="1" s="1"/>
  <c r="S577" i="1"/>
  <c r="X577" i="1" s="1"/>
  <c r="S578" i="1"/>
  <c r="X578" i="1" s="1"/>
  <c r="S579" i="1"/>
  <c r="X579" i="1" s="1"/>
  <c r="S580" i="1"/>
  <c r="X580" i="1" s="1"/>
  <c r="S581" i="1"/>
  <c r="X581" i="1" s="1"/>
  <c r="S582" i="1"/>
  <c r="X582" i="1" s="1"/>
  <c r="S583" i="1"/>
  <c r="X583" i="1" s="1"/>
  <c r="S584" i="1"/>
  <c r="X584" i="1" s="1"/>
  <c r="S585" i="1"/>
  <c r="X585" i="1" s="1"/>
  <c r="S586" i="1"/>
  <c r="X586" i="1" s="1"/>
  <c r="S587" i="1"/>
  <c r="X587" i="1" s="1"/>
  <c r="S588" i="1"/>
  <c r="X588" i="1" s="1"/>
  <c r="S589" i="1"/>
  <c r="X589" i="1" s="1"/>
  <c r="S590" i="1"/>
  <c r="X590" i="1" s="1"/>
  <c r="S591" i="1"/>
  <c r="X591" i="1" s="1"/>
  <c r="S592" i="1"/>
  <c r="X592" i="1" s="1"/>
  <c r="S593" i="1"/>
  <c r="X593" i="1" s="1"/>
  <c r="S594" i="1"/>
  <c r="X594" i="1" s="1"/>
  <c r="S595" i="1"/>
  <c r="X595" i="1" s="1"/>
  <c r="S596" i="1"/>
  <c r="X596" i="1" s="1"/>
  <c r="S597" i="1"/>
  <c r="X597" i="1" s="1"/>
  <c r="S598" i="1"/>
  <c r="X598" i="1" s="1"/>
  <c r="S599" i="1"/>
  <c r="X599" i="1" s="1"/>
  <c r="S600" i="1"/>
  <c r="X600" i="1" s="1"/>
  <c r="S601" i="1"/>
  <c r="X601" i="1" s="1"/>
  <c r="S602" i="1"/>
  <c r="X602" i="1" s="1"/>
  <c r="S603" i="1"/>
  <c r="X603" i="1" s="1"/>
  <c r="S604" i="1"/>
  <c r="X604" i="1" s="1"/>
  <c r="S605" i="1"/>
  <c r="X605" i="1" s="1"/>
  <c r="S606" i="1"/>
  <c r="X606" i="1" s="1"/>
  <c r="S607" i="1"/>
  <c r="X607" i="1" s="1"/>
  <c r="S608" i="1"/>
  <c r="X608" i="1" s="1"/>
  <c r="S609" i="1"/>
  <c r="X609" i="1" s="1"/>
  <c r="S610" i="1"/>
  <c r="X610" i="1" s="1"/>
  <c r="S611" i="1"/>
  <c r="X611" i="1" s="1"/>
  <c r="S612" i="1"/>
  <c r="X612" i="1" s="1"/>
  <c r="S613" i="1"/>
  <c r="X613" i="1" s="1"/>
  <c r="S614" i="1"/>
  <c r="X614" i="1" s="1"/>
  <c r="S615" i="1"/>
  <c r="X615" i="1" s="1"/>
  <c r="S616" i="1"/>
  <c r="X616" i="1" s="1"/>
  <c r="S617" i="1"/>
  <c r="X617" i="1" s="1"/>
  <c r="S618" i="1"/>
  <c r="X618" i="1" s="1"/>
  <c r="S619" i="1"/>
  <c r="X619" i="1" s="1"/>
  <c r="S620" i="1"/>
  <c r="X620" i="1" s="1"/>
  <c r="S621" i="1"/>
  <c r="X621" i="1" s="1"/>
  <c r="S622" i="1"/>
  <c r="X622" i="1" s="1"/>
  <c r="S623" i="1"/>
  <c r="X623" i="1" s="1"/>
  <c r="S624" i="1"/>
  <c r="X624" i="1" s="1"/>
  <c r="S625" i="1"/>
  <c r="X625" i="1" s="1"/>
  <c r="S626" i="1"/>
  <c r="X626" i="1" s="1"/>
  <c r="S627" i="1"/>
  <c r="X627" i="1" s="1"/>
  <c r="S628" i="1"/>
  <c r="X628" i="1" s="1"/>
  <c r="S629" i="1"/>
  <c r="X629" i="1" s="1"/>
  <c r="S630" i="1"/>
  <c r="X630" i="1" s="1"/>
  <c r="S631" i="1"/>
  <c r="X631" i="1" s="1"/>
  <c r="S632" i="1"/>
  <c r="X632" i="1" s="1"/>
  <c r="S633" i="1"/>
  <c r="X633" i="1" s="1"/>
  <c r="S634" i="1"/>
  <c r="X634" i="1" s="1"/>
  <c r="S635" i="1"/>
  <c r="X635" i="1" s="1"/>
  <c r="S636" i="1"/>
  <c r="X636" i="1" s="1"/>
  <c r="S637" i="1"/>
  <c r="X637" i="1" s="1"/>
  <c r="S638" i="1"/>
  <c r="X638" i="1" s="1"/>
  <c r="S639" i="1"/>
  <c r="X639" i="1" s="1"/>
  <c r="S640" i="1"/>
  <c r="X640" i="1" s="1"/>
  <c r="S641" i="1"/>
  <c r="X641" i="1" s="1"/>
  <c r="S642" i="1"/>
  <c r="X642" i="1" s="1"/>
  <c r="S643" i="1"/>
  <c r="X643" i="1" s="1"/>
  <c r="S644" i="1"/>
  <c r="X644" i="1" s="1"/>
  <c r="S645" i="1"/>
  <c r="X645" i="1" s="1"/>
  <c r="S646" i="1"/>
  <c r="X646" i="1" s="1"/>
  <c r="S647" i="1"/>
  <c r="X647" i="1" s="1"/>
  <c r="S648" i="1"/>
  <c r="X648" i="1" s="1"/>
  <c r="S649" i="1"/>
  <c r="X649" i="1" s="1"/>
  <c r="S650" i="1"/>
  <c r="X650" i="1" s="1"/>
  <c r="S651" i="1"/>
  <c r="X651" i="1" s="1"/>
  <c r="S652" i="1"/>
  <c r="X652" i="1" s="1"/>
  <c r="S653" i="1"/>
  <c r="X653" i="1" s="1"/>
  <c r="S654" i="1"/>
  <c r="X654" i="1" s="1"/>
  <c r="S655" i="1"/>
  <c r="X655" i="1" s="1"/>
  <c r="S656" i="1"/>
  <c r="X656" i="1" s="1"/>
  <c r="S657" i="1"/>
  <c r="X657" i="1" s="1"/>
  <c r="S658" i="1"/>
  <c r="X658" i="1" s="1"/>
  <c r="S659" i="1"/>
  <c r="X659" i="1" s="1"/>
  <c r="S660" i="1"/>
  <c r="X660" i="1" s="1"/>
  <c r="S661" i="1"/>
  <c r="X661" i="1" s="1"/>
  <c r="S662" i="1"/>
  <c r="X662" i="1" s="1"/>
  <c r="S663" i="1"/>
  <c r="X663" i="1" s="1"/>
  <c r="S664" i="1"/>
  <c r="X664" i="1" s="1"/>
  <c r="S665" i="1"/>
  <c r="X665" i="1" s="1"/>
  <c r="S666" i="1"/>
  <c r="X666" i="1" s="1"/>
  <c r="S667" i="1"/>
  <c r="X667" i="1" s="1"/>
  <c r="S668" i="1"/>
  <c r="X668" i="1" s="1"/>
  <c r="S669" i="1"/>
  <c r="X669" i="1" s="1"/>
  <c r="S670" i="1"/>
  <c r="X670" i="1" s="1"/>
  <c r="S671" i="1"/>
  <c r="X671" i="1" s="1"/>
  <c r="S672" i="1"/>
  <c r="X672" i="1" s="1"/>
  <c r="S673" i="1"/>
  <c r="X673" i="1" s="1"/>
  <c r="S674" i="1"/>
  <c r="X674" i="1" s="1"/>
  <c r="S675" i="1"/>
  <c r="X675" i="1" s="1"/>
  <c r="S676" i="1"/>
  <c r="X676" i="1" s="1"/>
  <c r="S677" i="1"/>
  <c r="X677" i="1" s="1"/>
  <c r="S678" i="1"/>
  <c r="X678" i="1" s="1"/>
  <c r="S679" i="1"/>
  <c r="X679" i="1" s="1"/>
  <c r="S680" i="1"/>
  <c r="X680" i="1" s="1"/>
  <c r="S681" i="1"/>
  <c r="X681" i="1" s="1"/>
  <c r="S682" i="1"/>
  <c r="X682" i="1" s="1"/>
  <c r="S683" i="1"/>
  <c r="X683" i="1" s="1"/>
  <c r="S684" i="1"/>
  <c r="X684" i="1" s="1"/>
  <c r="S685" i="1"/>
  <c r="X685" i="1" s="1"/>
  <c r="S686" i="1"/>
  <c r="X686" i="1" s="1"/>
  <c r="S687" i="1"/>
  <c r="X687" i="1" s="1"/>
  <c r="S688" i="1"/>
  <c r="X688" i="1" s="1"/>
  <c r="S689" i="1"/>
  <c r="X689" i="1" s="1"/>
  <c r="S690" i="1"/>
  <c r="X690" i="1" s="1"/>
  <c r="S691" i="1"/>
  <c r="X691" i="1" s="1"/>
  <c r="S692" i="1"/>
  <c r="X692" i="1" s="1"/>
  <c r="S693" i="1"/>
  <c r="X693" i="1" s="1"/>
  <c r="S694" i="1"/>
  <c r="X694" i="1" s="1"/>
  <c r="S695" i="1"/>
  <c r="X695" i="1" s="1"/>
  <c r="S696" i="1"/>
  <c r="X696" i="1" s="1"/>
  <c r="S697" i="1"/>
  <c r="X697" i="1" s="1"/>
  <c r="S698" i="1"/>
  <c r="X698" i="1" s="1"/>
  <c r="S699" i="1"/>
  <c r="X699" i="1" s="1"/>
  <c r="S700" i="1"/>
  <c r="X700" i="1" s="1"/>
  <c r="S701" i="1"/>
  <c r="X701" i="1" s="1"/>
  <c r="S702" i="1"/>
  <c r="X702" i="1" s="1"/>
  <c r="S703" i="1"/>
  <c r="X703" i="1" s="1"/>
  <c r="S704" i="1"/>
  <c r="X704" i="1" s="1"/>
  <c r="S705" i="1"/>
  <c r="X705" i="1" s="1"/>
  <c r="S706" i="1"/>
  <c r="X706" i="1" s="1"/>
  <c r="S707" i="1"/>
  <c r="X707" i="1" s="1"/>
  <c r="S708" i="1"/>
  <c r="X708" i="1" s="1"/>
  <c r="S709" i="1"/>
  <c r="X709" i="1" s="1"/>
  <c r="S710" i="1"/>
  <c r="X710" i="1" s="1"/>
  <c r="S711" i="1"/>
  <c r="X711" i="1" s="1"/>
  <c r="S712" i="1"/>
  <c r="X712" i="1" s="1"/>
  <c r="S713" i="1"/>
  <c r="X713" i="1" s="1"/>
  <c r="S714" i="1"/>
  <c r="X714" i="1" s="1"/>
  <c r="S715" i="1"/>
  <c r="X715" i="1" s="1"/>
  <c r="S716" i="1"/>
  <c r="X716" i="1" s="1"/>
  <c r="S717" i="1"/>
  <c r="X717" i="1" s="1"/>
  <c r="S718" i="1"/>
  <c r="X718" i="1" s="1"/>
  <c r="S719" i="1"/>
  <c r="X719" i="1" s="1"/>
  <c r="S720" i="1"/>
  <c r="X720" i="1" s="1"/>
  <c r="S721" i="1"/>
  <c r="X721" i="1" s="1"/>
  <c r="S722" i="1"/>
  <c r="X722" i="1" s="1"/>
  <c r="S723" i="1"/>
  <c r="X723" i="1" s="1"/>
  <c r="S724" i="1"/>
  <c r="X724" i="1" s="1"/>
  <c r="S725" i="1"/>
  <c r="X725" i="1" s="1"/>
  <c r="S726" i="1"/>
  <c r="X726" i="1" s="1"/>
  <c r="S727" i="1"/>
  <c r="X727" i="1" s="1"/>
  <c r="S728" i="1"/>
  <c r="X728" i="1" s="1"/>
  <c r="S729" i="1"/>
  <c r="X729" i="1" s="1"/>
  <c r="S730" i="1"/>
  <c r="X730" i="1" s="1"/>
  <c r="S731" i="1"/>
  <c r="X731" i="1" s="1"/>
  <c r="S732" i="1"/>
  <c r="X732" i="1" s="1"/>
  <c r="S733" i="1"/>
  <c r="X733" i="1" s="1"/>
  <c r="S734" i="1"/>
  <c r="X734" i="1" s="1"/>
  <c r="S735" i="1"/>
  <c r="X735" i="1" s="1"/>
  <c r="S736" i="1"/>
  <c r="X736" i="1" s="1"/>
  <c r="S737" i="1"/>
  <c r="X737" i="1" s="1"/>
  <c r="S738" i="1"/>
  <c r="X738" i="1" s="1"/>
  <c r="S739" i="1"/>
  <c r="X739" i="1" s="1"/>
  <c r="S740" i="1"/>
  <c r="X740" i="1" s="1"/>
  <c r="S741" i="1"/>
  <c r="X741" i="1" s="1"/>
  <c r="S742" i="1"/>
  <c r="X742" i="1" s="1"/>
  <c r="S743" i="1"/>
  <c r="X743" i="1" s="1"/>
  <c r="S744" i="1"/>
  <c r="X744" i="1" s="1"/>
  <c r="S745" i="1"/>
  <c r="X745" i="1" s="1"/>
  <c r="S746" i="1"/>
  <c r="X746" i="1" s="1"/>
  <c r="S747" i="1"/>
  <c r="X747" i="1" s="1"/>
  <c r="S748" i="1"/>
  <c r="X748" i="1" s="1"/>
  <c r="S749" i="1"/>
  <c r="X749" i="1" s="1"/>
  <c r="S750" i="1"/>
  <c r="X750" i="1" s="1"/>
  <c r="S751" i="1"/>
  <c r="X751" i="1" s="1"/>
  <c r="S752" i="1"/>
  <c r="X752" i="1" s="1"/>
  <c r="S753" i="1"/>
  <c r="X753" i="1" s="1"/>
  <c r="S754" i="1"/>
  <c r="X754" i="1" s="1"/>
  <c r="S755" i="1"/>
  <c r="X755" i="1" s="1"/>
  <c r="S756" i="1"/>
  <c r="X756" i="1" s="1"/>
  <c r="S757" i="1"/>
  <c r="X757" i="1" s="1"/>
  <c r="S758" i="1"/>
  <c r="X758" i="1" s="1"/>
  <c r="S759" i="1"/>
  <c r="X759" i="1" s="1"/>
  <c r="S760" i="1"/>
  <c r="X760" i="1" s="1"/>
  <c r="S761" i="1"/>
  <c r="X761" i="1" s="1"/>
  <c r="S762" i="1"/>
  <c r="X762" i="1" s="1"/>
  <c r="S763" i="1"/>
  <c r="X763" i="1" s="1"/>
  <c r="S764" i="1"/>
  <c r="X764" i="1" s="1"/>
  <c r="S765" i="1"/>
  <c r="X765" i="1" s="1"/>
  <c r="S766" i="1"/>
  <c r="X766" i="1" s="1"/>
  <c r="S767" i="1"/>
  <c r="X767" i="1" s="1"/>
  <c r="S768" i="1"/>
  <c r="X768" i="1" s="1"/>
  <c r="S769" i="1"/>
  <c r="X769" i="1" s="1"/>
  <c r="S770" i="1"/>
  <c r="X770" i="1" s="1"/>
  <c r="S771" i="1"/>
  <c r="X771" i="1" s="1"/>
  <c r="S772" i="1"/>
  <c r="X772" i="1" s="1"/>
  <c r="S773" i="1"/>
  <c r="X773" i="1" s="1"/>
  <c r="S774" i="1"/>
  <c r="X774" i="1" s="1"/>
  <c r="S775" i="1"/>
  <c r="X775" i="1" s="1"/>
  <c r="S776" i="1"/>
  <c r="X776" i="1" s="1"/>
  <c r="S777" i="1"/>
  <c r="X777" i="1" s="1"/>
  <c r="S778" i="1"/>
  <c r="X778" i="1" s="1"/>
  <c r="S779" i="1"/>
  <c r="X779" i="1" s="1"/>
  <c r="S780" i="1"/>
  <c r="X780" i="1" s="1"/>
  <c r="S781" i="1"/>
  <c r="X781" i="1" s="1"/>
  <c r="S782" i="1"/>
  <c r="X782" i="1" s="1"/>
  <c r="S783" i="1"/>
  <c r="X783" i="1" s="1"/>
  <c r="S784" i="1"/>
  <c r="X784" i="1" s="1"/>
  <c r="S785" i="1"/>
  <c r="X785" i="1" s="1"/>
  <c r="S786" i="1"/>
  <c r="X786" i="1" s="1"/>
  <c r="S787" i="1"/>
  <c r="X787" i="1" s="1"/>
  <c r="S788" i="1"/>
  <c r="X788" i="1" s="1"/>
  <c r="S789" i="1"/>
  <c r="X789" i="1" s="1"/>
  <c r="S790" i="1"/>
  <c r="X790" i="1" s="1"/>
  <c r="S791" i="1"/>
  <c r="X791" i="1" s="1"/>
  <c r="S792" i="1"/>
  <c r="X792" i="1" s="1"/>
  <c r="S793" i="1"/>
  <c r="X793" i="1" s="1"/>
  <c r="S794" i="1"/>
  <c r="X794" i="1" s="1"/>
  <c r="S795" i="1"/>
  <c r="X795" i="1" s="1"/>
  <c r="S796" i="1"/>
  <c r="X796" i="1" s="1"/>
  <c r="S797" i="1"/>
  <c r="X797" i="1" s="1"/>
  <c r="S798" i="1"/>
  <c r="X798" i="1" s="1"/>
  <c r="S799" i="1"/>
  <c r="X799" i="1" s="1"/>
  <c r="S800" i="1"/>
  <c r="X800" i="1" s="1"/>
  <c r="S801" i="1"/>
  <c r="X801" i="1" s="1"/>
  <c r="S802" i="1"/>
  <c r="X802" i="1" s="1"/>
  <c r="S803" i="1"/>
  <c r="X803" i="1" s="1"/>
  <c r="S804" i="1"/>
  <c r="X804" i="1" s="1"/>
  <c r="S805" i="1"/>
  <c r="X805" i="1" s="1"/>
  <c r="S806" i="1"/>
  <c r="X806" i="1" s="1"/>
  <c r="S807" i="1"/>
  <c r="X807" i="1" s="1"/>
  <c r="S808" i="1"/>
  <c r="X808" i="1" s="1"/>
  <c r="S809" i="1"/>
  <c r="X809" i="1" s="1"/>
  <c r="S810" i="1"/>
  <c r="X810" i="1" s="1"/>
  <c r="S811" i="1"/>
  <c r="X811" i="1" s="1"/>
  <c r="S812" i="1"/>
  <c r="X812" i="1" s="1"/>
  <c r="S813" i="1"/>
  <c r="X813" i="1" s="1"/>
  <c r="S814" i="1"/>
  <c r="X814" i="1" s="1"/>
  <c r="S815" i="1"/>
  <c r="X815" i="1" s="1"/>
  <c r="S816" i="1"/>
  <c r="X816" i="1" s="1"/>
  <c r="S817" i="1"/>
  <c r="X817" i="1" s="1"/>
  <c r="S818" i="1"/>
  <c r="X818" i="1" s="1"/>
  <c r="S819" i="1"/>
  <c r="X819" i="1" s="1"/>
  <c r="S820" i="1"/>
  <c r="X820" i="1" s="1"/>
  <c r="S821" i="1"/>
  <c r="X821" i="1" s="1"/>
  <c r="S822" i="1"/>
  <c r="X822" i="1" s="1"/>
  <c r="S823" i="1"/>
  <c r="X823" i="1" s="1"/>
  <c r="S824" i="1"/>
  <c r="X824" i="1" s="1"/>
  <c r="S825" i="1"/>
  <c r="X825" i="1" s="1"/>
  <c r="S826" i="1"/>
  <c r="X826" i="1" s="1"/>
  <c r="S827" i="1"/>
  <c r="X827" i="1" s="1"/>
  <c r="S828" i="1"/>
  <c r="X828" i="1" s="1"/>
  <c r="S829" i="1"/>
  <c r="X829" i="1" s="1"/>
  <c r="S830" i="1"/>
  <c r="X830" i="1" s="1"/>
  <c r="S831" i="1"/>
  <c r="X831" i="1" s="1"/>
  <c r="S832" i="1"/>
  <c r="X832" i="1" s="1"/>
  <c r="S833" i="1"/>
  <c r="X833" i="1" s="1"/>
  <c r="S834" i="1"/>
  <c r="X834" i="1" s="1"/>
  <c r="S835" i="1"/>
  <c r="X835" i="1" s="1"/>
  <c r="S836" i="1"/>
  <c r="X836" i="1" s="1"/>
  <c r="S837" i="1"/>
  <c r="X837" i="1" s="1"/>
  <c r="S838" i="1"/>
  <c r="X838" i="1" s="1"/>
  <c r="S839" i="1"/>
  <c r="X839" i="1" s="1"/>
  <c r="S840" i="1"/>
  <c r="X840" i="1" s="1"/>
  <c r="S841" i="1"/>
  <c r="X841" i="1" s="1"/>
  <c r="S842" i="1"/>
  <c r="X842" i="1" s="1"/>
  <c r="S843" i="1"/>
  <c r="X843" i="1" s="1"/>
  <c r="S844" i="1"/>
  <c r="X844" i="1" s="1"/>
  <c r="S845" i="1"/>
  <c r="X845" i="1" s="1"/>
  <c r="S846" i="1"/>
  <c r="X846" i="1" s="1"/>
  <c r="S847" i="1"/>
  <c r="X847" i="1" s="1"/>
  <c r="S848" i="1"/>
  <c r="X848" i="1" s="1"/>
  <c r="S849" i="1"/>
  <c r="X849" i="1" s="1"/>
  <c r="S850" i="1"/>
  <c r="X850" i="1" s="1"/>
  <c r="S851" i="1"/>
  <c r="X851" i="1" s="1"/>
  <c r="S852" i="1"/>
  <c r="X852" i="1" s="1"/>
  <c r="S853" i="1"/>
  <c r="X853" i="1" s="1"/>
  <c r="S854" i="1"/>
  <c r="X854" i="1" s="1"/>
  <c r="S855" i="1"/>
  <c r="X855" i="1" s="1"/>
  <c r="S856" i="1"/>
  <c r="X856" i="1" s="1"/>
  <c r="S857" i="1"/>
  <c r="X857" i="1" s="1"/>
  <c r="S858" i="1"/>
  <c r="X858" i="1" s="1"/>
  <c r="S859" i="1"/>
  <c r="X859" i="1" s="1"/>
  <c r="S860" i="1"/>
  <c r="X860" i="1" s="1"/>
  <c r="S861" i="1"/>
  <c r="X861" i="1" s="1"/>
  <c r="S862" i="1"/>
  <c r="X862" i="1" s="1"/>
  <c r="S863" i="1"/>
  <c r="X863" i="1" s="1"/>
  <c r="S864" i="1"/>
  <c r="X864" i="1" s="1"/>
  <c r="S865" i="1"/>
  <c r="X865" i="1" s="1"/>
  <c r="S866" i="1"/>
  <c r="X866" i="1" s="1"/>
  <c r="S867" i="1"/>
  <c r="X867" i="1" s="1"/>
  <c r="S868" i="1"/>
  <c r="X868" i="1" s="1"/>
  <c r="S869" i="1"/>
  <c r="X869" i="1" s="1"/>
  <c r="S870" i="1"/>
  <c r="X870" i="1" s="1"/>
  <c r="S871" i="1"/>
  <c r="X871" i="1" s="1"/>
  <c r="S872" i="1"/>
  <c r="X872" i="1" s="1"/>
  <c r="S873" i="1"/>
  <c r="X873" i="1" s="1"/>
  <c r="S874" i="1"/>
  <c r="X874" i="1" s="1"/>
  <c r="S875" i="1"/>
  <c r="X875" i="1" s="1"/>
  <c r="S876" i="1"/>
  <c r="X876" i="1" s="1"/>
  <c r="S877" i="1"/>
  <c r="X877" i="1" s="1"/>
  <c r="S878" i="1"/>
  <c r="X878" i="1" s="1"/>
  <c r="S879" i="1"/>
  <c r="X879" i="1" s="1"/>
  <c r="S880" i="1"/>
  <c r="X880" i="1" s="1"/>
  <c r="S881" i="1"/>
  <c r="X881" i="1" s="1"/>
  <c r="S882" i="1"/>
  <c r="X882" i="1" s="1"/>
  <c r="S883" i="1"/>
  <c r="X883" i="1" s="1"/>
  <c r="S884" i="1"/>
  <c r="X884" i="1" s="1"/>
  <c r="S885" i="1"/>
  <c r="X885" i="1" s="1"/>
  <c r="S886" i="1"/>
  <c r="X886" i="1" s="1"/>
  <c r="S887" i="1"/>
  <c r="X887" i="1" s="1"/>
  <c r="S888" i="1"/>
  <c r="X888" i="1" s="1"/>
  <c r="S889" i="1"/>
  <c r="X889" i="1" s="1"/>
  <c r="S890" i="1"/>
  <c r="X890" i="1" s="1"/>
  <c r="S891" i="1"/>
  <c r="X891" i="1" s="1"/>
  <c r="S892" i="1"/>
  <c r="X892" i="1" s="1"/>
  <c r="S893" i="1"/>
  <c r="X893" i="1" s="1"/>
  <c r="S894" i="1"/>
  <c r="X894" i="1" s="1"/>
  <c r="S895" i="1"/>
  <c r="X895" i="1" s="1"/>
  <c r="S896" i="1"/>
  <c r="X896" i="1" s="1"/>
  <c r="S897" i="1"/>
  <c r="X897" i="1" s="1"/>
  <c r="S898" i="1"/>
  <c r="X898" i="1" s="1"/>
  <c r="S899" i="1"/>
  <c r="X899" i="1" s="1"/>
  <c r="S900" i="1"/>
  <c r="X900" i="1" s="1"/>
  <c r="S901" i="1"/>
  <c r="X901" i="1" s="1"/>
  <c r="S902" i="1"/>
  <c r="X902" i="1" s="1"/>
  <c r="S903" i="1"/>
  <c r="X903" i="1" s="1"/>
  <c r="S904" i="1"/>
  <c r="X904" i="1" s="1"/>
  <c r="S905" i="1"/>
  <c r="X905" i="1" s="1"/>
  <c r="S906" i="1"/>
  <c r="X906" i="1" s="1"/>
  <c r="S907" i="1"/>
  <c r="X907" i="1" s="1"/>
  <c r="S908" i="1"/>
  <c r="X908" i="1" s="1"/>
  <c r="S909" i="1"/>
  <c r="X909" i="1" s="1"/>
  <c r="S910" i="1"/>
  <c r="X910" i="1" s="1"/>
  <c r="S911" i="1"/>
  <c r="X911" i="1" s="1"/>
  <c r="S912" i="1"/>
  <c r="X912" i="1" s="1"/>
  <c r="S913" i="1"/>
  <c r="X913" i="1" s="1"/>
  <c r="S914" i="1"/>
  <c r="X914" i="1" s="1"/>
  <c r="S915" i="1"/>
  <c r="X915" i="1" s="1"/>
  <c r="S916" i="1"/>
  <c r="X916" i="1" s="1"/>
  <c r="S917" i="1"/>
  <c r="X917" i="1" s="1"/>
  <c r="S918" i="1"/>
  <c r="X918" i="1" s="1"/>
  <c r="S919" i="1"/>
  <c r="X919" i="1" s="1"/>
  <c r="S920" i="1"/>
  <c r="X920" i="1" s="1"/>
  <c r="S921" i="1"/>
  <c r="X921" i="1" s="1"/>
  <c r="S922" i="1"/>
  <c r="X922" i="1" s="1"/>
  <c r="S923" i="1"/>
  <c r="X923" i="1" s="1"/>
  <c r="S924" i="1"/>
  <c r="X924" i="1" s="1"/>
  <c r="S925" i="1"/>
  <c r="X925" i="1" s="1"/>
  <c r="S926" i="1"/>
  <c r="X926" i="1" s="1"/>
  <c r="S927" i="1"/>
  <c r="X927" i="1" s="1"/>
  <c r="S928" i="1"/>
  <c r="X928" i="1" s="1"/>
  <c r="S929" i="1"/>
  <c r="X929" i="1" s="1"/>
  <c r="S930" i="1"/>
  <c r="X930" i="1" s="1"/>
  <c r="S931" i="1"/>
  <c r="X931" i="1" s="1"/>
  <c r="S932" i="1"/>
  <c r="X932" i="1" s="1"/>
  <c r="S933" i="1"/>
  <c r="X933" i="1" s="1"/>
  <c r="S934" i="1"/>
  <c r="X934" i="1" s="1"/>
  <c r="S935" i="1"/>
  <c r="X935" i="1" s="1"/>
  <c r="S936" i="1"/>
  <c r="X936" i="1" s="1"/>
  <c r="S937" i="1"/>
  <c r="X937" i="1" s="1"/>
  <c r="S938" i="1"/>
  <c r="X938" i="1" s="1"/>
  <c r="S939" i="1"/>
  <c r="X939" i="1" s="1"/>
  <c r="S940" i="1"/>
  <c r="X940" i="1" s="1"/>
  <c r="S941" i="1"/>
  <c r="X941" i="1" s="1"/>
  <c r="S942" i="1"/>
  <c r="X942" i="1" s="1"/>
  <c r="S943" i="1"/>
  <c r="X943" i="1" s="1"/>
  <c r="S944" i="1"/>
  <c r="X944" i="1" s="1"/>
  <c r="S945" i="1"/>
  <c r="X945" i="1" s="1"/>
  <c r="S946" i="1"/>
  <c r="X946" i="1" s="1"/>
  <c r="S947" i="1"/>
  <c r="X947" i="1" s="1"/>
  <c r="S948" i="1"/>
  <c r="X948" i="1" s="1"/>
  <c r="S949" i="1"/>
  <c r="X949" i="1" s="1"/>
  <c r="S950" i="1"/>
  <c r="X950" i="1" s="1"/>
  <c r="S951" i="1"/>
  <c r="X951" i="1" s="1"/>
  <c r="S952" i="1"/>
  <c r="X952" i="1" s="1"/>
  <c r="S953" i="1"/>
  <c r="X953" i="1" s="1"/>
  <c r="S954" i="1"/>
  <c r="X954" i="1" s="1"/>
  <c r="S955" i="1"/>
  <c r="X955" i="1" s="1"/>
  <c r="S956" i="1"/>
  <c r="X956" i="1" s="1"/>
  <c r="S957" i="1"/>
  <c r="X957" i="1" s="1"/>
  <c r="S958" i="1"/>
  <c r="X958" i="1" s="1"/>
  <c r="S959" i="1"/>
  <c r="X959" i="1" s="1"/>
  <c r="S960" i="1"/>
  <c r="X960" i="1" s="1"/>
  <c r="S961" i="1"/>
  <c r="X961" i="1" s="1"/>
  <c r="S962" i="1"/>
  <c r="X962" i="1" s="1"/>
  <c r="S963" i="1"/>
  <c r="X963" i="1" s="1"/>
  <c r="S964" i="1"/>
  <c r="X964" i="1" s="1"/>
  <c r="S965" i="1"/>
  <c r="X965" i="1" s="1"/>
  <c r="S966" i="1"/>
  <c r="X966" i="1" s="1"/>
  <c r="S967" i="1"/>
  <c r="X967" i="1" s="1"/>
  <c r="S968" i="1"/>
  <c r="X968" i="1" s="1"/>
  <c r="S969" i="1"/>
  <c r="X969" i="1" s="1"/>
  <c r="S970" i="1"/>
  <c r="X970" i="1" s="1"/>
  <c r="S971" i="1"/>
  <c r="X971" i="1" s="1"/>
  <c r="S972" i="1"/>
  <c r="X972" i="1" s="1"/>
  <c r="S973" i="1"/>
  <c r="X973" i="1" s="1"/>
  <c r="S974" i="1"/>
  <c r="X974" i="1" s="1"/>
  <c r="S975" i="1"/>
  <c r="X975" i="1" s="1"/>
  <c r="S976" i="1"/>
  <c r="X976" i="1" s="1"/>
  <c r="S977" i="1"/>
  <c r="X977" i="1" s="1"/>
  <c r="S978" i="1"/>
  <c r="X978" i="1" s="1"/>
  <c r="S979" i="1"/>
  <c r="X979" i="1" s="1"/>
  <c r="S980" i="1"/>
  <c r="X980" i="1" s="1"/>
  <c r="S981" i="1"/>
  <c r="X981" i="1" s="1"/>
  <c r="S982" i="1"/>
  <c r="X982" i="1" s="1"/>
  <c r="S983" i="1"/>
  <c r="X983" i="1" s="1"/>
  <c r="S984" i="1"/>
  <c r="X984" i="1" s="1"/>
  <c r="S985" i="1"/>
  <c r="X985" i="1" s="1"/>
  <c r="S986" i="1"/>
  <c r="X986" i="1" s="1"/>
  <c r="S987" i="1"/>
  <c r="X987" i="1" s="1"/>
  <c r="S988" i="1"/>
  <c r="X988" i="1" s="1"/>
  <c r="S989" i="1"/>
  <c r="X989" i="1" s="1"/>
  <c r="S990" i="1"/>
  <c r="X990" i="1" s="1"/>
  <c r="S991" i="1"/>
  <c r="X991" i="1" s="1"/>
  <c r="S992" i="1"/>
  <c r="X992" i="1" s="1"/>
  <c r="S993" i="1"/>
  <c r="X993" i="1" s="1"/>
  <c r="S994" i="1"/>
  <c r="X994" i="1" s="1"/>
  <c r="S995" i="1"/>
  <c r="X995" i="1" s="1"/>
  <c r="S996" i="1"/>
  <c r="X996" i="1" s="1"/>
  <c r="S997" i="1"/>
  <c r="X997" i="1" s="1"/>
  <c r="S998" i="1"/>
  <c r="X998" i="1" s="1"/>
  <c r="S999" i="1"/>
  <c r="X999" i="1" s="1"/>
  <c r="S1000" i="1"/>
  <c r="X1000" i="1" s="1"/>
  <c r="S1001" i="1"/>
  <c r="X1001" i="1" s="1"/>
  <c r="S1002" i="1"/>
  <c r="X1002" i="1" s="1"/>
  <c r="S1003" i="1"/>
  <c r="X1003" i="1" s="1"/>
  <c r="S1004" i="1"/>
  <c r="X1004" i="1" s="1"/>
  <c r="S1005" i="1"/>
  <c r="X1005" i="1" s="1"/>
  <c r="S1006" i="1"/>
  <c r="X1006" i="1" s="1"/>
  <c r="S1007" i="1"/>
  <c r="X1007" i="1" s="1"/>
  <c r="S1008" i="1"/>
  <c r="X1008" i="1" s="1"/>
  <c r="S1009" i="1"/>
  <c r="X1009" i="1" s="1"/>
  <c r="S1010" i="1"/>
  <c r="X1010" i="1" s="1"/>
  <c r="S1011" i="1"/>
  <c r="X1011" i="1" s="1"/>
  <c r="S1012" i="1"/>
  <c r="X1012" i="1" s="1"/>
  <c r="S1013" i="1"/>
  <c r="X1013" i="1" s="1"/>
  <c r="S1014" i="1"/>
  <c r="X1014" i="1" s="1"/>
  <c r="S1015" i="1"/>
  <c r="X1015" i="1" s="1"/>
  <c r="S1016" i="1"/>
  <c r="X1016" i="1" s="1"/>
  <c r="S1017" i="1"/>
  <c r="X1017" i="1" s="1"/>
  <c r="S1018" i="1"/>
  <c r="X1018" i="1" s="1"/>
  <c r="S1019" i="1"/>
  <c r="X1019" i="1" s="1"/>
  <c r="S1020" i="1"/>
  <c r="X1020" i="1" s="1"/>
  <c r="S1021" i="1"/>
  <c r="X1021" i="1" s="1"/>
  <c r="S1022" i="1"/>
  <c r="X1022" i="1" s="1"/>
  <c r="S1023" i="1"/>
  <c r="X1023" i="1" s="1"/>
  <c r="S1024" i="1"/>
  <c r="X1024" i="1" s="1"/>
  <c r="S1025" i="1"/>
  <c r="X1025" i="1" s="1"/>
  <c r="S1026" i="1"/>
  <c r="X1026" i="1" s="1"/>
  <c r="S1027" i="1"/>
  <c r="X1027" i="1" s="1"/>
  <c r="S1028" i="1"/>
  <c r="X1028" i="1" s="1"/>
  <c r="S1029" i="1"/>
  <c r="X1029" i="1" s="1"/>
  <c r="S1030" i="1"/>
  <c r="X1030" i="1" s="1"/>
  <c r="S1031" i="1"/>
  <c r="X1031" i="1" s="1"/>
  <c r="S1032" i="1"/>
  <c r="X1032" i="1" s="1"/>
  <c r="S1033" i="1"/>
  <c r="X1033" i="1" s="1"/>
  <c r="S1034" i="1"/>
  <c r="X1034" i="1" s="1"/>
  <c r="S1035" i="1"/>
  <c r="X1035" i="1" s="1"/>
  <c r="S1036" i="1"/>
  <c r="X1036" i="1" s="1"/>
  <c r="S1037" i="1"/>
  <c r="X1037" i="1" s="1"/>
  <c r="S1038" i="1"/>
  <c r="X1038" i="1" s="1"/>
  <c r="S1039" i="1"/>
  <c r="X1039" i="1" s="1"/>
  <c r="S1040" i="1"/>
  <c r="X1040" i="1" s="1"/>
  <c r="S1041" i="1"/>
  <c r="X1041" i="1" s="1"/>
  <c r="S1042" i="1"/>
  <c r="X1042" i="1" s="1"/>
  <c r="S1043" i="1"/>
  <c r="X1043" i="1" s="1"/>
  <c r="S1044" i="1"/>
  <c r="X1044" i="1" s="1"/>
  <c r="S1045" i="1"/>
  <c r="X1045" i="1" s="1"/>
  <c r="S1046" i="1"/>
  <c r="X1046" i="1" s="1"/>
  <c r="S1047" i="1"/>
  <c r="X1047" i="1" s="1"/>
  <c r="S1048" i="1"/>
  <c r="X1048" i="1" s="1"/>
  <c r="S1049" i="1"/>
  <c r="X1049" i="1" s="1"/>
  <c r="S1050" i="1"/>
  <c r="X1050" i="1" s="1"/>
  <c r="S1051" i="1"/>
  <c r="X1051" i="1" s="1"/>
  <c r="S1052" i="1"/>
  <c r="X1052" i="1" s="1"/>
  <c r="S1053" i="1"/>
  <c r="X1053" i="1" s="1"/>
  <c r="S1054" i="1"/>
  <c r="X1054" i="1" s="1"/>
  <c r="S1055" i="1"/>
  <c r="X1055" i="1" s="1"/>
  <c r="S1056" i="1"/>
  <c r="X1056" i="1" s="1"/>
  <c r="S1057" i="1"/>
  <c r="X1057" i="1" s="1"/>
  <c r="S1058" i="1"/>
  <c r="X1058" i="1" s="1"/>
  <c r="S1059" i="1"/>
  <c r="X1059" i="1" s="1"/>
  <c r="S1060" i="1"/>
  <c r="X1060" i="1" s="1"/>
  <c r="S1061" i="1"/>
  <c r="X1061" i="1" s="1"/>
  <c r="S1062" i="1"/>
  <c r="X1062" i="1" s="1"/>
  <c r="S1063" i="1"/>
  <c r="X1063" i="1" s="1"/>
  <c r="S1064" i="1"/>
  <c r="X1064" i="1" s="1"/>
  <c r="S1065" i="1"/>
  <c r="X1065" i="1" s="1"/>
  <c r="S1066" i="1"/>
  <c r="X1066" i="1" s="1"/>
  <c r="S1067" i="1"/>
  <c r="X1067" i="1" s="1"/>
  <c r="S1068" i="1"/>
  <c r="X1068" i="1" s="1"/>
  <c r="S1069" i="1"/>
  <c r="X1069" i="1" s="1"/>
  <c r="S1070" i="1"/>
  <c r="X1070" i="1" s="1"/>
  <c r="S1071" i="1"/>
  <c r="X1071" i="1" s="1"/>
  <c r="S1072" i="1"/>
  <c r="X1072" i="1" s="1"/>
  <c r="S1073" i="1"/>
  <c r="X1073" i="1" s="1"/>
  <c r="S1074" i="1"/>
  <c r="X1074" i="1" s="1"/>
  <c r="S1075" i="1"/>
  <c r="X1075" i="1" s="1"/>
  <c r="S1076" i="1"/>
  <c r="X1076" i="1" s="1"/>
  <c r="S1077" i="1"/>
  <c r="X1077" i="1" s="1"/>
  <c r="S1078" i="1"/>
  <c r="X1078" i="1" s="1"/>
  <c r="S1079" i="1"/>
  <c r="X1079" i="1" s="1"/>
  <c r="S1080" i="1"/>
  <c r="X1080" i="1" s="1"/>
  <c r="S1081" i="1"/>
  <c r="X1081" i="1" s="1"/>
  <c r="S1082" i="1"/>
  <c r="X1082" i="1" s="1"/>
  <c r="S1083" i="1"/>
  <c r="X1083" i="1" s="1"/>
  <c r="S1084" i="1"/>
  <c r="X1084" i="1" s="1"/>
  <c r="S1085" i="1"/>
  <c r="X1085" i="1" s="1"/>
  <c r="S1086" i="1"/>
  <c r="X1086" i="1" s="1"/>
  <c r="S1087" i="1"/>
  <c r="X1087" i="1" s="1"/>
  <c r="S1088" i="1"/>
  <c r="X1088" i="1" s="1"/>
  <c r="S1089" i="1"/>
  <c r="X1089" i="1" s="1"/>
  <c r="S1090" i="1"/>
  <c r="X1090" i="1" s="1"/>
  <c r="S1091" i="1"/>
  <c r="X1091" i="1" s="1"/>
  <c r="S1092" i="1"/>
  <c r="X1092" i="1" s="1"/>
  <c r="S1093" i="1"/>
  <c r="X1093" i="1" s="1"/>
  <c r="S1094" i="1"/>
  <c r="X1094" i="1" s="1"/>
  <c r="S1095" i="1"/>
  <c r="X1095" i="1" s="1"/>
  <c r="S1096" i="1"/>
  <c r="X1096" i="1" s="1"/>
  <c r="S1097" i="1"/>
  <c r="X1097" i="1" s="1"/>
  <c r="S1098" i="1"/>
  <c r="X1098" i="1" s="1"/>
  <c r="S1099" i="1"/>
  <c r="X1099" i="1" s="1"/>
  <c r="S1100" i="1"/>
  <c r="X1100" i="1" s="1"/>
  <c r="S1101" i="1"/>
  <c r="X1101" i="1" s="1"/>
  <c r="S1102" i="1"/>
  <c r="X1102" i="1" s="1"/>
  <c r="S1103" i="1"/>
  <c r="X1103" i="1" s="1"/>
  <c r="S1104" i="1"/>
  <c r="X1104" i="1" s="1"/>
  <c r="S1105" i="1"/>
  <c r="X1105" i="1" s="1"/>
  <c r="S1106" i="1"/>
  <c r="X1106" i="1" s="1"/>
  <c r="S1107" i="1"/>
  <c r="X1107" i="1" s="1"/>
  <c r="S1108" i="1"/>
  <c r="X1108" i="1" s="1"/>
  <c r="S1109" i="1"/>
  <c r="X1109" i="1" s="1"/>
  <c r="S1110" i="1"/>
  <c r="X1110" i="1" s="1"/>
  <c r="S1111" i="1"/>
  <c r="X1111" i="1" s="1"/>
  <c r="S1112" i="1"/>
  <c r="X1112" i="1" s="1"/>
  <c r="S1113" i="1"/>
  <c r="X1113" i="1" s="1"/>
  <c r="S1114" i="1"/>
  <c r="X1114" i="1" s="1"/>
  <c r="S1115" i="1"/>
  <c r="X1115" i="1" s="1"/>
  <c r="S1116" i="1"/>
  <c r="X1116" i="1" s="1"/>
  <c r="S1117" i="1"/>
  <c r="X1117" i="1" s="1"/>
  <c r="S1118" i="1"/>
  <c r="X1118" i="1" s="1"/>
  <c r="S1119" i="1"/>
  <c r="X1119" i="1" s="1"/>
  <c r="S1120" i="1"/>
  <c r="X1120" i="1" s="1"/>
  <c r="S1121" i="1"/>
  <c r="X1121" i="1" s="1"/>
  <c r="S1122" i="1"/>
  <c r="X1122" i="1" s="1"/>
  <c r="S1123" i="1"/>
  <c r="X1123" i="1" s="1"/>
  <c r="S1124" i="1"/>
  <c r="X1124" i="1" s="1"/>
  <c r="S1125" i="1"/>
  <c r="X1125" i="1" s="1"/>
  <c r="S1126" i="1"/>
  <c r="X1126" i="1" s="1"/>
  <c r="S1127" i="1"/>
  <c r="X1127" i="1" s="1"/>
  <c r="S1128" i="1"/>
  <c r="X1128" i="1" s="1"/>
  <c r="S1129" i="1"/>
  <c r="X1129" i="1" s="1"/>
  <c r="S1130" i="1"/>
  <c r="X1130" i="1" s="1"/>
  <c r="S1131" i="1"/>
  <c r="X1131" i="1" s="1"/>
  <c r="S1132" i="1"/>
  <c r="X1132" i="1" s="1"/>
  <c r="S1133" i="1"/>
  <c r="X1133" i="1" s="1"/>
  <c r="S1134" i="1"/>
  <c r="X1134" i="1" s="1"/>
  <c r="S1135" i="1"/>
  <c r="X1135" i="1" s="1"/>
  <c r="S1136" i="1"/>
  <c r="X1136" i="1" s="1"/>
  <c r="S1137" i="1"/>
  <c r="X1137" i="1" s="1"/>
  <c r="S1138" i="1"/>
  <c r="X1138" i="1" s="1"/>
  <c r="S1139" i="1"/>
  <c r="X1139" i="1" s="1"/>
  <c r="S1140" i="1"/>
  <c r="X1140" i="1" s="1"/>
  <c r="S1141" i="1"/>
  <c r="X1141" i="1" s="1"/>
  <c r="S1142" i="1"/>
  <c r="X1142" i="1" s="1"/>
  <c r="S1143" i="1"/>
  <c r="X1143" i="1" s="1"/>
  <c r="S1144" i="1"/>
  <c r="X1144" i="1" s="1"/>
  <c r="S1145" i="1"/>
  <c r="X1145" i="1" s="1"/>
  <c r="S1146" i="1"/>
  <c r="X1146" i="1" s="1"/>
  <c r="S1147" i="1"/>
  <c r="X1147" i="1" s="1"/>
  <c r="S1148" i="1"/>
  <c r="X1148" i="1" s="1"/>
  <c r="S1149" i="1"/>
  <c r="X1149" i="1" s="1"/>
  <c r="S1150" i="1"/>
  <c r="X1150" i="1" s="1"/>
  <c r="S1151" i="1"/>
  <c r="X1151" i="1" s="1"/>
  <c r="S1152" i="1"/>
  <c r="X1152" i="1" s="1"/>
  <c r="S1153" i="1"/>
  <c r="X1153" i="1" s="1"/>
  <c r="S1154" i="1"/>
  <c r="X1154" i="1" s="1"/>
  <c r="S1155" i="1"/>
  <c r="X1155" i="1" s="1"/>
  <c r="S1156" i="1"/>
  <c r="X1156" i="1" s="1"/>
  <c r="S1157" i="1"/>
  <c r="X1157" i="1" s="1"/>
  <c r="S1158" i="1"/>
  <c r="X1158" i="1" s="1"/>
  <c r="S1159" i="1"/>
  <c r="X1159" i="1" s="1"/>
  <c r="S1160" i="1"/>
  <c r="X1160" i="1" s="1"/>
  <c r="S1161" i="1"/>
  <c r="X1161" i="1" s="1"/>
  <c r="S1162" i="1"/>
  <c r="X1162" i="1" s="1"/>
  <c r="S1163" i="1"/>
  <c r="X1163" i="1" s="1"/>
  <c r="S1164" i="1"/>
  <c r="X1164" i="1" s="1"/>
  <c r="S1165" i="1"/>
  <c r="X1165" i="1" s="1"/>
  <c r="S1166" i="1"/>
  <c r="X1166" i="1" s="1"/>
  <c r="S1167" i="1"/>
  <c r="X1167" i="1" s="1"/>
  <c r="S1168" i="1"/>
  <c r="X1168" i="1" s="1"/>
  <c r="S1169" i="1"/>
  <c r="X1169" i="1" s="1"/>
  <c r="S1170" i="1"/>
  <c r="X1170" i="1" s="1"/>
  <c r="S1171" i="1"/>
  <c r="X1171" i="1" s="1"/>
  <c r="S1172" i="1"/>
  <c r="X1172" i="1" s="1"/>
  <c r="S1173" i="1"/>
  <c r="X1173" i="1" s="1"/>
  <c r="S1174" i="1"/>
  <c r="X1174" i="1" s="1"/>
  <c r="S1175" i="1"/>
  <c r="X1175" i="1" s="1"/>
  <c r="S1176" i="1"/>
  <c r="X1176" i="1" s="1"/>
  <c r="S1177" i="1"/>
  <c r="X1177" i="1" s="1"/>
  <c r="S1178" i="1"/>
  <c r="X1178" i="1" s="1"/>
  <c r="S1179" i="1"/>
  <c r="X1179" i="1" s="1"/>
  <c r="S1180" i="1"/>
  <c r="X1180" i="1" s="1"/>
  <c r="S1181" i="1"/>
  <c r="X1181" i="1" s="1"/>
  <c r="S1182" i="1"/>
  <c r="X1182" i="1" s="1"/>
  <c r="S1183" i="1"/>
  <c r="X1183" i="1" s="1"/>
  <c r="S1184" i="1"/>
  <c r="X1184" i="1" s="1"/>
  <c r="S1185" i="1"/>
  <c r="X1185" i="1" s="1"/>
  <c r="S1186" i="1"/>
  <c r="X1186" i="1" s="1"/>
  <c r="S1187" i="1"/>
  <c r="X1187" i="1" s="1"/>
  <c r="S1188" i="1"/>
  <c r="X1188" i="1" s="1"/>
  <c r="S1189" i="1"/>
  <c r="X1189" i="1" s="1"/>
  <c r="S1190" i="1"/>
  <c r="X1190" i="1" s="1"/>
  <c r="S1191" i="1"/>
  <c r="X1191" i="1" s="1"/>
  <c r="S1192" i="1"/>
  <c r="X1192" i="1" s="1"/>
  <c r="S1193" i="1"/>
  <c r="X1193" i="1" s="1"/>
  <c r="S1194" i="1"/>
  <c r="X1194" i="1" s="1"/>
  <c r="S1195" i="1"/>
  <c r="X1195" i="1" s="1"/>
  <c r="S1196" i="1"/>
  <c r="X1196" i="1" s="1"/>
  <c r="S1197" i="1"/>
  <c r="X1197" i="1" s="1"/>
  <c r="S1198" i="1"/>
  <c r="X1198" i="1" s="1"/>
  <c r="S1199" i="1"/>
  <c r="X1199" i="1" s="1"/>
  <c r="S1200" i="1"/>
  <c r="X1200" i="1" s="1"/>
  <c r="S1201" i="1"/>
  <c r="X1201" i="1" s="1"/>
  <c r="S1202" i="1"/>
  <c r="X1202" i="1" s="1"/>
  <c r="S1203" i="1"/>
  <c r="X1203" i="1" s="1"/>
  <c r="S1204" i="1"/>
  <c r="X1204" i="1" s="1"/>
  <c r="S1205" i="1"/>
  <c r="X1205" i="1" s="1"/>
  <c r="S1206" i="1"/>
  <c r="X1206" i="1" s="1"/>
  <c r="S1207" i="1"/>
  <c r="X1207" i="1" s="1"/>
  <c r="S1208" i="1"/>
  <c r="X1208" i="1" s="1"/>
  <c r="S1209" i="1"/>
  <c r="X1209" i="1" s="1"/>
  <c r="S1210" i="1"/>
  <c r="X1210" i="1" s="1"/>
  <c r="S1211" i="1"/>
  <c r="X1211" i="1" s="1"/>
  <c r="S1212" i="1"/>
  <c r="X1212" i="1" s="1"/>
  <c r="S1213" i="1"/>
  <c r="X1213" i="1" s="1"/>
  <c r="S1214" i="1"/>
  <c r="X1214" i="1" s="1"/>
  <c r="S1215" i="1"/>
  <c r="X1215" i="1" s="1"/>
  <c r="S1216" i="1"/>
  <c r="X1216" i="1" s="1"/>
  <c r="S1217" i="1"/>
  <c r="X1217" i="1" s="1"/>
  <c r="S1218" i="1"/>
  <c r="X1218" i="1" s="1"/>
  <c r="S1219" i="1"/>
  <c r="X1219" i="1" s="1"/>
  <c r="S1220" i="1"/>
  <c r="X1220" i="1" s="1"/>
  <c r="S1221" i="1"/>
  <c r="X1221" i="1" s="1"/>
  <c r="S1222" i="1"/>
  <c r="X1222" i="1" s="1"/>
  <c r="S1223" i="1"/>
  <c r="X1223" i="1" s="1"/>
  <c r="S1224" i="1"/>
  <c r="X1224" i="1" s="1"/>
  <c r="S1225" i="1"/>
  <c r="X1225" i="1" s="1"/>
  <c r="S1226" i="1"/>
  <c r="X1226" i="1" s="1"/>
  <c r="S1227" i="1"/>
  <c r="X1227" i="1" s="1"/>
  <c r="S1228" i="1"/>
  <c r="X1228" i="1" s="1"/>
  <c r="S1229" i="1"/>
  <c r="X1229" i="1" s="1"/>
  <c r="S1230" i="1"/>
  <c r="X1230" i="1" s="1"/>
  <c r="S1231" i="1"/>
  <c r="X1231" i="1" s="1"/>
  <c r="S1232" i="1"/>
  <c r="X1232" i="1" s="1"/>
  <c r="S1233" i="1"/>
  <c r="X1233" i="1" s="1"/>
  <c r="S1234" i="1"/>
  <c r="X1234" i="1" s="1"/>
  <c r="S1235" i="1"/>
  <c r="X1235" i="1" s="1"/>
  <c r="S1236" i="1"/>
  <c r="X1236" i="1" s="1"/>
  <c r="S1237" i="1"/>
  <c r="X1237" i="1" s="1"/>
  <c r="S1238" i="1"/>
  <c r="X1238" i="1" s="1"/>
  <c r="S1239" i="1"/>
  <c r="X1239" i="1" s="1"/>
  <c r="S1240" i="1"/>
  <c r="X1240" i="1" s="1"/>
  <c r="S1241" i="1"/>
  <c r="X1241" i="1" s="1"/>
  <c r="S1242" i="1"/>
  <c r="X1242" i="1" s="1"/>
  <c r="S1243" i="1"/>
  <c r="X1243" i="1" s="1"/>
  <c r="S1244" i="1"/>
  <c r="X1244" i="1" s="1"/>
  <c r="S1245" i="1"/>
  <c r="X1245" i="1" s="1"/>
  <c r="S1246" i="1"/>
  <c r="X1246" i="1" s="1"/>
  <c r="S1247" i="1"/>
  <c r="X1247" i="1" s="1"/>
  <c r="S1248" i="1"/>
  <c r="X1248" i="1" s="1"/>
  <c r="S1249" i="1"/>
  <c r="X1249" i="1" s="1"/>
  <c r="S1250" i="1"/>
  <c r="X1250" i="1" s="1"/>
  <c r="S1251" i="1"/>
  <c r="X1251" i="1" s="1"/>
  <c r="S1252" i="1"/>
  <c r="X1252" i="1" s="1"/>
  <c r="S1253" i="1"/>
  <c r="X1253" i="1" s="1"/>
  <c r="S1254" i="1"/>
  <c r="X1254" i="1" s="1"/>
  <c r="S1255" i="1"/>
  <c r="X1255" i="1" s="1"/>
  <c r="S1256" i="1"/>
  <c r="X1256" i="1" s="1"/>
  <c r="S1257" i="1"/>
  <c r="X1257" i="1" s="1"/>
  <c r="S1258" i="1"/>
  <c r="X1258" i="1" s="1"/>
  <c r="S1259" i="1"/>
  <c r="X1259" i="1" s="1"/>
  <c r="S1260" i="1"/>
  <c r="X1260" i="1" s="1"/>
  <c r="S1261" i="1"/>
  <c r="X1261" i="1" s="1"/>
  <c r="S1262" i="1"/>
  <c r="X1262" i="1" s="1"/>
  <c r="S1263" i="1"/>
  <c r="X1263" i="1" s="1"/>
  <c r="S1264" i="1"/>
  <c r="X1264" i="1" s="1"/>
  <c r="S1265" i="1"/>
  <c r="X1265" i="1" s="1"/>
  <c r="S1266" i="1"/>
  <c r="X1266" i="1" s="1"/>
  <c r="S1267" i="1"/>
  <c r="X1267" i="1" s="1"/>
  <c r="S1268" i="1"/>
  <c r="X1268" i="1" s="1"/>
  <c r="S1269" i="1"/>
  <c r="X1269" i="1" s="1"/>
  <c r="S1270" i="1"/>
  <c r="X1270" i="1" s="1"/>
  <c r="S1271" i="1"/>
  <c r="X1271" i="1" s="1"/>
  <c r="S1272" i="1"/>
  <c r="X1272" i="1" s="1"/>
  <c r="S1273" i="1"/>
  <c r="X1273" i="1" s="1"/>
  <c r="S1274" i="1"/>
  <c r="X1274" i="1" s="1"/>
  <c r="S1275" i="1"/>
  <c r="X1275" i="1" s="1"/>
  <c r="S1276" i="1"/>
  <c r="X1276" i="1" s="1"/>
  <c r="S1277" i="1"/>
  <c r="X1277" i="1" s="1"/>
  <c r="S1278" i="1"/>
  <c r="X1278" i="1" s="1"/>
  <c r="S1279" i="1"/>
  <c r="X1279" i="1" s="1"/>
  <c r="S1280" i="1"/>
  <c r="X1280" i="1" s="1"/>
  <c r="S1281" i="1"/>
  <c r="X1281" i="1" s="1"/>
  <c r="S1282" i="1"/>
  <c r="X1282" i="1" s="1"/>
  <c r="S1283" i="1"/>
  <c r="X1283" i="1" s="1"/>
  <c r="S1284" i="1"/>
  <c r="X1284" i="1" s="1"/>
  <c r="S1285" i="1"/>
  <c r="X1285" i="1" s="1"/>
  <c r="S1286" i="1"/>
  <c r="X1286" i="1" s="1"/>
  <c r="S1287" i="1"/>
  <c r="X1287" i="1" s="1"/>
  <c r="S1288" i="1"/>
  <c r="X1288" i="1" s="1"/>
  <c r="S1289" i="1"/>
  <c r="X1289" i="1" s="1"/>
  <c r="S1290" i="1"/>
  <c r="X1290" i="1" s="1"/>
  <c r="S1291" i="1"/>
  <c r="X1291" i="1" s="1"/>
  <c r="S1292" i="1"/>
  <c r="X1292" i="1" s="1"/>
  <c r="S1293" i="1"/>
  <c r="X1293" i="1" s="1"/>
  <c r="S1294" i="1"/>
  <c r="X1294" i="1" s="1"/>
  <c r="S1295" i="1"/>
  <c r="X1295" i="1" s="1"/>
  <c r="S1296" i="1"/>
  <c r="X1296" i="1" s="1"/>
  <c r="S1297" i="1"/>
  <c r="X1297" i="1" s="1"/>
  <c r="S1298" i="1"/>
  <c r="X1298" i="1" s="1"/>
  <c r="S1299" i="1"/>
  <c r="X1299" i="1" s="1"/>
  <c r="S1300" i="1"/>
  <c r="X1300" i="1" s="1"/>
  <c r="S1301" i="1"/>
  <c r="X1301" i="1" s="1"/>
  <c r="S1302" i="1"/>
  <c r="X1302" i="1" s="1"/>
  <c r="S1303" i="1"/>
  <c r="X1303" i="1" s="1"/>
  <c r="S1304" i="1"/>
  <c r="X1304" i="1" s="1"/>
  <c r="S1305" i="1"/>
  <c r="X1305" i="1" s="1"/>
  <c r="S1306" i="1"/>
  <c r="X1306" i="1" s="1"/>
  <c r="S1307" i="1"/>
  <c r="X1307" i="1" s="1"/>
  <c r="S1308" i="1"/>
  <c r="X1308" i="1" s="1"/>
  <c r="S1309" i="1"/>
  <c r="X1309" i="1" s="1"/>
  <c r="S1310" i="1"/>
  <c r="X1310" i="1" s="1"/>
  <c r="S1311" i="1"/>
  <c r="X1311" i="1" s="1"/>
  <c r="S1312" i="1"/>
  <c r="X1312" i="1" s="1"/>
  <c r="S1313" i="1"/>
  <c r="X1313" i="1" s="1"/>
  <c r="S1314" i="1"/>
  <c r="X1314" i="1" s="1"/>
  <c r="S1315" i="1"/>
  <c r="X1315" i="1" s="1"/>
  <c r="S1316" i="1"/>
  <c r="X1316" i="1" s="1"/>
  <c r="S1317" i="1"/>
  <c r="X1317" i="1" s="1"/>
  <c r="S1318" i="1"/>
  <c r="X1318" i="1" s="1"/>
  <c r="S1319" i="1"/>
  <c r="X1319" i="1" s="1"/>
  <c r="S1320" i="1"/>
  <c r="X1320" i="1" s="1"/>
  <c r="S1321" i="1"/>
  <c r="X1321" i="1" s="1"/>
  <c r="S1322" i="1"/>
  <c r="X1322" i="1" s="1"/>
  <c r="S1323" i="1"/>
  <c r="X1323" i="1" s="1"/>
  <c r="S1324" i="1"/>
  <c r="X1324" i="1" s="1"/>
  <c r="S1325" i="1"/>
  <c r="X1325" i="1" s="1"/>
  <c r="S1326" i="1"/>
  <c r="X1326" i="1" s="1"/>
  <c r="S1327" i="1"/>
  <c r="X1327" i="1" s="1"/>
  <c r="S1328" i="1"/>
  <c r="X1328" i="1" s="1"/>
  <c r="S1329" i="1"/>
  <c r="X1329" i="1" s="1"/>
  <c r="S1330" i="1"/>
  <c r="X1330" i="1" s="1"/>
  <c r="S1331" i="1"/>
  <c r="X1331" i="1" s="1"/>
  <c r="S1332" i="1"/>
  <c r="X1332" i="1" s="1"/>
  <c r="S1333" i="1"/>
  <c r="X1333" i="1" s="1"/>
  <c r="S1334" i="1"/>
  <c r="X1334" i="1" s="1"/>
  <c r="S1335" i="1"/>
  <c r="X1335" i="1" s="1"/>
  <c r="S1336" i="1"/>
  <c r="X1336" i="1" s="1"/>
  <c r="S1337" i="1"/>
  <c r="X1337" i="1" s="1"/>
  <c r="S1338" i="1"/>
  <c r="X1338" i="1" s="1"/>
  <c r="S1339" i="1"/>
  <c r="X1339" i="1" s="1"/>
  <c r="S1340" i="1"/>
  <c r="X1340" i="1" s="1"/>
  <c r="S1341" i="1"/>
  <c r="X1341" i="1" s="1"/>
  <c r="S1342" i="1"/>
  <c r="X1342" i="1" s="1"/>
  <c r="S1343" i="1"/>
  <c r="X1343" i="1" s="1"/>
  <c r="S1344" i="1"/>
  <c r="X1344" i="1" s="1"/>
  <c r="S1345" i="1"/>
  <c r="X1345" i="1" s="1"/>
  <c r="S1346" i="1"/>
  <c r="X1346" i="1" s="1"/>
  <c r="S1347" i="1"/>
  <c r="X1347" i="1" s="1"/>
  <c r="S1348" i="1"/>
  <c r="X1348" i="1" s="1"/>
  <c r="S1349" i="1"/>
  <c r="X1349" i="1" s="1"/>
  <c r="S1350" i="1"/>
  <c r="X1350" i="1" s="1"/>
  <c r="S1351" i="1"/>
  <c r="X1351" i="1" s="1"/>
  <c r="S1352" i="1"/>
  <c r="X1352" i="1" s="1"/>
  <c r="S1353" i="1"/>
  <c r="X1353" i="1" s="1"/>
  <c r="S1354" i="1"/>
  <c r="X1354" i="1" s="1"/>
  <c r="S1355" i="1"/>
  <c r="X1355" i="1" s="1"/>
  <c r="S1356" i="1"/>
  <c r="X1356" i="1" s="1"/>
  <c r="S1357" i="1"/>
  <c r="X1357" i="1" s="1"/>
  <c r="S1358" i="1"/>
  <c r="X1358" i="1" s="1"/>
  <c r="S1359" i="1"/>
  <c r="X1359" i="1" s="1"/>
  <c r="S1360" i="1"/>
  <c r="X1360" i="1" s="1"/>
  <c r="S1361" i="1"/>
  <c r="X1361" i="1" s="1"/>
  <c r="S1362" i="1"/>
  <c r="S2" i="1"/>
  <c r="X2" i="1" s="1"/>
</calcChain>
</file>

<file path=xl/sharedStrings.xml><?xml version="1.0" encoding="utf-8"?>
<sst xmlns="http://schemas.openxmlformats.org/spreadsheetml/2006/main" count="4412" uniqueCount="1361">
  <si>
    <t>CONTACT PERSON</t>
  </si>
  <si>
    <t>CASH</t>
  </si>
  <si>
    <t>A/22</t>
  </si>
  <si>
    <t>C/05</t>
  </si>
  <si>
    <t>D/10</t>
  </si>
  <si>
    <t>K/03</t>
  </si>
  <si>
    <t>P/04</t>
  </si>
  <si>
    <t>S/16</t>
  </si>
  <si>
    <t>M/13</t>
  </si>
  <si>
    <t>MOBILE NO</t>
  </si>
  <si>
    <t>ADDRESS</t>
  </si>
  <si>
    <t>AMIT</t>
  </si>
  <si>
    <t>ONE TIME</t>
  </si>
  <si>
    <t>OERATER NAME</t>
  </si>
  <si>
    <t>MODE</t>
  </si>
  <si>
    <t>TWO TIME</t>
  </si>
  <si>
    <t>FOC</t>
  </si>
  <si>
    <t>MUKESH DUBAY</t>
  </si>
  <si>
    <t>NOT DONE</t>
  </si>
  <si>
    <t>GPAY</t>
  </si>
  <si>
    <t>S/37</t>
  </si>
  <si>
    <t>A/11</t>
  </si>
  <si>
    <t>Y/06</t>
  </si>
  <si>
    <t>ACIL</t>
  </si>
  <si>
    <t>SHAW BLOSSOM CHS</t>
  </si>
  <si>
    <t>CAROLINA MEMDONCA</t>
  </si>
  <si>
    <t>SMILE SHELTOR</t>
  </si>
  <si>
    <t>CLIENT NAME</t>
  </si>
  <si>
    <t>SERVICE DATE</t>
  </si>
  <si>
    <t>LOCATION OF PEST</t>
  </si>
  <si>
    <t>SERVICE TIME</t>
  </si>
  <si>
    <t>SERVICE CHARGES</t>
  </si>
  <si>
    <t>Service FREQUENCY</t>
  </si>
  <si>
    <t>Mr. Sanket Todankar</t>
  </si>
  <si>
    <t>As above inernal Flat Area</t>
  </si>
  <si>
    <t>Google</t>
  </si>
  <si>
    <t>Mr.Shamim Shaikh</t>
  </si>
  <si>
    <t>Mr. Shamim Shaikh Sir</t>
  </si>
  <si>
    <t>General Pest Control</t>
  </si>
  <si>
    <t>1 BHK Flat</t>
  </si>
  <si>
    <t>Mr. Amit</t>
  </si>
  <si>
    <t>Mr. Ramsundar Gautam</t>
  </si>
  <si>
    <t>Honeybee Remove</t>
  </si>
  <si>
    <t>Buildig Passage</t>
  </si>
  <si>
    <t>Building Passage Area</t>
  </si>
  <si>
    <t>Any Time</t>
  </si>
  <si>
    <t>Mr. Vinod Tiwari</t>
  </si>
  <si>
    <t>Mr.Rudra Gauri</t>
  </si>
  <si>
    <t xml:space="preserve"> Building No. 16, Violet B/907 - 908, Yashwantnagar, Virar West.</t>
  </si>
  <si>
    <t xml:space="preserve"> 9.00 AM</t>
  </si>
  <si>
    <t>11.OO AM</t>
  </si>
  <si>
    <t>Mr. Rudra Sir</t>
  </si>
  <si>
    <t>Mr. Jayesh Devaliya</t>
  </si>
  <si>
    <t>Mr. Santosh Singh</t>
  </si>
  <si>
    <t>Mr. Purohit</t>
  </si>
  <si>
    <t>1 RK Flat</t>
  </si>
  <si>
    <t>10.30 AM</t>
  </si>
  <si>
    <t>Mr. Girish Deshamukh</t>
  </si>
  <si>
    <t>8600146145 / 9960494462</t>
  </si>
  <si>
    <t>Ulwe</t>
  </si>
  <si>
    <t>Mr. Saury Mohanty</t>
  </si>
  <si>
    <t>2 BHK Flat</t>
  </si>
  <si>
    <t>Mrs. Mangeshwari Murgan</t>
  </si>
  <si>
    <t>9028620349 / 9137780623</t>
  </si>
  <si>
    <t>Mr. Prathamesh Churi</t>
  </si>
  <si>
    <t>Office</t>
  </si>
  <si>
    <t>Mosquito - Spray &amp; Fogging</t>
  </si>
  <si>
    <t>Open Ground</t>
  </si>
  <si>
    <t>Soceity"s Internal Open Ground</t>
  </si>
  <si>
    <t>Store Area</t>
  </si>
  <si>
    <t>3 BHK Flat</t>
  </si>
  <si>
    <t>Mr. Jayesh Bandgar</t>
  </si>
  <si>
    <t xml:space="preserve">OFFICE </t>
  </si>
  <si>
    <t>OFFICE INTERNAL AREA</t>
  </si>
  <si>
    <t>Mr. Vikrant Sir</t>
  </si>
  <si>
    <t>Bed Bug Service</t>
  </si>
  <si>
    <t>Mr. Sandesh Kavaji</t>
  </si>
  <si>
    <t>Mr. Saish More</t>
  </si>
  <si>
    <t>Mr. Hemang Dharamshi</t>
  </si>
  <si>
    <t>Mr. Dipu Sir</t>
  </si>
  <si>
    <t>Flat Area</t>
  </si>
  <si>
    <t>Mr. Vikrant Kadam</t>
  </si>
  <si>
    <t>Mr. Akash Singh</t>
  </si>
  <si>
    <t>12.00 AM</t>
  </si>
  <si>
    <t>Mr. Rahul Patil</t>
  </si>
  <si>
    <t>Mr. Mahesh Shirke</t>
  </si>
  <si>
    <t>R/13</t>
  </si>
  <si>
    <t>Mr. Ramesh Prajapati</t>
  </si>
  <si>
    <t xml:space="preserve"> Mr. Yash Durge</t>
  </si>
  <si>
    <t>Mr. Kirit Maroliya</t>
  </si>
  <si>
    <t>Mr. Subramanyam</t>
  </si>
  <si>
    <t>Mr. Subramayam Sir</t>
  </si>
  <si>
    <t>Mr. Rahul Gupta</t>
  </si>
  <si>
    <t>Mr. Rahul Gupta Sir</t>
  </si>
  <si>
    <t>03 Service In A year</t>
  </si>
  <si>
    <t>Mrs. Sonali Deshpande</t>
  </si>
  <si>
    <t>M/S Mangal Murti</t>
  </si>
  <si>
    <t>Mr. Sandesh Mangalmurti Sir</t>
  </si>
  <si>
    <t>M/S JSB Home Makers Pvt. Ltd.</t>
  </si>
  <si>
    <t xml:space="preserve">Mosquito - Spray </t>
  </si>
  <si>
    <t xml:space="preserve">Office </t>
  </si>
  <si>
    <t>Office Internal &amp; External Area</t>
  </si>
  <si>
    <t>Mr. Kapil Kalita</t>
  </si>
  <si>
    <t>Mrs. Ketki Tandel</t>
  </si>
  <si>
    <t>Ramesh Kumbhar</t>
  </si>
  <si>
    <t>M/S EVEY TRANS PVT. LTD.</t>
  </si>
  <si>
    <t>Mr. Ananat Sawant</t>
  </si>
  <si>
    <t>Mr. Ananat Sawant Sir</t>
  </si>
  <si>
    <t>Laxman Shemankar</t>
  </si>
  <si>
    <t>M/S Evershine Avenue A-3</t>
  </si>
  <si>
    <t>Rat Guard Installation</t>
  </si>
  <si>
    <t>Fixed at Drainage, Water and Gas Pipes</t>
  </si>
  <si>
    <t>Mr. Rajkumar Pujaray Sir</t>
  </si>
  <si>
    <t>Mr. Ravi Gupta</t>
  </si>
  <si>
    <t>Mrs. Archana Khade</t>
  </si>
  <si>
    <t>12.30 PM</t>
  </si>
  <si>
    <t>BILL</t>
  </si>
  <si>
    <t>Mr. Ajay Kothiya Sir</t>
  </si>
  <si>
    <t>Mr. Ravi Malge</t>
  </si>
  <si>
    <t>11.30 AM</t>
  </si>
  <si>
    <t>M/S SHREE TRIMURTI CHS</t>
  </si>
  <si>
    <t>Buildig Area</t>
  </si>
  <si>
    <t>Ground + 3 Floor Building Comon Area</t>
  </si>
  <si>
    <t>Mr. Vipin Singh</t>
  </si>
  <si>
    <t>4.30 PM</t>
  </si>
  <si>
    <t>Saish More</t>
  </si>
  <si>
    <t>BALANCE</t>
  </si>
  <si>
    <t>R/14</t>
  </si>
  <si>
    <t>S/33</t>
  </si>
  <si>
    <t>Mr. Daniel Fernandes</t>
  </si>
  <si>
    <t>Mr. Kishor Shetty</t>
  </si>
  <si>
    <t>Mr. Umar Penwala</t>
  </si>
  <si>
    <t>M/S V. M. Enterprise</t>
  </si>
  <si>
    <t>03 nos shop</t>
  </si>
  <si>
    <t>Mr. Satish Karna</t>
  </si>
  <si>
    <t>Rahul Kamble</t>
  </si>
  <si>
    <t>Mr. Shaktiman Mishra</t>
  </si>
  <si>
    <t>Parthasarathy Chaganty</t>
  </si>
  <si>
    <t>Mr. Parthasarathy Chaganty</t>
  </si>
  <si>
    <t xml:space="preserve">Mosquito - Fogging </t>
  </si>
  <si>
    <t>Mr. Singh</t>
  </si>
  <si>
    <t>C-503, Shreeji Ville, Opposite Nitin Company, Almeida road, Thane - West</t>
  </si>
  <si>
    <t xml:space="preserve">D- 602, OPP AYUSH HOSPITAL, YASHAVANT GAURAV NAGAR, NALASOPARA </t>
  </si>
  <si>
    <t xml:space="preserve">Mrs. Prachi More </t>
  </si>
  <si>
    <t>01.30 AM</t>
  </si>
  <si>
    <t>REFERENCE</t>
  </si>
  <si>
    <t>Sandeep Sankhe</t>
  </si>
  <si>
    <t>D-701, Mars Buld, Vasant Galaxy, Bangur Nagar, Goregaon (west)</t>
  </si>
  <si>
    <t>Mahesh Kholase</t>
  </si>
  <si>
    <t>Mrs.Heena Singh</t>
  </si>
  <si>
    <t>DIPESH SALVI</t>
  </si>
  <si>
    <t>Gopal tarrecc shimpoli road kastur park opp Satra park bata showroom borivali west</t>
  </si>
  <si>
    <t>H/05</t>
  </si>
  <si>
    <t>Pending</t>
  </si>
  <si>
    <t>C R MISHRA</t>
  </si>
  <si>
    <t>Service pending</t>
  </si>
  <si>
    <t>SHOBHA SHRIVASTAV</t>
  </si>
  <si>
    <t>RATISH NAIR</t>
  </si>
  <si>
    <t>SURESH MAHAJAN</t>
  </si>
  <si>
    <t>Room No. 103/7, Vishnu Vihar Complex, Manvelpada, Virar - East</t>
  </si>
  <si>
    <t>Rohit Mahajan</t>
  </si>
  <si>
    <t>Koolipurackal Devasia</t>
  </si>
  <si>
    <t>F-1/304, Highland Park, Guru Govind Singh Marg, Mulund - West</t>
  </si>
  <si>
    <t>2803, Napoleon, Sai Word Empire, Sector 36, Kharghar</t>
  </si>
  <si>
    <t>Mohammed Rafiq</t>
  </si>
  <si>
    <t>ShreeDham Splendour 2, Off New Link Rd, Anand Nagar, Andheri West, Mumbai, Maharashtra 400102</t>
  </si>
  <si>
    <t>97570 36463</t>
  </si>
  <si>
    <t>ShreeDham Splendour, 9/92 Flat</t>
  </si>
  <si>
    <t>F 2 wing, Flat no 102, Highland Park, Mulund colony, Near Shastri nagar, Mulund - West</t>
  </si>
  <si>
    <t>98678 70213</t>
  </si>
  <si>
    <t>F 2 wing, Flat no 103, Highland Park, Mulund colony, Near Shastri nagar, Mulund - West</t>
  </si>
  <si>
    <t>Mrs. Seji Madam</t>
  </si>
  <si>
    <t>Mrs. Siji Madam</t>
  </si>
  <si>
    <t>Siji Donbosco Thomas</t>
  </si>
  <si>
    <t>Tanishka Kripalani</t>
  </si>
  <si>
    <t>Mrs. Meeta Prajapati</t>
  </si>
  <si>
    <r>
      <t xml:space="preserve">M/S. </t>
    </r>
    <r>
      <rPr>
        <sz val="11"/>
        <color rgb="FF000000"/>
        <rFont val="Calibri"/>
        <family val="2"/>
        <scheme val="minor"/>
      </rPr>
      <t>BHARATIYA VANITHA SAMAJ GIRLS HOSTEL,</t>
    </r>
  </si>
  <si>
    <t xml:space="preserve">Plot A, Bhaudaji Road, Next to Panjab Association, Matunga - East, Mumbai - 400022 </t>
  </si>
  <si>
    <t>Gr. Floor 07 Rooms</t>
  </si>
  <si>
    <t>Mrs. Sheetal Yadav Madam</t>
  </si>
  <si>
    <t>Mr. Sanjay Dhaul,</t>
  </si>
  <si>
    <t>Flat No. 1407, 14th Floor, Sai Nagar SRA CHS, D N Nagar, Andheri - West, Mumbai -400053.</t>
  </si>
  <si>
    <t>Mr. Sanjay Dhaul Sir</t>
  </si>
  <si>
    <t xml:space="preserve">M/S Componix India Pvt. Ltd., Konark Shram, 102/103, Gr. Flr, Behind Everest Bldg, Next To Bank Of India, Mumbai Central- West, Tardeo - 400034.  </t>
  </si>
  <si>
    <t>Mrs. Mrunali Ajmera Madam</t>
  </si>
  <si>
    <t>Mrs. Rozy Jha</t>
  </si>
  <si>
    <t>Room No. 208, Sai Shraddha Apartment, Near Riksha Stand, Sahakar Nagar, Virar - East.</t>
  </si>
  <si>
    <t>Mrs. Rozy Jha Madam</t>
  </si>
  <si>
    <t>B/204, 3rd Floor, Vishnu Prasad Complex, Opp. Utkarsh School, Near S T Bus Stand, Virar - West</t>
  </si>
  <si>
    <t>Mr. Rupesh Singh</t>
  </si>
  <si>
    <t>Mr. Rupesh Singh Sir</t>
  </si>
  <si>
    <t>Mr. Chinmay Sankhe</t>
  </si>
  <si>
    <t>Mr. Chinmay Sankhe Sir</t>
  </si>
  <si>
    <t>B/201, MOHAK HOUSE, MORYA NAGAR, MANVEL PADA ROAD, VIRARA - EAST</t>
  </si>
  <si>
    <t xml:space="preserve">Mr. Laxmidas </t>
  </si>
  <si>
    <t>1602, K- wing, Rustomji Azinao, Thane - West</t>
  </si>
  <si>
    <t>Mr. Laxmidas Sir</t>
  </si>
  <si>
    <t>Satish Dhamanse</t>
  </si>
  <si>
    <t>Janardan More</t>
  </si>
  <si>
    <t>Vaishali Jadhav</t>
  </si>
  <si>
    <t>Mr. ABHISHEK</t>
  </si>
  <si>
    <t>Room No. 202, Suhas Apartment, Near Auto Stand, Virar - West.</t>
  </si>
  <si>
    <t>Mr. ABHISHEK Sir</t>
  </si>
  <si>
    <t>Mrs. Akshaya Sakpal</t>
  </si>
  <si>
    <t>N/105, Penansula Park, Y K Nagar, Virar - West.</t>
  </si>
  <si>
    <t>Mrs. Akshaya Sakpal Madam</t>
  </si>
  <si>
    <t>Mr. Manoj Lakhotia</t>
  </si>
  <si>
    <t>Mr. Manoj Lakhotia Sir</t>
  </si>
  <si>
    <t>B-1/04, Ramanuj CHSL, Mahesh Nagar, S V Road, Goregaon - West, Mumbai - 400104.</t>
  </si>
  <si>
    <t>Office Internal Area</t>
  </si>
  <si>
    <t>Mr. Santosh Indulkar</t>
  </si>
  <si>
    <t>C/402, Vaishnavi Apt, Sai Nath Nagar, Near Indian Oil Petrol Pump, Virar - East</t>
  </si>
  <si>
    <t>Mr. Santosh Indulkar Sir</t>
  </si>
  <si>
    <t>1 P M</t>
  </si>
  <si>
    <t>Mrs. Preeti Kapoor</t>
  </si>
  <si>
    <t>Flat No. 252, T 3, Kalpataru Paramount, Next to Balkum Fire Stn, Opp TMC majiIwada Office,Near Kapurbabawadi, Thane.</t>
  </si>
  <si>
    <t>Mrs. Preeti Kapoor Mam</t>
  </si>
  <si>
    <t>Mrs. Savita A. Thote</t>
  </si>
  <si>
    <t>Flat No. 2201/2202, Matoshree Hieghts Co-Op Hsg Soc Ltd, Cts No. 168, Plot No. 162, Tps-04, D. L. Vaidya Marg, Dadar West, Mumbai - 400028</t>
  </si>
  <si>
    <t>M/S COMPONIX INDIA PVT LTD</t>
  </si>
  <si>
    <t>Mr. Kushal Sutar</t>
  </si>
  <si>
    <t>Mr. Kushal Sutar Sir</t>
  </si>
  <si>
    <t>Room No. 302, Sai Suyog Bldg, Opp. Shilpa Jwelers, Samel Pada, Nalasopara - West</t>
  </si>
  <si>
    <t>Mr. Kaushik Naik</t>
  </si>
  <si>
    <t>Bolinj Bhirim Ali, Near Vishnu Mandir,  Bolinj Sopara Road, Virar - West</t>
  </si>
  <si>
    <t>Mr. Kaushik Naik Sir</t>
  </si>
  <si>
    <t>Anti Termite Service</t>
  </si>
  <si>
    <t>Bunglow</t>
  </si>
  <si>
    <t>Mr. Vishal Patlekar</t>
  </si>
  <si>
    <t>Flat No. 403, Rustoomjee Avenue L 1, Global City, Opp. Club 1, Virar - West.</t>
  </si>
  <si>
    <t>Mr. Vishal Patlekar Sir</t>
  </si>
  <si>
    <t>Sharad Kamble</t>
  </si>
  <si>
    <t>Mr. Amit Patil</t>
  </si>
  <si>
    <t>Mr. Amit Patil Sir</t>
  </si>
  <si>
    <t>Flat No. B/1602 &amp; 1702, Pride CHS, Near Kendriya Vihar Metro Stn, Sector 7, Kharghar</t>
  </si>
  <si>
    <t>Flat No. C-103, Agrawal Medows, Near Munji Bhai Mehta School, Virar - West</t>
  </si>
  <si>
    <t>Mr. Abhilash Nair Sir</t>
  </si>
  <si>
    <t>Mr. Abhilash Nair</t>
  </si>
  <si>
    <t>ShopNo. 4, B - wing, Riddhi Siddhi Tower CHS, Pimpalwadi, Next to SBI Bank, Virar - East</t>
  </si>
  <si>
    <t>Mr. Sachin Poyrekar</t>
  </si>
  <si>
    <t>B/221, Bhakti Sadan, Jivdani Road, Bhoir Pada, Opp. Prem Nagar Bldg, Virar - East</t>
  </si>
  <si>
    <t>Mr. Sachin Poyrekar Sir</t>
  </si>
  <si>
    <t>Mr. Dinesh Yadav Sir</t>
  </si>
  <si>
    <t>Mrs. Kajal Mishra</t>
  </si>
  <si>
    <t>Mrs. Kajal Mishra Madam</t>
  </si>
  <si>
    <t>Flat No.  , Evershine, Global City, Virar - West</t>
  </si>
  <si>
    <t>Flat No. A/83, Oshiwara Sandipani Society, New Link Road, Anand Nagar, Jogeshwari - West.</t>
  </si>
  <si>
    <t>2.30 PM</t>
  </si>
  <si>
    <t>Mrs. Satya Gangta</t>
  </si>
  <si>
    <t>Mrs. Satya Gangta Madam</t>
  </si>
  <si>
    <t>B/161, Floor No. 16, Shreedham Spledour Bldg, Oshiwara, Anand Nagar, Jogeshwari - Andheri</t>
  </si>
  <si>
    <t>Mr. Heet Doshi</t>
  </si>
  <si>
    <t>Flat No. 11108, Bhavani co op Hsg Soc, Opp Pacific Plaza, Garage Galli, Dadar - West</t>
  </si>
  <si>
    <t>Mr. Heet Doshi Sir</t>
  </si>
  <si>
    <t xml:space="preserve">Mr. Sachin Shetty </t>
  </si>
  <si>
    <t>Mr. Usman Shaikh</t>
  </si>
  <si>
    <t>Flat No. 02, Sripal Park CHS, P P Marg, Near Mother Theresa Church, Virat Nagar, Virar - West</t>
  </si>
  <si>
    <t>Mr. Sachin Shetty Sir</t>
  </si>
  <si>
    <t>1.30 PM</t>
  </si>
  <si>
    <t xml:space="preserve">302, J B Heights, Above Domino's Pizza, Carter road no. 1, Near kasturba police station, Borivali -East  </t>
  </si>
  <si>
    <t>Mrs. Sushma Rathod</t>
  </si>
  <si>
    <t>Mrs. Sushma Rathod Madam</t>
  </si>
  <si>
    <t>M/S Siidna Healthcare Pvt. Ltd.</t>
  </si>
  <si>
    <t>Flat no -A/ 301, Gavdevi co op hsg soc, Dombivali</t>
  </si>
  <si>
    <t>Mrs. Sneha Bobhate</t>
  </si>
  <si>
    <t>Mrs. Sneha Bobhate madam</t>
  </si>
  <si>
    <t>10.00 AM</t>
  </si>
  <si>
    <t>Mr. Bhavesh Prajapati</t>
  </si>
  <si>
    <t>Mr. Chandrabhan Singh</t>
  </si>
  <si>
    <t>B/104, Paradise Tower, Behind New Viva Collage, Virar - West</t>
  </si>
  <si>
    <t>SHOP NO-8, MANGALYA BLDG, BAL GOVINDAS RD, NEAR NATYA MANDIR, DADAR - EAST</t>
  </si>
  <si>
    <t>THOTE MILK CENTRE</t>
  </si>
  <si>
    <t>MR. NITIN SIR</t>
  </si>
  <si>
    <t>Flat No. 201, B-1, Building No-15, Agrawal Lifestyle, Global City, Virar - West</t>
  </si>
  <si>
    <t>Mr. Ragho Dattaram Parab</t>
  </si>
  <si>
    <t>Room No. 403, Vaishnavi Apartment, Navjeevan Nagar, Behind K K Bakery, Frontof GM Food Corner, Narangi Road, Virar - East</t>
  </si>
  <si>
    <t>D/401, Paritosh Bldg, Premium Park, Behind Hotel ON THE WAY, Bolinj, Virar - West</t>
  </si>
  <si>
    <t>3.30 PM</t>
  </si>
  <si>
    <t>Mrs. Anita Bhagwat</t>
  </si>
  <si>
    <t>702, Jaswand, Mayfair, Virar Garden, Bldg No. 4, Kharodi Naka, Bolinj, Virar - West</t>
  </si>
  <si>
    <t>Mr. Harshad Sagar</t>
  </si>
  <si>
    <t>502/503/504/506, Karishma Chmbers, Next to Bombay Cambridge School, R T Marg, Chakala, Andheri - East</t>
  </si>
  <si>
    <t>Mr. Rushinath K. Patyane Sir</t>
  </si>
  <si>
    <r>
      <rPr>
        <sz val="8"/>
        <color theme="1"/>
        <rFont val="Calibri"/>
        <family val="2"/>
        <scheme val="minor"/>
      </rPr>
      <t>M/S</t>
    </r>
    <r>
      <rPr>
        <sz val="11"/>
        <color theme="1"/>
        <rFont val="Calibri"/>
        <family val="2"/>
        <scheme val="minor"/>
      </rPr>
      <t xml:space="preserve"> Navkar Logistics Pvt Ltd</t>
    </r>
  </si>
  <si>
    <t>m/s Neo Smile Developers</t>
  </si>
  <si>
    <t>Shop No. 1,2, Satyadeep CHS Ltd, Padma Nagar, Chikuwadi, Behind Darshan Tower, Borivali - West</t>
  </si>
  <si>
    <t>Rat Control Service</t>
  </si>
  <si>
    <t>Suraj Tiwari</t>
  </si>
  <si>
    <t>Mrs. Vidya Kadam</t>
  </si>
  <si>
    <t>Flat No. 14, B/44, Nachiket Bldg, Anand Nagar, Dahisar - East</t>
  </si>
  <si>
    <t>Mr. Brijesh Tiwari Sir</t>
  </si>
  <si>
    <t>Labour Camp and Office</t>
  </si>
  <si>
    <t>Labour Camp and Office Internal Area</t>
  </si>
  <si>
    <t>Mrs. Sana Shaikh</t>
  </si>
  <si>
    <t>1306, C - wing, Centrio by M J Shah, P L Lokhande Marg, Near Kanakia International School, Gautam Nagar, Govandi - West</t>
  </si>
  <si>
    <r>
      <rPr>
        <sz val="8"/>
        <color theme="1"/>
        <rFont val="Calibri"/>
        <family val="2"/>
        <scheme val="minor"/>
      </rPr>
      <t xml:space="preserve">M/S </t>
    </r>
    <r>
      <rPr>
        <sz val="10"/>
        <color theme="1"/>
        <rFont val="Calibri"/>
        <family val="2"/>
        <scheme val="minor"/>
      </rPr>
      <t>ORACURA SOLUTION PVT. LTD</t>
    </r>
  </si>
  <si>
    <t>M K Shah Exports, Plot No. 141, TTC Industrial Area, Shiravane, Nerul, Navi Mumbai - 400706</t>
  </si>
  <si>
    <t>Mrs. Kalpita Vartak</t>
  </si>
  <si>
    <t>1302, M Bariya, White City Building, Building No. 1, Near Olanda Naka, Agashi Road, Bolinj, Virar - West</t>
  </si>
  <si>
    <t>Mr. Manoj Butia</t>
  </si>
  <si>
    <t>402, M Bariya, Manvel Pada Talav, Virar</t>
  </si>
  <si>
    <t>m/s Parth Enterprises</t>
  </si>
  <si>
    <t>Office No. 27/A, Sandipani Soceity, Anand Nagar, Jogeshwari - West</t>
  </si>
  <si>
    <t>Mr. Premal Sir</t>
  </si>
  <si>
    <t>B/006, Shyam Ashish, Samrat Complex, Behind Central Park, Virar - West.</t>
  </si>
  <si>
    <t>Wood Borar Spray</t>
  </si>
  <si>
    <t>Mr. Sweta Mohakar</t>
  </si>
  <si>
    <t>C/O Mr. Mansoor Sir</t>
  </si>
  <si>
    <t>Flat No. 1203, 12 Floor, Marothon Omega CHSL, Senapati Bapat Marg, Lower Parel, Mumbai</t>
  </si>
  <si>
    <t>Mr. Mansoor Sir</t>
  </si>
  <si>
    <t>Mr. Dinesh Dhamanse</t>
  </si>
  <si>
    <t>Mr. Tejas Shah</t>
  </si>
  <si>
    <t>A/103, Anshul Height, Mahaveer Nagar, Kandivali - West</t>
  </si>
  <si>
    <t>Monthly Service</t>
  </si>
  <si>
    <t>Mr. Raghuveer Singh</t>
  </si>
  <si>
    <t>C/004, Gr. Floor, Red Wood Soceity, Near Swapna Nagari Garden, Mulund - West</t>
  </si>
  <si>
    <t>Mr. Dinkar Naik</t>
  </si>
  <si>
    <t>Mr. Guddu Sharma</t>
  </si>
  <si>
    <t>Global City, Blue Pearl, Near Karnataka Bank, Virar - West</t>
  </si>
  <si>
    <t>m/s Muthoot FinCorp Gold Loan</t>
  </si>
  <si>
    <t xml:space="preserve">Office No. 12, 1st Floor, Kingston Tower, Viva College Road, Chintamani Vihar, Tirupati Nagar Phase 2, Bollinj, Virar - West </t>
  </si>
  <si>
    <t>Mrs. Rupali Tiwari Madam</t>
  </si>
  <si>
    <t>Termite Control Spray</t>
  </si>
  <si>
    <t>Construction Area</t>
  </si>
  <si>
    <t>Construction site - Lift Cren Area</t>
  </si>
  <si>
    <t>1000 Pending</t>
  </si>
  <si>
    <t>m/s ADISH ENTERPRISES</t>
  </si>
  <si>
    <t>M/S FLUERON INKS PVT LTD, PLOT - B 34, AMBERNATH MIDC, TAL. - AMBERNATH, DIST. - THANE</t>
  </si>
  <si>
    <t>GST BILL</t>
  </si>
  <si>
    <t>Mousquito Control Service</t>
  </si>
  <si>
    <t>Mr. Ramesh Sawant</t>
  </si>
  <si>
    <t>construction site</t>
  </si>
  <si>
    <t>Mr. Satish Narayan Hegde</t>
  </si>
  <si>
    <t xml:space="preserve">204, Anand Building, New Vijay Co-Op Hsg Soc Ltd, Near Datta Mandir, Front Of Icchapurti, Nalasopara - East </t>
  </si>
  <si>
    <t>Mrs Puja Yadav</t>
  </si>
  <si>
    <t>Bhayender</t>
  </si>
  <si>
    <t>Mr. Manish Nagal</t>
  </si>
  <si>
    <t>Mira Road</t>
  </si>
  <si>
    <t>T/04</t>
  </si>
  <si>
    <t>H/07</t>
  </si>
  <si>
    <t>S/34</t>
  </si>
  <si>
    <t>S/35</t>
  </si>
  <si>
    <t>N/05</t>
  </si>
  <si>
    <t>S/36</t>
  </si>
  <si>
    <t xml:space="preserve">Pending </t>
  </si>
  <si>
    <t>DR. Ninad Chauhan</t>
  </si>
  <si>
    <t>B-201, Chaya Sugandhi Apartment, Near Matrix School, Opp.Disha Hotel, Bolinj, Kharodi, Virar-W</t>
  </si>
  <si>
    <t>Mr.Harshal Jadyar</t>
  </si>
  <si>
    <t>A/404, Bramha Complex, Bldg. No.1, Manvel Pada Road, Virar-East.</t>
  </si>
  <si>
    <t>Mr. Gauttam Sir</t>
  </si>
  <si>
    <t>Mrs. Smita Pawar</t>
  </si>
  <si>
    <t>B/203, Vinesh Apt., Near National School, Virat Nagar, Virar- West.</t>
  </si>
  <si>
    <t>Mrs. Shrushti Naik</t>
  </si>
  <si>
    <t>B/205, Jineshwar Vihar, Building No. 1, Behind Muljibhai Mehta School, Gokul Township, Virar - West</t>
  </si>
  <si>
    <t>Mrs. Akansha Sjngh</t>
  </si>
  <si>
    <t>B/305, Jineshwar Vihar, Building No. 1, Behind Muljibhai Mehta School, Gokul Township, Virar - West</t>
  </si>
  <si>
    <t>9.30 AM</t>
  </si>
  <si>
    <t>Mr. Shrutesh Gaonkar</t>
  </si>
  <si>
    <t>JOB NO</t>
  </si>
  <si>
    <t>Flat No. 3C/72, Kalpataru Aura, LBS Marg, Opp-R-City Mall, Ghatkopar - West.</t>
  </si>
  <si>
    <t>m/s Tatvik Buildcon Pvt Ltd</t>
  </si>
  <si>
    <t>Shanti Solitair, Matunga Road Western, Near Ruparel College, Matunga - West.</t>
  </si>
  <si>
    <t>Mr. Hanif Tandel</t>
  </si>
  <si>
    <t>01 Contenor of Client</t>
  </si>
  <si>
    <t>Mr. Omkar Apte</t>
  </si>
  <si>
    <t>B/601, Gokul Annex, Opp. Munjibai Mehata School, Gokul Townsheep, Virar - West</t>
  </si>
  <si>
    <t>m/s Ansh Infra</t>
  </si>
  <si>
    <t>Mr. Girish Deore</t>
  </si>
  <si>
    <t>JWIL Office, 220 kv Mulund Substation, MSETCL, Mulund - East</t>
  </si>
  <si>
    <t>B/303, Agarwal Heights, Opp. D mart, Near New Viva College, Virar - West</t>
  </si>
  <si>
    <t>Mr. K. A. Rajumon</t>
  </si>
  <si>
    <t>1. 30 PM</t>
  </si>
  <si>
    <t>Mr. Pritam Purohit</t>
  </si>
  <si>
    <t>A/301, Gagan Solitare, Viva Jangid Complex, Behind Manvelpada Talav, Virar - East</t>
  </si>
  <si>
    <t>A/ 101,  Aatama Shraddha Soc, Veer Savarkar Marg, Near Laxmi Timber Mart, Near Fly Over,  Virar - East</t>
  </si>
  <si>
    <t>Termite Control - Drilling &amp;  Spray</t>
  </si>
  <si>
    <t>Mr. Kalpesh Rana</t>
  </si>
  <si>
    <t>Mrs. Neeta Kamble</t>
  </si>
  <si>
    <t>Dr. Manik Potwar</t>
  </si>
  <si>
    <t>Flat No. 5804, 58th Floor, B Wing, Park Side, Pandurang Budhkar Marg, Lower Parel- West</t>
  </si>
  <si>
    <t>2000 Sqft Area</t>
  </si>
  <si>
    <t>Lau</t>
  </si>
  <si>
    <t>Flat No. 108, Om Chembers, 123 august Kranti Marg, Kemps Corner, Grant Road, Mumbai- 36</t>
  </si>
  <si>
    <t>270 Sqft Area</t>
  </si>
  <si>
    <t>K/04</t>
  </si>
  <si>
    <t>1 st Floor, Pandit Mahal, Above Saheli Garments Shop, Opp. SBI Bank, Near Vitthal Mandir, Virar - West</t>
  </si>
  <si>
    <t>Mrs. Priti Mahale</t>
  </si>
  <si>
    <t>520 sqft Area</t>
  </si>
  <si>
    <t>Clinic Internal Area</t>
  </si>
  <si>
    <t>Mrs. Suvidha Nimbalkar</t>
  </si>
  <si>
    <t>B/205, Tulip Bldg, Yashawant Nagar, Virar - West</t>
  </si>
  <si>
    <t>Mr. Adweit Shelankar</t>
  </si>
  <si>
    <t>201, B- Wing, Evershine A3A, Global City, Virar - West</t>
  </si>
  <si>
    <t>Mr. Ganesh Devrukhkar</t>
  </si>
  <si>
    <t>Shop No. 10, Sai Savali Bldg, Next to Ganapati Mandir, Manvel pada - Virar - West</t>
  </si>
  <si>
    <t>Shop Internal Area</t>
  </si>
  <si>
    <t>Mr. Siddhesh Shetty</t>
  </si>
  <si>
    <t>Flat No. 1201, Star Right Heights, Janta Market, Kannamwar Nagar 2, Opp. Asmita Woomens College, Vikhroli - East</t>
  </si>
  <si>
    <t>Mr. Mukesh Dubey</t>
  </si>
  <si>
    <t>Flat No. 506, F - Wing, Ritu Gardenia CHS, Near Vaman Dhaba, Naigaon - East</t>
  </si>
  <si>
    <t>Mrs. Priya Minocha</t>
  </si>
  <si>
    <t>Flat No. 33, Building No.3, Kamdhenu Hari Om Ngrg Mulund East,Mumbai- 400081</t>
  </si>
  <si>
    <t xml:space="preserve">Mr. Venkatesh </t>
  </si>
  <si>
    <t>Flat No. E- 1902, Mahindra Splendor, LBS Marg, Bhandup West, Opp. Neptune Mall, Mumbai- 400078</t>
  </si>
  <si>
    <t>Vijayalaxmi Madam</t>
  </si>
  <si>
    <t>Mr. Nitin Dube</t>
  </si>
  <si>
    <t>22nd, Kotnath Bhuvan (Hemkung), Akesha Showroom, 2nd Floor, V.P. Road, Mulund West, Mumbai 400080</t>
  </si>
  <si>
    <t>Mr. Sagar Bhose</t>
  </si>
  <si>
    <t>A/002, The Hill Park CHSL, Jivdani Temple Road, Virar East, Palghar- 401305</t>
  </si>
  <si>
    <t>M/S Kundan Refinery Pvt. Ltd</t>
  </si>
  <si>
    <t>302, Sanjay Appa Chembers, Behind Charat Singh Coloney, New Chakala Link Road, Andheri East, Mumbai- 400093</t>
  </si>
  <si>
    <t>Mr. Jitendra Sir</t>
  </si>
  <si>
    <t>Office Area</t>
  </si>
  <si>
    <t>M/s. Enlightened Magic</t>
  </si>
  <si>
    <t xml:space="preserve">Milind </t>
  </si>
  <si>
    <t>Nishant Kharat</t>
  </si>
  <si>
    <t>Office No. 815, Ecstasy Business Park, JSD Road, Mulund West, Mumbai - 400080</t>
  </si>
  <si>
    <t>BANK</t>
  </si>
  <si>
    <t>Mr. Shashank Srivastava</t>
  </si>
  <si>
    <t>Flat No. 505, Bldg no.- 19, H - Avenue, Global City, Virar- West</t>
  </si>
  <si>
    <t>Mr. Shubham Designer Jewellery</t>
  </si>
  <si>
    <t>Shop No. 5, Siddachal CHSL, Hanuman Road, Vile Parle - East, Mumbai - 400075</t>
  </si>
  <si>
    <t>180 sqft</t>
  </si>
  <si>
    <t>Mrs. Devshree Manke</t>
  </si>
  <si>
    <t>Flat No. L/205, Ganpati Kutir CHS, Behind Divekar Hospital, Virar - West</t>
  </si>
  <si>
    <t>Mr. Shubham Shetye Sir</t>
  </si>
  <si>
    <t>Thermal  Fogging</t>
  </si>
  <si>
    <t>Construction site- 20 Labour camp and 10 Office</t>
  </si>
  <si>
    <t>Near Sant Namdev Society, Behind Kamrajnagar Police Chauky, Ghatkopar East, mumbai 400077,Kamraj Nagar, Mumbai.</t>
  </si>
  <si>
    <t>m/s Kean Constuction Pvt ltd</t>
  </si>
  <si>
    <t>Mr. Pandey Sir</t>
  </si>
  <si>
    <t>Mrs. Shilpa Yadav</t>
  </si>
  <si>
    <t>B/910, Omkar, Pushpa Park, Malad East.</t>
  </si>
  <si>
    <t>Flat No. H - 103, Omkar Nagar CHS,  Agashi, Virar -  West.</t>
  </si>
  <si>
    <t>Mrs. Manisha Jadhav</t>
  </si>
  <si>
    <t>Mr. Jayanta Sahu</t>
  </si>
  <si>
    <t>Flat No. A - 15, 4th Floor, Kumar CHSL, Station Road, Vikhroli - West, Mumbai - 400079</t>
  </si>
  <si>
    <t>Milind Rajiwade</t>
  </si>
  <si>
    <t>Gaurav Gupta</t>
  </si>
  <si>
    <t>Client Reference</t>
  </si>
  <si>
    <t>Maruti Bhalshankar</t>
  </si>
  <si>
    <t>m/s  JSB Home Makers Pvt. Ltd.</t>
  </si>
  <si>
    <t>Snake Control Service</t>
  </si>
  <si>
    <t>Office  External Area</t>
  </si>
  <si>
    <t>SUNNY SINGH</t>
  </si>
  <si>
    <t>MR. SUNNY SINGH</t>
  </si>
  <si>
    <t>B-2, 2101, MANOPUS W.E HIGHWAY, KASHIMIRA, NEAR LAXMI MOTORS, MIRA ROAD, THANE</t>
  </si>
  <si>
    <t>Mr. Sandeep Singh</t>
  </si>
  <si>
    <t>A - 202, Sonal Amit Shopping Centre, Nalasopara - West</t>
  </si>
  <si>
    <t>Mr. Sandeep Singh sir</t>
  </si>
  <si>
    <t>C - 305, Om Sai Heights, Phase 2, Yashavant Gaurav, Nalasopara - West</t>
  </si>
  <si>
    <t>Flat No. A/002, Green Glade CHSL, VBHSC, Palghar</t>
  </si>
  <si>
    <t>Mrs. Juddy Parera Madam</t>
  </si>
  <si>
    <t>7738194808 / 9870060079</t>
  </si>
  <si>
    <t>Renewal</t>
  </si>
  <si>
    <t>m/s RRC VENTURE PVT LTD</t>
  </si>
  <si>
    <t>Mr. ShuddhodhanPaikrao Sir</t>
  </si>
  <si>
    <t>Construction site- 30 Labour camp and Office</t>
  </si>
  <si>
    <t>New Neelkanth Green Bldg, J. B. Road, Manpada - Thane</t>
  </si>
  <si>
    <t>Raghukul, 1st Floor, Hira Vidyalaya Road, Vartak Ward, Virar - West</t>
  </si>
  <si>
    <t>Room No. 4, Shree Gurudatta Apartment, Manvelpada Gaon, Near Datta Mandir, Virar - East</t>
  </si>
  <si>
    <t>Mrs. Sharvari Ligam</t>
  </si>
  <si>
    <t>m/s Khandelwal Group</t>
  </si>
  <si>
    <t>Savgan Heights, A -Wing, 1st Floor, RTO Lane, Near Ambedkar Hall, Four Bunglow, Andheri - West</t>
  </si>
  <si>
    <t>Mr. Amit Sir</t>
  </si>
  <si>
    <t>Rat control, Termite Control, General pest</t>
  </si>
  <si>
    <t>Office - 02 nos.</t>
  </si>
  <si>
    <t>Yearly Service</t>
  </si>
  <si>
    <t>m/s Kean Construction Limited</t>
  </si>
  <si>
    <t xml:space="preserve">HQ Project, Hans Bhugra Marg, Opp. Param House, Near Maratha Colony, Santacruz East, Mumbai - 400098  </t>
  </si>
  <si>
    <t>Mr. Maruti Sir</t>
  </si>
  <si>
    <t xml:space="preserve">Construction Area, Security Cabin,  Labour Camp, 03 Client offices </t>
  </si>
  <si>
    <t>Mrs. Supriya Chaudhari</t>
  </si>
  <si>
    <t>Mr. Rupesh Dhadve</t>
  </si>
  <si>
    <t>Flat No. 7/B - 302, Vaishnavi Sai Complex, Near Tandul Bazar, Chandansar, Virar - East</t>
  </si>
  <si>
    <t>Mr. Mukund Bhagwant Yadav</t>
  </si>
  <si>
    <t>Podar Section, R. A. Podar College, Near UG Boys Hostel, Dr. A. B. Road, Worli, Mumbai - 400018</t>
  </si>
  <si>
    <t xml:space="preserve">Mr. Surynarayan Sahu  </t>
  </si>
  <si>
    <t>Flat No. 1105, Blue Pearl CHSL, Near Croma Showroom, Global City, Virar - West</t>
  </si>
  <si>
    <t>Termite Control &amp; Genaral Pest Control</t>
  </si>
  <si>
    <t>6 BHK Flat</t>
  </si>
  <si>
    <t>Mr. Jaggu Dalai</t>
  </si>
  <si>
    <t>Flat No. 102, F- wing, Jai Gurudev Complex, Near S. S. Hospital, Kelhar, Bhivandi</t>
  </si>
  <si>
    <t>Mr. Saroj Khairwar</t>
  </si>
  <si>
    <t>Flat No. 701, A - wing, Valencia Tower, Chikhalwadi, Near Bhatia Hospital, Tardev, Mumbai</t>
  </si>
  <si>
    <t>Mrs. Sulochana Parab</t>
  </si>
  <si>
    <t>Room No. 302, Janardhan Residency, Deshmukh Galli No. 2, Dongar Pada, Virar - West- 401303</t>
  </si>
  <si>
    <t>Flat No. 571, 3rd Floor, Building No. 32, Opp. Fire Station, Adarsh Nagar</t>
  </si>
  <si>
    <t>Mrs. Meenakshi Mangalani</t>
  </si>
  <si>
    <t>Mrs. Vidhi Salvi</t>
  </si>
  <si>
    <t>Flat No. 101, Ambika Palece Soc, Near M. Bhariya Bldg, Manvel Pada, Virar - East</t>
  </si>
  <si>
    <t>M/15</t>
  </si>
  <si>
    <t>Mr. Nitin Bhoir</t>
  </si>
  <si>
    <t>At. Post - Agashi, Kolhapur Gaon, Dhobi Talav Stop, Near Shankar Mandir, Virar - West</t>
  </si>
  <si>
    <t>Mrs. Lata Bhoir</t>
  </si>
  <si>
    <t>One time GS+Bed Bug Service</t>
  </si>
  <si>
    <t>Milind</t>
  </si>
  <si>
    <t>Shop no.6, Diamond Tower CHS, Chintamani Vihar, Tirupati Nagar Phase II, Virar West,Virar, Mumbai 401303</t>
  </si>
  <si>
    <t>150 sqft shop</t>
  </si>
  <si>
    <t>Mr. Nitesh Choudhry</t>
  </si>
  <si>
    <t>Mr. Jayesh Tivalekar</t>
  </si>
  <si>
    <t>Flat No.205, Building No.4, B wing, Sheetal Nagar, Agashi Road, Virar- West</t>
  </si>
  <si>
    <t xml:space="preserve">Mrs. Jahnavi Chaganty </t>
  </si>
  <si>
    <t xml:space="preserve">B - 404, Shreenath Plaza, Near Datta Mandir and charai telephone exchange, Moulvi mandal school, Charai, Thane - West </t>
  </si>
  <si>
    <t>Mr. Vinod Shali</t>
  </si>
  <si>
    <t>D - 203, Nestle Heights, Jivdani Road, Bhoir Pada, Opp. Shreyas Hall, Virar - East</t>
  </si>
  <si>
    <t>Mr. Vinod Shali sir</t>
  </si>
  <si>
    <t xml:space="preserve">Mr. Devesh </t>
  </si>
  <si>
    <t xml:space="preserve">3/607, Aster CHS (Mayfair Virar Garden), Near Prakrui Hospital, Agashi Road, Bolinj, Virar - West </t>
  </si>
  <si>
    <t>PLATFORM NO 18, CST</t>
  </si>
  <si>
    <t>OPP S. T. STAND, NEAR GALAXY RESTAURANT, NALASOPARA</t>
  </si>
  <si>
    <t>NEAR SAWARKAR GARDEN, VIVEK BUILDING, GATE NO 2, BORIVALI</t>
  </si>
  <si>
    <t>Flat No. 101, Shanti Enclave Apartment, Agashi Naka, Chalpeth Road,Opp. Omkar Nagar, VIRAR - WEST</t>
  </si>
  <si>
    <t>Flat No. 502, Penunsula Park, Y K Nagar, VIRAR - WEST</t>
  </si>
  <si>
    <t>Flat No. 201, J. P. House, Plot No. 28/29, Sector 4A, KOPARKHAIRANE</t>
  </si>
  <si>
    <t>GOKUL NAKSHATRA , BOLING RD, OPP. PRAKRUTI HOSPITAL, VIRAR - WEST</t>
  </si>
  <si>
    <t>2A-303, Matrujyot, Near SBI branch, Behind Patankar Park, NALASOPAR - WEST</t>
  </si>
  <si>
    <t>C - 508,  Rachana Tower, HDIL Layout, Chikal Dongari Road, Near Bhoomi Acropolis, VIRAR - WEST</t>
  </si>
  <si>
    <t>1203, Parshwnath Galaxy, Kasarvadavli, Ghodbunder Road, Behind Mahindra Showroom, THANE - WEST</t>
  </si>
  <si>
    <t xml:space="preserve">Shiv Ganga Co Op Soc Ltd Shop No 4,5,6, S B Marg, Opp National Congress Office, Prabhadevi, West, Mumbai - 400025 </t>
  </si>
  <si>
    <t>C /301, Vinay Uniqe Imperia, Opp. Maitri Heights, Global city, VIRAR - WEST</t>
  </si>
  <si>
    <t>B/303, Viva Swarganga Dhaivat, Agashi Road, Bolinj, VIRAR - WEST</t>
  </si>
  <si>
    <t>Flat No. D/16, Sundaram Complex, Sundar Nagar, Vijay Nagar, Nalasopara - East</t>
  </si>
  <si>
    <t>Flat No. 101, Kach Pada, Near Sai Baba Mandir, Virar - East</t>
  </si>
  <si>
    <t>Flat No. 504, Sai Kutir, Manvel pada, Opp. Mohak city, Virar - East</t>
  </si>
  <si>
    <t>Flat No. A1  C- 301, Sai Pooja Apartment, Ostwal Nagari, Near Baba Sankul, Nalasopara - East</t>
  </si>
  <si>
    <t xml:space="preserve">Flat No. B - 503, Centrio Building, Gautam Nagar, Govandi - West </t>
  </si>
  <si>
    <t>Building No. 10, Vinay Unique, Gokul Township, Virar - West</t>
  </si>
  <si>
    <t>Near Suraj Genral Store, Virar - West</t>
  </si>
  <si>
    <t>Vasai Virar Mahanagar Palika Head Office, Near Mhada Colony, Virar - West</t>
  </si>
  <si>
    <t>B/204, Dwarkesh Plaza, Virat Nagar, Virar - West</t>
  </si>
  <si>
    <t>Taizo B2- 2605,Puranik Tokyo Bay, Opposite Hawre City, Virar - West</t>
  </si>
  <si>
    <t xml:space="preserve">Vinay Unique, Chikhal Dondri Gaon, Bhavani Mandir, Virar - West </t>
  </si>
  <si>
    <t>Opp. Cosmos Solitaire, Rustomjee Global City, Virar - West</t>
  </si>
  <si>
    <t>4 C, 703, Vinay Unique Residency, Gokul Township, Virar - West</t>
  </si>
  <si>
    <t>Flat No 104, Shree Shashwat Bldg no 8, Near Agarwal Lifestyle, Global City, Virar - West</t>
  </si>
  <si>
    <t>D/203, Cherry Residency, Yashwant Gaurav Coplex, Funfiesta Road, Nalasopara - West</t>
  </si>
  <si>
    <t>C/601, Lotus Apartment, Zero Shree Prashtha Road, Near ICIC Bank, Nalasopara - West</t>
  </si>
  <si>
    <t>1605, Building No. 13 B, Mhada Colony, Near Fire Brigade, Nalasopara - West</t>
  </si>
  <si>
    <t>504, Bldg No 12, M Bariya Height, Near Mamta Medical, Manvel Pada, VIRAR - EAST</t>
  </si>
  <si>
    <t>Flat No. 71, Building No. 3, Ganga Soceity, Hari Om Nagar, Mulund - East</t>
  </si>
  <si>
    <t>Flat No. 31/44, Kalpataru Aura, LBS Marg, Opp. Rcity Mall, GHATKOPAR -West</t>
  </si>
  <si>
    <t>Flat No. 1A/93, Kalpataru Aura, LBS Marg, Opp. Rcity Mall, GHATKOPAR -West</t>
  </si>
  <si>
    <t>A 2802, Lodha Imperia, Tank Road, BHANDUP</t>
  </si>
  <si>
    <t>Flat No. 902, Zuisen B3, Puraniks Tokyo Bay, Anand Nagar, Opp Haware City, Thane - West</t>
  </si>
  <si>
    <t>4001, 40 th  Floor, 25 South Building, South Tower, SVS Road, Opp Siddhivinayak Temple, Behind Vijay Sales, Prabhadevi, Mumbai - 400025</t>
  </si>
  <si>
    <t>F 203, Yojana Co Op Hsg Soc, Natwar Nagar, Road No. 5, JOGESHWARI EAST</t>
  </si>
  <si>
    <t>Flat No. G - 102, Godrej City, PANVEL</t>
  </si>
  <si>
    <t>1904, Building No. 26 Pancy, Mayfair, Virar Gardens, Bolinj, Virar - West</t>
  </si>
  <si>
    <t>8B/309, Lambodar CHSL, Mhada Colony, Opp. BEST Colony, Mahakali Caves Cross Road, ANDHERI - EAST</t>
  </si>
  <si>
    <t>B 69/70, Anand Nagar, Near new Link Road Flyover, DAHISAR - EAST</t>
  </si>
  <si>
    <t>Flat No. 204, Safalya Co-operative Society, Gourishankar Wadi No 2, Pantnagar, Ghatkopar - East</t>
  </si>
  <si>
    <t xml:space="preserve">b/704, Gulmohar Heritage 1, Yashavant Gaurav Road, After Fun Fista Cinema, Nalasopara - West </t>
  </si>
  <si>
    <t>Flat No.204, Bldg No. 54, Adarsh CHSL, Tagor Nagar, Opp. MTNL Bldg, VIKHROLI -EAST</t>
  </si>
  <si>
    <t>3001, 40 th  Floor, 25 South Building, South Tower, SVS Road, Opp Siddhivinayak Temple, Behind Vijay Sales, Prabhadevi, Mumbai - 400025</t>
  </si>
  <si>
    <t>A/6, Room No.2, Ground Floor, Grace Coloney, Boling Naka, Virar- West</t>
  </si>
  <si>
    <t>m/s Avant Hlway</t>
  </si>
  <si>
    <t>CTS No. 157, Film City Road, Near City Star Hotel, Goregaon - East</t>
  </si>
  <si>
    <t>Mr. Milind Sir</t>
  </si>
  <si>
    <t>Mr. Rupesh Nikumbh</t>
  </si>
  <si>
    <t>Flat No. 202, Tulsi CHS, Raja Chatrapati Shivaji Marg, Opp Desai Maternity Hospital or Behind Prem Vallabh Sabhagruha, Virar (West)</t>
  </si>
  <si>
    <t>99701 10023</t>
  </si>
  <si>
    <t>Mr. Javed Shaikh</t>
  </si>
  <si>
    <t>B - 403, 4Th Floor, MK Chambers Building, Opp. Bandra Talav, Near station Road, Bandra west</t>
  </si>
  <si>
    <t>Bedbug+General Pest Control</t>
  </si>
  <si>
    <t>Rohan Tiwari</t>
  </si>
  <si>
    <t xml:space="preserve">MS. Avdhut Nagar CHSL </t>
  </si>
  <si>
    <t>Avdhut Nagar, Manvel Pada Road, Opp.Atharv Hights,Virar East</t>
  </si>
  <si>
    <t xml:space="preserve"> Mr.Charan Savant</t>
  </si>
  <si>
    <t>Rat control</t>
  </si>
  <si>
    <t>Society Surrounding Area</t>
  </si>
  <si>
    <t>Society</t>
  </si>
  <si>
    <t>Mr. Hiten Parmar</t>
  </si>
  <si>
    <t>1104, Nirant Apartment, New Nagardas Road, Andheri - East</t>
  </si>
  <si>
    <t>Mrs. Jenny</t>
  </si>
  <si>
    <t xml:space="preserve"> L/201, Ganpati Kutir, Near Divekar Hospital, Virar West</t>
  </si>
  <si>
    <t>82687 14655</t>
  </si>
  <si>
    <t>Mrs. Darshana Mahadik</t>
  </si>
  <si>
    <t>A/205, Gajanan Apt, Near Krishtraj high school, shirdi nagar, Nalasopara - East</t>
  </si>
  <si>
    <t>1, Bharat villa, Bhogilal Fhadiya Road, Near SVP Law College, kandivali (west), Mumbai -400067</t>
  </si>
  <si>
    <t>883 018 1773</t>
  </si>
  <si>
    <t>B - 202, Golden Oak, Bolinj, Padmavati Nagar, Virar - West</t>
  </si>
  <si>
    <t>Mr. Sumit Purohit</t>
  </si>
  <si>
    <t xml:space="preserve">Mr.Basawaraj H Pattar </t>
  </si>
  <si>
    <t>10.30 am</t>
  </si>
  <si>
    <t>Damji sadan building,  Plot no.270, Room no.12, 3rd floor, Jethabhai lane, opp.Hanuman Mandir, Raighad chouk,Ghatkopar East, Mumbai - 400077</t>
  </si>
  <si>
    <t>Flat no. 123, Oshivara Sandipani Teachers co op soc Ltd, Anand Nagar, Jogeshwari - West.</t>
  </si>
  <si>
    <t>Mr. Babu</t>
  </si>
  <si>
    <t>Mr. Dinesh Mishra Sir</t>
  </si>
  <si>
    <t>Mr. Vijay Upadhyay</t>
  </si>
  <si>
    <t>Flat No.- 104, Sainath Apt., Nariya Nagar, Moregaon, Nallasopara East</t>
  </si>
  <si>
    <t>Mr. Nitin Singh</t>
  </si>
  <si>
    <t>Only  Sofacumbed</t>
  </si>
  <si>
    <t>Flat No.-201, Sai Nagar Apt, Jivdani Nagar, Opp.-Post Office, Virar- East</t>
  </si>
  <si>
    <t>Flat No. 404, Himgiri Apartment, Near Boleshwari Temple, Ranpada, Boling, virar - West</t>
  </si>
  <si>
    <t>Mr. Dattu Sir</t>
  </si>
  <si>
    <t>Mr. Rajendra Malap</t>
  </si>
  <si>
    <t>Flat No. C/110, Tulsi Apartment, Near Tondare Hospital, Manvel Pada Road, Virar-East</t>
  </si>
  <si>
    <t>Mr. Vishal Jogalekar</t>
  </si>
  <si>
    <t>Flat No.B/004, Mohak House No-2, Morya  Nagar,Virar-East</t>
  </si>
  <si>
    <t>Mr. Rahul Kamble</t>
  </si>
  <si>
    <t>6.00 pm</t>
  </si>
  <si>
    <t>Just Dial</t>
  </si>
  <si>
    <t>Flat No.B- 302, 3 rd Floor, Samrat Empire, Opp. Gagan Solitare, Above Gatway, Manvel Pada Road, Virar East</t>
  </si>
  <si>
    <t xml:space="preserve">m/s Everstone Infrastructure Pvt Ltd </t>
  </si>
  <si>
    <t>Mr. Babu Misal Sir</t>
  </si>
  <si>
    <t>15 Rooms</t>
  </si>
  <si>
    <t>Construction site- 15 Labour Rooms</t>
  </si>
  <si>
    <t>Mitradham, Sarvodaya Nagar, Near Jain Mandir, Mulund - West</t>
  </si>
  <si>
    <t>Mr. Sanket Samel</t>
  </si>
  <si>
    <t>245 - A, Shaila Smruti Bunglow, Front of Ram Mandir, Near Mahalaxmi Hospital, Arnala, Virar</t>
  </si>
  <si>
    <t>Mr. Sanket Samel sir</t>
  </si>
  <si>
    <t>Mr. Pradeep Kumar</t>
  </si>
  <si>
    <t xml:space="preserve">Sai Yashwanti Mandir Bhongale, Near Bhongale Talav, Virar - West </t>
  </si>
  <si>
    <t>m/s Purnima Electronics</t>
  </si>
  <si>
    <t>Shop No-12, Ramchandra Apt, Opp-Marathi School &amp; Jha Niwas, Ramchandra Nagar, Phool pada Road, Virar -East</t>
  </si>
  <si>
    <t>Mr. Raj Singh Sir</t>
  </si>
  <si>
    <t>SHOP</t>
  </si>
  <si>
    <t>Mrs. Sagarika</t>
  </si>
  <si>
    <t>334/15, Vinayak CHSL, Secctor - 03, Charkop, Kandivali - West, Mumbai - 400067</t>
  </si>
  <si>
    <t>Mr. Nitin Kulaye</t>
  </si>
  <si>
    <t>B/401, Vijaya Laxmi Apt, Balaji Nagar Complex, Next to Hill Park Soc, Jivdani Road, Virar - East</t>
  </si>
  <si>
    <t>E wing, Flat no. 404, Swastik Epitome, Near Dmart, Virar (East) , Pin - 401305.</t>
  </si>
  <si>
    <t>Mrs. Suchita Potul</t>
  </si>
  <si>
    <t>Mrs. Suchita Potul Madam</t>
  </si>
  <si>
    <t>Mr. Bhavesh Gor</t>
  </si>
  <si>
    <t>Flat no. 104, 1st Floor, C-18, Abhilash Building, Sector - 8, Shanti Nagar, Mira Road</t>
  </si>
  <si>
    <t>Mr. Pradeep Sir</t>
  </si>
  <si>
    <t>Flat No. 13, Shiv Srushti Apt, Opp. Bhaskar Complex, Mayekar Wadi, Virar - West</t>
  </si>
  <si>
    <t>1104, A - wing, CD Gurudev Building, Opposite to Yash Platinum, Near Dmart, New Viva college, Virar- West</t>
  </si>
  <si>
    <t>Mr. Gaurav Pandere</t>
  </si>
  <si>
    <t>Mr. Rahul Siddharth Bhalerao</t>
  </si>
  <si>
    <t xml:space="preserve">Flat No. 1408, Carnation Bldg. No. 37, Mayfair Garden, Kharodi Naka, Virar - West                                               </t>
  </si>
  <si>
    <t>Mr. Rahul  Bhalerao</t>
  </si>
  <si>
    <t>NEO SMILE</t>
  </si>
  <si>
    <t>Mrs. Dipti Thakur</t>
  </si>
  <si>
    <t>1308, 12/F, Mhada Complex, Opp. Yash Niketan Global School, Virar - West</t>
  </si>
  <si>
    <t>Mrs. Christaline Fernandes</t>
  </si>
  <si>
    <t>A- 906, Agarwal Solitaire, HDIL Layout, Opp Nana Muna Pre School, Near Agarwal Ricksha Stand no. 1, Global City, Virar - West</t>
  </si>
  <si>
    <t xml:space="preserve">     HR MAHAJANI MARG, NEAR FIVE GARDEN, MATUNGA –EAST, MUMBAI – 400019. 
</t>
  </si>
  <si>
    <t>M/S V.J.T.I.</t>
  </si>
  <si>
    <t>Mrs. Pranjal Ingle Madam</t>
  </si>
  <si>
    <t>Flat No. 308, F - Wing, Ritu Gardenia CHS, Near Vaman Dhaba, Naigaon - East</t>
  </si>
  <si>
    <t>B/203, Agarwal Meadows Marigold Building, Behind Muljibhai Mehta School, Gokul Township, Virar- West</t>
  </si>
  <si>
    <t>Mrs. Apurva Apte</t>
  </si>
  <si>
    <t>Mrs. Shraddha Prabhu</t>
  </si>
  <si>
    <t>A/203, Mohak Plaza CHS, Near Sanmitra Bldg, Near SBI Bank, Virar - East</t>
  </si>
  <si>
    <t>Mrs. Shraddha Prabhu Madam</t>
  </si>
  <si>
    <t>m/s Rac IT Solution Pvt Ltd</t>
  </si>
  <si>
    <t>5.30 PM</t>
  </si>
  <si>
    <t>04 Service in Year</t>
  </si>
  <si>
    <t>Dinesh Kale</t>
  </si>
  <si>
    <t>Mr. Ahamad Sir</t>
  </si>
  <si>
    <t>621, 622, SOLARIS BUSINESS HUB, BHUYANGDEV CROSS ROAD, NEAR PARSHAWNATH BRTS BUS STOP, AHMEDABAD.</t>
  </si>
  <si>
    <t>Pending- 6000</t>
  </si>
  <si>
    <t>Mrs. Juddy Parera</t>
  </si>
  <si>
    <t>2250/-</t>
  </si>
  <si>
    <t>Pending- 2250 Service balance</t>
  </si>
  <si>
    <t>Mr. Devesh Manjarekar</t>
  </si>
  <si>
    <t>Pending-1800</t>
  </si>
  <si>
    <t>Pending 1000 service balance</t>
  </si>
  <si>
    <t>Mr.Mandar Pitale</t>
  </si>
  <si>
    <t>302,GM Residency,Virat Nagar,Virar West</t>
  </si>
  <si>
    <t>O-201, Old Ashok Nagar Complex -A, Opp. Indian Bank, Near Paranjpee Chowk, Vazira Naka, Borivali - West, Mumbai - 400091</t>
  </si>
  <si>
    <t xml:space="preserve">Mr. Dilip Ishwarlal Mehta </t>
  </si>
  <si>
    <t>Mr. Balaram Sandav</t>
  </si>
  <si>
    <t>A/705, Shree Samarth Apartment, Beside Ganesh Tower, Opposite Nana Nani park, Virar- East</t>
  </si>
  <si>
    <t>Mr. Balaram Sandav Sir</t>
  </si>
  <si>
    <t>Mrs. Yogita Morajkar</t>
  </si>
  <si>
    <t>1107, Shalibhadra Amora, Near Om Sai Heights, Yeshwant Gaurav Road, Nalasopara - West</t>
  </si>
  <si>
    <t>Mrs. Yogita Morajkar Madam</t>
  </si>
  <si>
    <t>BALANCE  1600</t>
  </si>
  <si>
    <t>304, Maitry Mohan Soc, Opp Swaminarayan Mandir, Near Dhimahi Banquet Hall, Saraswati Baug Road, Virar - West</t>
  </si>
  <si>
    <t>8097879652  /  9860361079</t>
  </si>
  <si>
    <t>Flat No. 2110, Rohin Tower -2, Piramal Revanta, Behind Nirmal Life Styles Mall, Moti Nagar, Mulund - West</t>
  </si>
  <si>
    <t>Mr. Rahul Venkateshwaran Sir</t>
  </si>
  <si>
    <t>Mrs. Niti Singh Madam</t>
  </si>
  <si>
    <t>Mrs. Nehal Nishit Kadakia Madam</t>
  </si>
  <si>
    <t>B-1204, 12th Floor,  Avant Hillway, A. K. Vaidya Marg, Near to J.P. Decks, Goregaon - East - 400097</t>
  </si>
  <si>
    <t>Mrs. Priyanka Karande</t>
  </si>
  <si>
    <t>Flat No.2104, Lotus Tower, Building No.23, Cluster 5, Mayfair, Virar Garden, Boling, Virar -West</t>
  </si>
  <si>
    <t>Mr. Rajesh Mishra Sir</t>
  </si>
  <si>
    <t>D/601, Sumit Greendale, Global City, Virar - West</t>
  </si>
  <si>
    <t>Mr. Mangesh Kasale Sir</t>
  </si>
  <si>
    <t>A/1304, Penansula Hights, Y. K. Nagar, Front of D Mart, Near Peninsula Park, Virar - West</t>
  </si>
  <si>
    <t>Mr. Mohd Siddique Memon</t>
  </si>
  <si>
    <t>Room No. 305, 3rd Floor, Memonwada, 17/19, New Bengalipura Street, Classic Burj Tower, Near Huma Caterers, Byculla, Mumbai -400003</t>
  </si>
  <si>
    <t>Mr. Niranjan Shetty Sir</t>
  </si>
  <si>
    <t>Flat No. 1607, Palm Grove, Joyville, Bollinj, Virar - West</t>
  </si>
  <si>
    <t>Mr. Pradeep Chikorde Sir</t>
  </si>
  <si>
    <t>Flat No. 504, Sadguru Heights, Near Shakti Complex, Virat Nagar, Virar - West</t>
  </si>
  <si>
    <t>Shivshakti Sadan, Near Kach Bunglow, Virar - East</t>
  </si>
  <si>
    <t>Mrs. Deepika Patil madam</t>
  </si>
  <si>
    <t>Mr. Pranesh Murkute</t>
  </si>
  <si>
    <t>Flat No. 302, Bldg. no. 8, Gulmohar CHSL, Virar Garden, Virar Agashi Road, Virar - West</t>
  </si>
  <si>
    <t>Flat No. A/104, Rishabh Tower - B, Padmavati Nagar, Bolinj, Virar - West</t>
  </si>
  <si>
    <t>ROhan Tiwari</t>
  </si>
  <si>
    <t>Mr. James Vanier Sir</t>
  </si>
  <si>
    <t>m/s OAM URBAN INFRA</t>
  </si>
  <si>
    <t>Ajmera One Kalyan Project, Near Shahad Railway Station, Shahad - East</t>
  </si>
  <si>
    <t>Mr. Satish Hiwale Sir</t>
  </si>
  <si>
    <t>98336 08481</t>
  </si>
  <si>
    <t>Construction site- 25 to 30 Labour Rooms</t>
  </si>
  <si>
    <t>Mr. Kishor Jha Sir</t>
  </si>
  <si>
    <t>A/206, Poonam Orchid, Near Tree House High School, Yashavant Nagar, Virar - West</t>
  </si>
  <si>
    <t>Raman Chaudhary</t>
  </si>
  <si>
    <t>C - 1/201, Phase - 1, Green Glade CHSL, Abacha Pada, Devkhop, Palghar</t>
  </si>
  <si>
    <t>Mr. Hitesh Mesry Sir</t>
  </si>
  <si>
    <t>101, Perinvilla CHSL, Mazgaon, Dock Yard, Mumbai</t>
  </si>
  <si>
    <t>Mr. Salim Lokhandwala sir</t>
  </si>
  <si>
    <t>Mr. Prathamesh Gawde sir</t>
  </si>
  <si>
    <t>1606- F wing, Mhada Colony, Building No. 12, Near Sahyog Hospital, Opp. Yash Vidya Niketan School, Bolinj Road, Virar - West</t>
  </si>
  <si>
    <t>Mr. Jay Joshi sir</t>
  </si>
  <si>
    <t>A/603, Gokul Plaza, Opp. Mulji Mehta School, Gokul Township, Virar - West</t>
  </si>
  <si>
    <t>m/s Mansarovar Life Space LLP</t>
  </si>
  <si>
    <t>Perls Garden, Opp. Surya Garden, Vasai - West</t>
  </si>
  <si>
    <t>Mr. Martin Sir</t>
  </si>
  <si>
    <t>Room no. 104, Sai Nagar Apartment, Nariya Nagar, Moregaon, Nalasopara - East</t>
  </si>
  <si>
    <t>Mrs. Kajal Tiwari Madam</t>
  </si>
  <si>
    <t>8530069177 / 8983577917</t>
  </si>
  <si>
    <t>Vivek Upadhyay</t>
  </si>
  <si>
    <t>B-402, Sai Jyot Apt, Old Post Office, Chandansar Rd, Near Swami Samarth Math, Bhagat Wadi, Virar - East</t>
  </si>
  <si>
    <t>Mrs. Aparna Jadhav Madam</t>
  </si>
  <si>
    <t>70305 30109</t>
  </si>
  <si>
    <t>Mr. Utkarsh Dhabe sir</t>
  </si>
  <si>
    <t>98924 68398</t>
  </si>
  <si>
    <t>B-1004, VINAY UNIQUE GARDENS, HDIL Layout, Sector 2, Virar - East- 401303.</t>
  </si>
  <si>
    <t>Mr. Akshay Mehta Sir</t>
  </si>
  <si>
    <t>86551 91690</t>
  </si>
  <si>
    <t>Mr. Nilesh Mokal Sir</t>
  </si>
  <si>
    <t>B -103, Shripad, Om Swami Samarth Complex, Near Gurukul School, New Viva Collage Road, Y. K. Nagar, Virar - West</t>
  </si>
  <si>
    <t>Mrs. Asha Naik Madam</t>
  </si>
  <si>
    <t>B/207, 2nd floor, Shakti Complex, Bldg No 1,  Opp Dwarkesh Tower, Virat Nagar, Virar - West</t>
  </si>
  <si>
    <t>Miss. Rashi Jain Madam</t>
  </si>
  <si>
    <t>B/502, Poonam Orchid, Yashavant Nagar, Opp. Tree House High School, Virar - West</t>
  </si>
  <si>
    <t>Lakshmi D 37, 702, Agrawal Global City, Opp Sagar Sweet, Virar - West</t>
  </si>
  <si>
    <t>Mr. Ashish Agrawal Sir</t>
  </si>
  <si>
    <t>C-5, 704, Poonam Heights, Kalpavrush Soc, Chikhal Dongari, Near Ekta Park Ville, Virar - West - 401303</t>
  </si>
  <si>
    <t xml:space="preserve">Bed Bug Service </t>
  </si>
  <si>
    <t>m/s West Best Buildcon Pvt. Ltd.</t>
  </si>
  <si>
    <t>Vikas Rise, Opp Mehul Cinema, Mulund - West</t>
  </si>
  <si>
    <t>Construction site - Labour Rooms</t>
  </si>
  <si>
    <t>Per Room</t>
  </si>
  <si>
    <t>Mr. Makhan Sir</t>
  </si>
  <si>
    <t>B/207, Asara Apt, Damodar Nagar, Old Viva College Road, Near Swaminarayan Mandir, Virar West - 401303.</t>
  </si>
  <si>
    <t>Mr. Anubhav Sewda sir</t>
  </si>
  <si>
    <t>Mr. Abhishek Gupta sir</t>
  </si>
  <si>
    <t>E/202, Peninsula Park, Near D Mart, New Viva Collage, Virar - West</t>
  </si>
  <si>
    <t>Mr. Manoj Kadam sir</t>
  </si>
  <si>
    <t>D/104, 1ST Floor, Krishna Yashodhan, Abrol Society, Next to Woodstick Hotel, Bolinj Sopara Road, Bolinj Naka, Virar - West</t>
  </si>
  <si>
    <t>C/03</t>
  </si>
  <si>
    <t>D/11</t>
  </si>
  <si>
    <t>H/08</t>
  </si>
  <si>
    <t>A/10</t>
  </si>
  <si>
    <t>A/16</t>
  </si>
  <si>
    <t>M/16</t>
  </si>
  <si>
    <t>J/10</t>
  </si>
  <si>
    <t>S/18</t>
  </si>
  <si>
    <t>R/10</t>
  </si>
  <si>
    <t>PENDING</t>
  </si>
  <si>
    <t>Mr. Kunal sir</t>
  </si>
  <si>
    <t>N/1101, Bhoomi Acropolis, Chikhal Dongari, Opp. Yazoo Park, Near Agarwal Stand, Virar - West</t>
  </si>
  <si>
    <t>Mr. Vishwakarma sir</t>
  </si>
  <si>
    <t>A/201, Shyam Palace, 2nd Floor, Chanakya Chauk, Virat Nagar, Virar - West</t>
  </si>
  <si>
    <t>Mr. Ram Morya sir</t>
  </si>
  <si>
    <t>13 th Floor, Bldg No. 11, D - Wing, Mhada Colony, Virar - West</t>
  </si>
  <si>
    <t>9209597280/ 8081180194</t>
  </si>
  <si>
    <t>Flat No.-201, Sai Sagar Apt, Jivdani Nagar, Opp.-Post Office, Virar- East</t>
  </si>
  <si>
    <t>Mr. Nitin Singh sir</t>
  </si>
  <si>
    <t>Mr. Urvi Sawant madam</t>
  </si>
  <si>
    <t>B/203, Sona Apartment, Jivdani Road, Near Munshi Bunglow, Bhoir Pada, Virar - East</t>
  </si>
  <si>
    <t>Mrs. Sharda Ghrat madam</t>
  </si>
  <si>
    <t xml:space="preserve">A/404, Building No. 2, Agrawal Paramount, Global City, Virar - West </t>
  </si>
  <si>
    <t>m/s Shree Trimurti CHS</t>
  </si>
  <si>
    <t>B69/70 Shree Trimurti CHS, Anand Nagar, Near New Link Road Flyover, Dahisar - East</t>
  </si>
  <si>
    <t>Mr. Ajay sIr</t>
  </si>
  <si>
    <t>Building Surrounding Area</t>
  </si>
  <si>
    <t>Mosquito Spray</t>
  </si>
  <si>
    <t>Mr. Suryakant Madaswar</t>
  </si>
  <si>
    <t>A/202, Om Green Ridge, Padmavati Nagar, Bolinj, Virar - West</t>
  </si>
  <si>
    <t>7020195490  /   738717417</t>
  </si>
  <si>
    <t>Bed Bug Service + General Pest Control</t>
  </si>
  <si>
    <t>Mr. Santosh Patane sir</t>
  </si>
  <si>
    <t>John domnik chawl, khetwadi, kurar village, Malad - East</t>
  </si>
  <si>
    <t>B/703, Gokul Kush Symphony, Dr. R. P. Road, Mulund - West, Mumbai - 400080</t>
  </si>
  <si>
    <t>Mr. Amish Parekh sir</t>
  </si>
  <si>
    <t>Mrs. Manisha Parekh</t>
  </si>
  <si>
    <t>98194 29209</t>
  </si>
  <si>
    <t>Flat No. 33, Building No.3, Kamdhenu, Hari Om Ngrg, Mulund - East, Mumbai- 400081</t>
  </si>
  <si>
    <t>Mrs. Priya Minocha madam</t>
  </si>
  <si>
    <t>Mr. Raghu sir</t>
  </si>
  <si>
    <t>Flat No. 601, Joyville, Palm Meadows 1, Bolinj Road, Virar - West</t>
  </si>
  <si>
    <t>Mr. Sagar Tandel sir</t>
  </si>
  <si>
    <t>09/606, Agarwal Lifestyle, Avenue, B-1, Global City, Virar - West</t>
  </si>
  <si>
    <t>Mr. Kartik Laxmi Narayan sir</t>
  </si>
  <si>
    <t>M-502, Bhoomi Acropolis, Agarwal Riksha Stand, Global City, Virar - West</t>
  </si>
  <si>
    <t>Mr. Manoj Bhadani sir</t>
  </si>
  <si>
    <t>Mrs. Raenita Lewis madam</t>
  </si>
  <si>
    <t>D/803, Great Eastern Garden, LBS Marg, Kanjurmarg - West</t>
  </si>
  <si>
    <t>Shree Modh Vanik Seva Samaj</t>
  </si>
  <si>
    <t>A/201,2ND Floor, Anamika Soc, M. V. Road, Andheri - East</t>
  </si>
  <si>
    <t xml:space="preserve">Samaj Hall </t>
  </si>
  <si>
    <t>Hall Internal Area</t>
  </si>
  <si>
    <t>Mrs. Devyani madam</t>
  </si>
  <si>
    <t>B/1105, Laxmi Heights, Manvel Pada, Near Vivanta Hotel, Virar - East</t>
  </si>
  <si>
    <t>Mr, Anjali Gaikwad madam</t>
  </si>
  <si>
    <t>A/205, V. N. Sankul CHSL, Sant Nagar, 90 Feet Road, Near King Land Restaurant, Opp. Croma, Virar - East</t>
  </si>
  <si>
    <t>7972078792 / 8446025729</t>
  </si>
  <si>
    <t>Rupak Sharar</t>
  </si>
  <si>
    <t>D/302, Poonam Orchid, Yashavant Nagar, Near Ameya Clasic Club, Virar - West</t>
  </si>
  <si>
    <t>Mr. Sudesh Puthran sir</t>
  </si>
  <si>
    <t>Room No. 14, 1 st Floor, Gautam Govind Building, Fahinds Solution, Ambadi Road, Near Yogyam Hospital, Vasai - West</t>
  </si>
  <si>
    <t>Mr. Sahil Kajre sir</t>
  </si>
  <si>
    <t>B/506, Vatsalya Vihar, Near Moreshwar Vidyyalay, Moregaon, Nalasopara - East</t>
  </si>
  <si>
    <t>Room No.207, G wing, L 1/2, Rustomjee Avenue, Opp. Club One, Virar - West</t>
  </si>
  <si>
    <t>Mr. Rahul Jha sir</t>
  </si>
  <si>
    <t>Mr. Shetu Zha sir</t>
  </si>
  <si>
    <t>H - 29, 103, Global City, Virar - West</t>
  </si>
  <si>
    <t>Mr. Abhinav Singh sir</t>
  </si>
  <si>
    <t xml:space="preserve">H 304, Central Park, Ekta Parksville, Chikhal Dongre Road, Global City, Virar - West </t>
  </si>
  <si>
    <t>Mrs. Vidhi Mhatre madam</t>
  </si>
  <si>
    <t>A 507, Poonam Avenue, Opp Agarwal Parmount, Chikaldongri Road,  Global City, Virar - West</t>
  </si>
  <si>
    <t>Mr. Samarth B. Swami sir</t>
  </si>
  <si>
    <t>03 Service in a year</t>
  </si>
  <si>
    <t>Mrs. Rupali Chaudhari madam</t>
  </si>
  <si>
    <t>A/201, Indraprashtha Chhaya, Near Platform No. 1, Virat Nagar, Virar - West</t>
  </si>
  <si>
    <t>Mrs. Amita Parag Chitnis madam</t>
  </si>
  <si>
    <t xml:space="preserve">House No. 1138, SWAMI KRUPA, Near Nature Trails Resort, Divekar Wadi, Sajan, Vikramgad - 401605 </t>
  </si>
  <si>
    <t>9869430609 / 9821334787</t>
  </si>
  <si>
    <t>Termite Control - Drilling &amp;  Spray, General Pest Control, Snake Control</t>
  </si>
  <si>
    <t>Bunglow - Internal Area &amp; External Area</t>
  </si>
  <si>
    <t>Mr. Vansh sir</t>
  </si>
  <si>
    <t>F/101, Violet Bldg, Yashavant Nagar, Virar - West</t>
  </si>
  <si>
    <t>Mr. Sumit Kadam sir</t>
  </si>
  <si>
    <t>Flat No. 306, Sai Giriraj Co Op Hsg Soc, Near Kargil Riksha Stand, Back Side of Shubh Managal Hall, Kargil Nagar, Virar- East</t>
  </si>
  <si>
    <t>m/s Radhika Old Age Home</t>
  </si>
  <si>
    <t>House No. 959, Ranpatti, Jeladi-RanpattiRoad, Vatar Shala Stop, Virar - West</t>
  </si>
  <si>
    <t>9225103552/ 8806317375</t>
  </si>
  <si>
    <t>01 RK Rooms</t>
  </si>
  <si>
    <t>Shop No. 3, Midland CHS, Plot No. 17, Sector 9, Vashi, Navi Mumbai, Maharashtra, 400703</t>
  </si>
  <si>
    <t>Rushikesh Jadhav sir</t>
  </si>
  <si>
    <t>Mr. Pratik Lalji sir</t>
  </si>
  <si>
    <t>Flat No. 1304, E- wing, Blue Pearl, Global City, Opp. Croma, Virar - West</t>
  </si>
  <si>
    <t>Mr. Santosh Indulkar sir</t>
  </si>
  <si>
    <t>A/201, Sai Plaza Apartment, Sairam Sankul, Manvel Pada Road, Next to Bramha Complex, Virar East</t>
  </si>
  <si>
    <t>Mr. Babu Jagannath Patan sir</t>
  </si>
  <si>
    <t>Room No:203, G Shree Ram Van, HC-43, Last Bus Stop, Evershine City, Vasai East, Vasai-Virar, Maharashtra 401208</t>
  </si>
  <si>
    <t>90960 51769</t>
  </si>
  <si>
    <t>Flat No 1703, B wing, Jasmine, Siddheshwar Garden, kolshet Road, Thane - West</t>
  </si>
  <si>
    <t>Lokendre - Kean Const.</t>
  </si>
  <si>
    <t>Miss. Priyanka Sawant Madam</t>
  </si>
  <si>
    <t>MH + Sandeep</t>
  </si>
  <si>
    <t>Satish Sir</t>
  </si>
  <si>
    <t>Mr. Pranit Patil sir</t>
  </si>
  <si>
    <t xml:space="preserve">C-103, Agarwal Paradise, Near D  Mart, Expert Road, Y.k. Nagar, Virar - West </t>
  </si>
  <si>
    <t>m/s Ruff Prachi collection</t>
  </si>
  <si>
    <t>Ruft Kids</t>
  </si>
  <si>
    <t>90110 61556</t>
  </si>
  <si>
    <t>Mr. Sandeep More sir</t>
  </si>
  <si>
    <t>Flat No. 123, F-wing, Samrat Complex, Behind Central Park, Nr. Mulgibhai Mehta School, Virar - West</t>
  </si>
  <si>
    <t xml:space="preserve"> FOC</t>
  </si>
  <si>
    <t>Mr. Prashant Chavan sir</t>
  </si>
  <si>
    <t>Bed Bug, MQ - Spray &amp; Rat Control</t>
  </si>
  <si>
    <t>M/S SENGHANI GROUP</t>
  </si>
  <si>
    <t>Labour Camp - 80 Rooms</t>
  </si>
  <si>
    <t>PROJECT – Runwal Senghania, m/s Bombay Roops Pvt Ltd, Kolshet Road, Opp. Air-Force,  Thane</t>
  </si>
  <si>
    <t>Labour Camp Internal Area</t>
  </si>
  <si>
    <t>Fortnightly Service</t>
  </si>
  <si>
    <t>CREDIT</t>
  </si>
  <si>
    <t>REMARK</t>
  </si>
  <si>
    <t>Total BalancB</t>
  </si>
  <si>
    <t>B/204, Sanskruti Apartment, Old Post Office, Front of  G. M. Company, Virar - East</t>
  </si>
  <si>
    <t>803, Meena Residency, Plot 15/26, Sector 34C, Kharghar -410210</t>
  </si>
  <si>
    <t>A/17</t>
  </si>
  <si>
    <t>A/24</t>
  </si>
  <si>
    <t>Mrs. Anjali Gaikwad madam</t>
  </si>
  <si>
    <t>Mr. Vidydhar P. Gawad sir</t>
  </si>
  <si>
    <t>002, Wing - Malhar, Swaranjali Complex, Kumbhar Wada, Agashi, Virar - West</t>
  </si>
  <si>
    <t>DATE</t>
  </si>
  <si>
    <t>Mr. Ansh Jha</t>
  </si>
  <si>
    <t>Flat No. 201, Bldg No. 11, Agarwal Life Style, Virar - West</t>
  </si>
  <si>
    <t>Mr. Ansh Jha sir</t>
  </si>
  <si>
    <t>Mr. Melvin Nadar</t>
  </si>
  <si>
    <t>Flat No. B/402, Neha Park, Manvel Pada, Virar-East</t>
  </si>
  <si>
    <t>Bed Bugs &amp; General Pest Control</t>
  </si>
  <si>
    <t>B.B-Two Service &amp; GS- One Time</t>
  </si>
  <si>
    <t>Mrs.Wadhwani</t>
  </si>
  <si>
    <t>Wadhwani House, Link Road, Nr.Samaj Mandir,Santacruz-West</t>
  </si>
  <si>
    <t>Mrs. Wadhwani</t>
  </si>
  <si>
    <t>Commision</t>
  </si>
  <si>
    <t>Cheque</t>
  </si>
  <si>
    <t xml:space="preserve"> Mrs. Pratiksha Gavali</t>
  </si>
  <si>
    <t>B-4/002, Samarth Apt, Narayan Nagar,Sushila Complex,Gasskopari, virar-East</t>
  </si>
  <si>
    <t>Mrs.Pratiksha Gavali</t>
  </si>
  <si>
    <t>Termite only Spray</t>
  </si>
  <si>
    <t>Mr. Surendra Singh</t>
  </si>
  <si>
    <t>Flat No.J/302, Sumeet Greendale,Global City, Virar-West</t>
  </si>
  <si>
    <t>Mr.Surendra Singh</t>
  </si>
  <si>
    <t>MrYogesh Sane</t>
  </si>
  <si>
    <t>Flat No. 102,Love Kush APT,Mayekar Wadi,Virar-West</t>
  </si>
  <si>
    <t>Mr.Yogesh Sane</t>
  </si>
  <si>
    <t>10AM</t>
  </si>
  <si>
    <t>Mr Tarun</t>
  </si>
  <si>
    <t>Flat No. B/124, Kalpataru Crest, Avalon, Next To Hp Petrol Pump, LBS Road, Bhandup-West</t>
  </si>
  <si>
    <t>Mr. Tarun</t>
  </si>
  <si>
    <t>Mr.Joel Pinto</t>
  </si>
  <si>
    <t>Flat No. E/101, Krishna Kamal Chs, Bhati Bunder Road, Agashi ,Virar-West</t>
  </si>
  <si>
    <t>5PM</t>
  </si>
  <si>
    <t>Mr.Shashikant Chile</t>
  </si>
  <si>
    <t>Flat No. A/10,Gaondevi Chs, Near Grampanchyat  School,,DOMBOVALI- East</t>
  </si>
  <si>
    <t>1Pm</t>
  </si>
  <si>
    <t>Renuwal</t>
  </si>
  <si>
    <t>Flat No. C/702, Sumit Greendale NX, Avenue A-5,Global City,Virar West,</t>
  </si>
  <si>
    <t xml:space="preserve"> Mr. Nikhil Kamble</t>
  </si>
  <si>
    <t>9619818163 /8369117478</t>
  </si>
  <si>
    <t>Mr. Nikhil  Kamble</t>
  </si>
  <si>
    <t>Mrs. Vaishali Yadawate</t>
  </si>
  <si>
    <t>Flat No.104, Shubham Bld No. 4, Shubham Complex, Bhati Bunder Road, Agashi,Virar- West</t>
  </si>
  <si>
    <t>Mrs. Vaishali Yadawat</t>
  </si>
  <si>
    <t>Mr. Sameer Kadam</t>
  </si>
  <si>
    <t>Flat  No. A/101, Sai Sahyog  Apt, Near Dutta Mandir Road,Samel Pada, Nalasopara, West,</t>
  </si>
  <si>
    <t>Mrs. Sameer Kadam</t>
  </si>
  <si>
    <t xml:space="preserve">     Cheque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</si>
  <si>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Flat No. 403, Shreyas Chs, Veera Desai Road, Opp-Andheri Raja  Ganesh Mandal, Near Nkjsb Bank, Andheri-West</t>
  </si>
  <si>
    <t>9819402705 / 8879322406</t>
  </si>
  <si>
    <t>Mr. Joel Pinto</t>
  </si>
  <si>
    <t>Mr. Shashikant Chile</t>
  </si>
  <si>
    <t>Mrs.  Urmila Patel</t>
  </si>
  <si>
    <t>Flat No.  308, Sai Vidhi Society, Near Rambha  Tower,  L.B.S Marg,  Ghatkopar West</t>
  </si>
  <si>
    <t>Mrs. Urmila Patel</t>
  </si>
  <si>
    <t xml:space="preserve"> Bed Bugs  8 General Pest Control Servce</t>
  </si>
  <si>
    <t>B.B-TWO TIME &amp; GS-ONE TIME</t>
  </si>
  <si>
    <t>Mrs. Kirti</t>
  </si>
  <si>
    <t>Flat No . 102, Shiv Shakti , Opp . G.G. Garden , Varad Vinyak Lane, Virar -East</t>
  </si>
  <si>
    <t>NOT done</t>
  </si>
  <si>
    <t>Sndeep TiwRI / Ramesh Kumbhar</t>
  </si>
  <si>
    <t>Mr. Narpat Singh Nadol</t>
  </si>
  <si>
    <t>Flat No. A/401, Chhaya Sugandh Chs, Nr. Matrix School, Agashi Road,Kharodi Naka, Virar -West</t>
  </si>
  <si>
    <t>Mr. Narpat Singh  Nardol</t>
  </si>
  <si>
    <t xml:space="preserve">Mr. Gavali </t>
  </si>
  <si>
    <t>Flat No.D/004, Bachraj Residency , Siddhivinayak Mandir, Global City,Virar -W</t>
  </si>
  <si>
    <t>Mr.Gavali</t>
  </si>
  <si>
    <t>1 Cupboard</t>
  </si>
  <si>
    <t>Mr. Niraj Trivedi</t>
  </si>
  <si>
    <t>B - 805, Shreepad Apartment, Om Swami Samarth Complex, Y. K. Nagar, Virar - West</t>
  </si>
  <si>
    <t>Sandeep Tiwari</t>
  </si>
  <si>
    <t>Mr. Deepak Gaikwad</t>
  </si>
  <si>
    <t>B - 205, Dev Tara Height, Ramdev Prk, Behind Hindusthan Bank, Ramdev Park Auto Stand, Mira Road - East</t>
  </si>
  <si>
    <t>8108228836 / 7977224019</t>
  </si>
  <si>
    <t xml:space="preserve">Bed Bug Service &amp; General Pest Control </t>
  </si>
  <si>
    <t>Lahu Nerkar</t>
  </si>
  <si>
    <t>Flat No. 101, 1ST Floor, Vimal Paace, Front of Mahavir Bunglow, Virar - West</t>
  </si>
  <si>
    <t>Mr. Vijay Singh  Sir</t>
  </si>
  <si>
    <t>.</t>
  </si>
  <si>
    <t xml:space="preserve">          </t>
  </si>
  <si>
    <t>Mrs. Alkaben Patel</t>
  </si>
  <si>
    <t>Flat No.703 , Gokul Plaza , Gokul Tawn Ship , Opp . Munjibhai Mehta International School , Virar-West</t>
  </si>
  <si>
    <t>8097377723 / 9552494421</t>
  </si>
  <si>
    <t>Mr.Mukesh Duby</t>
  </si>
  <si>
    <t>Mr.Rajendra Gadiar</t>
  </si>
  <si>
    <t>Flat No. 52 , Building No.Ganga Chs , Kamdhenu , Thane -East ,</t>
  </si>
  <si>
    <t>Bed Bugs</t>
  </si>
  <si>
    <t>1- BHK Flat</t>
  </si>
  <si>
    <t xml:space="preserve"> </t>
  </si>
  <si>
    <t>Mr. Devendra Pimple</t>
  </si>
  <si>
    <t>Flat No . B / 403 , Mohak  House , Next To Morya Nagar ,SBI Bank , Virar-East</t>
  </si>
  <si>
    <t>Mr . Devendra  Pimple</t>
  </si>
  <si>
    <t>M/S ANITA  INTERNATIONAL</t>
  </si>
  <si>
    <t>205 / 2 nd Floor , Kamla Space , S.V . Road , Hasmukh Nagar , Above Kohinoor Electrojnics ,Near Khira Nagar, Santacruz -weast</t>
  </si>
  <si>
    <t>Mr .Prakash Rawal</t>
  </si>
  <si>
    <t>02-06=2026</t>
  </si>
  <si>
    <t>25-042026</t>
  </si>
  <si>
    <t>25-04--2026</t>
  </si>
  <si>
    <t>07--5-2026</t>
  </si>
  <si>
    <t xml:space="preserve"> Mr .Rupak Sarkar</t>
  </si>
  <si>
    <t>`08-05-2026</t>
  </si>
  <si>
    <t>Mr. Khan</t>
  </si>
  <si>
    <t>Flat No . 1503 , 15 th Floor , Alifiya Hegiht , Dimtikar Road ,Opp .J.J. Hospital ,,Nagpada -West</t>
  </si>
  <si>
    <t>Flat</t>
  </si>
  <si>
    <t>```</t>
  </si>
  <si>
    <t>Mr . Jason Jstin</t>
  </si>
  <si>
    <t>Flat No. 701 , Building No . 43 J Avenue,Global City, Virar -West</t>
  </si>
  <si>
    <t>Mr . Jason Jastin</t>
  </si>
  <si>
    <t>TICKS Control Service</t>
  </si>
  <si>
    <t>Mr.Dheer Shah</t>
  </si>
  <si>
    <t>BED BUGS SERVICE</t>
  </si>
  <si>
    <t xml:space="preserve">10 th Floor, 55, Dr. E. Moses Road, Woril, Mumbai </t>
  </si>
  <si>
    <t>Labour Camp</t>
  </si>
  <si>
    <t xml:space="preserve">Construction Area -Labour Rooms  </t>
  </si>
  <si>
    <t>06-06--2026</t>
  </si>
  <si>
    <t>Mr. Shradha Ghadi</t>
  </si>
  <si>
    <t>Flat No . A/305 , 3 rd Flor , Jivadani  Krupa , Near Auto Stop , Nana Nani Park , Manvel Pada Road ,Virar - East</t>
  </si>
  <si>
    <t>Termite  Control Drilling &amp; Spray</t>
  </si>
  <si>
    <t>S/09</t>
  </si>
  <si>
    <t>D/03</t>
  </si>
  <si>
    <t xml:space="preserve">.//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</si>
  <si>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A/05</t>
  </si>
  <si>
    <t>U/02</t>
  </si>
  <si>
    <t>Mr. Dinesh Wayangankar</t>
  </si>
  <si>
    <t>S/10</t>
  </si>
  <si>
    <t>J/01</t>
  </si>
  <si>
    <t>R/05</t>
  </si>
  <si>
    <t>B/06</t>
  </si>
  <si>
    <t>S/39</t>
  </si>
  <si>
    <t>R/15</t>
  </si>
  <si>
    <t>S/38</t>
  </si>
  <si>
    <t>M/17</t>
  </si>
  <si>
    <t>A/06</t>
  </si>
  <si>
    <t>K/10</t>
  </si>
  <si>
    <t>M /S kapoor  Kulfi</t>
  </si>
  <si>
    <t>GNM 95 / 96 ,Plot No .2 , Dharavi Main Road , Parra Shed , Mahim Sion link Road,</t>
  </si>
  <si>
    <t>Mr.Nilesh Kapoor</t>
  </si>
  <si>
    <t>03 service In A year</t>
  </si>
  <si>
    <t>600 Sq.ft</t>
  </si>
  <si>
    <t xml:space="preserve">AS above Basement + Ground + 1st Floor, Approx </t>
  </si>
  <si>
    <t>Mr. Niitin Sir</t>
  </si>
  <si>
    <t>Mr . Satish</t>
  </si>
  <si>
    <t>Flat No .A/402 , Poonam Orchd , Yashwant Nagar, Virar- West</t>
  </si>
  <si>
    <t>Mr . Prasad  Ambekar</t>
  </si>
  <si>
    <t>Flat No .1008, C-Wing , 10 th Floor, Building No . 13, Mhada Complex , Near Fire Brigade ,Virar Nalasopara Link Road , Virar -West</t>
  </si>
  <si>
    <t>Mr . Prasad Ambekar</t>
  </si>
  <si>
    <t xml:space="preserve">m/s V J T I   College </t>
  </si>
  <si>
    <t>HR Mahajani Marg, Near Five Garden, Matunga - East, Mumbai - 400019</t>
  </si>
  <si>
    <t>Mr. Shaikh Sir</t>
  </si>
  <si>
    <t>Hostel Building &amp; Rector Bunglows</t>
  </si>
  <si>
    <t>Hostel Building &amp; Rector Bunglows Internal &amp; Out side Area</t>
  </si>
  <si>
    <t xml:space="preserve"> 96072 26919</t>
  </si>
  <si>
    <t>Mr. Shyam Ramchandra Bhoir</t>
  </si>
  <si>
    <t>Bunglow, Near kamladevi Mandir, khambala, Virar - West</t>
  </si>
  <si>
    <t>Mrs. Janhvi Bhoir Madam</t>
  </si>
  <si>
    <t>Bunglow - 3 BHK</t>
  </si>
  <si>
    <t xml:space="preserve">Bunglow - Internal Area </t>
  </si>
  <si>
    <t>LOCATION</t>
  </si>
  <si>
    <t xml:space="preserve"> SERVICE</t>
  </si>
  <si>
    <t>AREA</t>
  </si>
  <si>
    <t>Mrs. Neelam Sharma Madam</t>
  </si>
  <si>
    <t>C /408, Mandar Avenue Building, in Poonam Avenue, Opposite to Agarwal, Virar West - 401303.</t>
  </si>
  <si>
    <t>9156462837 / 8369941050</t>
  </si>
  <si>
    <t>Stall No. 11, Bel Plaza,Girgaon Choupati ,  Girgaon</t>
  </si>
  <si>
    <t>M/ S Kapoor Kulfi</t>
  </si>
  <si>
    <t>General Pest Control &amp; Rat Control</t>
  </si>
  <si>
    <t>STALL</t>
  </si>
  <si>
    <t xml:space="preserve">As above Stall Area </t>
  </si>
  <si>
    <t xml:space="preserve">Mr.  Sandeep Kansara </t>
  </si>
  <si>
    <t>2BHK</t>
  </si>
  <si>
    <t>Flat No.405, Vaishnavi Sai Complex, Opp. Tandul Bazaar, Chandansar Road, Virar East, 401305</t>
  </si>
  <si>
    <t>Flat No. 7C ,1101, Mhada Complex Virar -West</t>
  </si>
  <si>
    <t>Mr. Harish Vadnere sir</t>
  </si>
  <si>
    <t>As above Internal Flat Area</t>
  </si>
  <si>
    <t xml:space="preserve">Mr. Mayuresh Harchekar sir </t>
  </si>
  <si>
    <t>Flat No. 102, Bldg. No. 13,  Rustomjee Global City, Avenu - H, Opp. Rustomjee School, Virar - west</t>
  </si>
  <si>
    <t>Mr. Raju  Posnak</t>
  </si>
  <si>
    <t>Flat No .B-204 , 2 nd Floor , B-Wing , Shivom Chs Ltd , Nilegaon ,Near Aashirwad Bunglow ,Nallasopara-West</t>
  </si>
  <si>
    <t>General Pest Control &amp; Bed Bugs Pest Control</t>
  </si>
  <si>
    <t>Flat No. D - 1307 , Bldg No . 11 , 13 th Foor , Mhada Colony , Virar -West</t>
  </si>
  <si>
    <t>Mr. Sabale</t>
  </si>
  <si>
    <t xml:space="preserve">Mrs . Sushmita </t>
  </si>
  <si>
    <t>Flat No . A / 01 ,Good Luck Apt . Krishna Township , Vasai - West</t>
  </si>
  <si>
    <t>General  Pest Control &amp; Rat Control</t>
  </si>
  <si>
    <t>Brunch  Food Studio</t>
  </si>
  <si>
    <t>M Avenue,Shop No. 50/51, Globle City</t>
  </si>
  <si>
    <t>Virar- W</t>
  </si>
  <si>
    <t>Mr.Hemanckshu</t>
  </si>
  <si>
    <t xml:space="preserve"> Restaurant Area</t>
  </si>
  <si>
    <t>As above Internal Restaurant Area</t>
  </si>
  <si>
    <t>Mr. Ajit</t>
  </si>
  <si>
    <t>As above window passage area</t>
  </si>
  <si>
    <t>17 th Floor</t>
  </si>
  <si>
    <t>C1- 1404, Zeal Regency, HDIL Layout Sector 7, Global City.</t>
  </si>
  <si>
    <t>Mrs. Yogita Alkesh Soni madam</t>
  </si>
  <si>
    <t xml:space="preserve">Flat No. 504, Mahavir Residency, Near Sapna Sagar Hotel, NextTo Sumit Greendale, Gloal City, Virar - West </t>
  </si>
  <si>
    <t>ROhan Tiwari + RK</t>
  </si>
  <si>
    <t>Mrs. Fatima Kanchwala</t>
  </si>
  <si>
    <t>Flat No. 1706, Joyvilly Tower Crest ,Bolinj Virar- West</t>
  </si>
  <si>
    <t>Cancle</t>
  </si>
  <si>
    <t>m/s sanctum infratech</t>
  </si>
  <si>
    <t>604 , AKURLI ROAD, AKURLI INDUSTRIAL EAST</t>
  </si>
  <si>
    <t>KANDIVLI-EAST</t>
  </si>
  <si>
    <t xml:space="preserve">MR .Adtya Singh </t>
  </si>
  <si>
    <t>9869754942 /9967533387</t>
  </si>
  <si>
    <t>LAXMI NARAYAN SOCIETY,MHATRE Wadi , NEAR .SAI BABA MANDIR , DAHISAR-WEST</t>
  </si>
  <si>
    <t>Mr.Singh</t>
  </si>
  <si>
    <t>B /201 , Rushi Kutir Building , Manvel Pada , Kargil Nagar Road , Virar-East</t>
  </si>
  <si>
    <t>Mrs . Ankita Bamania</t>
  </si>
  <si>
    <t>Flat N0 . 401 , Evershine Amavi Building --23, Global City , Virar -West</t>
  </si>
  <si>
    <t>Mr. Aniket Singh sir</t>
  </si>
  <si>
    <t xml:space="preserve">A/04, Poonam Avenue, Tirupati Nagar, Phase 1, Virar - West </t>
  </si>
  <si>
    <t>BED BUGS SERVICE + GS</t>
  </si>
  <si>
    <t>Mr. Vipul Sharma sir</t>
  </si>
  <si>
    <t>303, Somesh Building, Om Ashish CHS, Libberty Garden, Cross Road No. 4, Malad - West, Mumbai - 400064</t>
  </si>
  <si>
    <t>7770096736 / 9511505875</t>
  </si>
  <si>
    <t>Mr. Ratish Patel</t>
  </si>
  <si>
    <t>Flat No . A/ 802 , Paradise Grandeur , Near New Viva Collage ,Virar - West</t>
  </si>
  <si>
    <t>Mr . Vishwas Rao</t>
  </si>
  <si>
    <t>Flat No . B/102 , Apurva Apt , Virat Nagar , Maitreya Buddha Vihar , Virar - West</t>
  </si>
  <si>
    <t>Mrs. Vidisha P. Dhamankar</t>
  </si>
  <si>
    <t>Flat No. 1801, DGS- Sheetal Abhishek, near radiant hospital, virar ,East</t>
  </si>
  <si>
    <t>virar-East</t>
  </si>
  <si>
    <t>Mr. Rajesh Patil</t>
  </si>
  <si>
    <t>Patil Bhavan , Jivadani Road , Virar- East</t>
  </si>
  <si>
    <t>7218806463 /9323630249</t>
  </si>
  <si>
    <t>As above Bunglow Area</t>
  </si>
  <si>
    <t>3 Service</t>
  </si>
  <si>
    <t>N0T DONE</t>
  </si>
  <si>
    <t>Kandivali- West</t>
  </si>
  <si>
    <t>Mr. Tushar Gurav</t>
  </si>
  <si>
    <t>As above Internal Office Area</t>
  </si>
  <si>
    <t>1, Bharat M Villa , Bhogilal Fadia Road, Opp. New Low Collage, Pratap Heritage Compound, Kandivali West.</t>
  </si>
  <si>
    <t>M/S JPV Realtors Pvt.Ltd</t>
  </si>
  <si>
    <t>Virar- West</t>
  </si>
  <si>
    <t>Mr. Anil Trambak Dighe</t>
  </si>
  <si>
    <t>Virar-  West</t>
  </si>
  <si>
    <t>Restaurant Area</t>
  </si>
  <si>
    <t>Virar- East</t>
  </si>
  <si>
    <t>Shop No. 09, Sai Ashirwad Building, Opp. Bolinj Police Stn., Mhada Road, Virar- West.</t>
  </si>
  <si>
    <t>A-701, Poonam Orchid, Yashwant Nagar, Opp. Hero Honda Showroom, Virar-  West.</t>
  </si>
  <si>
    <t>Opp. Param House Near, Maratha Colony, Santacruz - East</t>
  </si>
  <si>
    <t>Santacruz- East</t>
  </si>
  <si>
    <t>Mr. Rajesh Pal</t>
  </si>
  <si>
    <t>As above Construction Area</t>
  </si>
  <si>
    <t>M/S. Kean Construction Limited</t>
  </si>
  <si>
    <t xml:space="preserve">M/S. TAAV'S Restaurant </t>
  </si>
  <si>
    <t>Mr. Vishal Jadhav</t>
  </si>
  <si>
    <t>M/S. L&amp;T Elixir</t>
  </si>
  <si>
    <t>Termite Spray</t>
  </si>
  <si>
    <t>Ground Floor,Unit No. 11&amp;12 , Elixir Drive, Saki Vihar Road, Powai, Mumbai- 72</t>
  </si>
  <si>
    <t>Powai</t>
  </si>
  <si>
    <t>Mr. Hafis</t>
  </si>
  <si>
    <t xml:space="preserve">Mr. Vaibhav </t>
  </si>
  <si>
    <t>Virar - West</t>
  </si>
  <si>
    <t>Mr. Vaibhav Sir</t>
  </si>
  <si>
    <t>A /001, Parasmani Premium Park, Jakat Naka, Nr. On the Way Hotel, Virar - West</t>
  </si>
  <si>
    <t>M/S. Carol Pereira</t>
  </si>
  <si>
    <t>11/J 1708, Mhada Colony, Fire Brigade, Near Yash Vidya Niketan School, Yashwant Nagar , Virar- west</t>
  </si>
  <si>
    <t>Mr. Taher Sir</t>
  </si>
  <si>
    <t>Mazgaon</t>
  </si>
  <si>
    <t>GS + Bed Bugs service</t>
  </si>
  <si>
    <t>A/ 504, Monarch Co. Op. Hsg. Soc., Dockyard, Mazgaon.</t>
  </si>
  <si>
    <t>03 + 02 Service</t>
  </si>
  <si>
    <t xml:space="preserve">Mr. Niraj Sawant </t>
  </si>
  <si>
    <t>Mr. Niraj Sawant</t>
  </si>
  <si>
    <t>D - 1, Room No. 801, Dharti Dhan Tower, Nr. D' mart, Virar - West.</t>
  </si>
  <si>
    <t xml:space="preserve">Flat NO . 302 , Neel Delta , Sector 10 , B , Plot No - 5 , Ulve </t>
  </si>
  <si>
    <t>Mr . Akshay Pant</t>
  </si>
  <si>
    <t>M / S  SDA ASSOCIATES</t>
  </si>
  <si>
    <t>As above Internal Office Area ,</t>
  </si>
  <si>
    <t>Crastal Restaurant , Beside ICICI Bank ,Shrishti , Sector-5 ,Mira Road -EAST</t>
  </si>
  <si>
    <t xml:space="preserve">Mr,Ivean Fernandes </t>
  </si>
  <si>
    <t>Mr .Suresh JADHAV</t>
  </si>
  <si>
    <t>As above Resturant Area</t>
  </si>
  <si>
    <t>Genaral Pest Control &amp; Rat Control</t>
  </si>
  <si>
    <t>M/S kokan Vaibhav</t>
  </si>
  <si>
    <t xml:space="preserve">1014 /10 th Floor . Hubtowen Soliaris , N . S Phadke Marg , Opp . Teli Galli , Near East West Flyover ,Andheri East </t>
  </si>
  <si>
    <t>rEstaurant Area</t>
  </si>
  <si>
    <t>M/S Yash Jain</t>
  </si>
  <si>
    <t>J/203, Raj Gulmohar Complex, Bldg. No.1, Near St. Xervies School, Unitech Road, Tirupati Nagar Phase 2, Virar- West</t>
  </si>
  <si>
    <t>M/S. Yash Jain</t>
  </si>
  <si>
    <t>M/S.  Milind Gavande</t>
  </si>
  <si>
    <t>903/A Wing, Pnk Imperial Heights, Shanti Gardens, Near Commisioner Office, Mira Road - East</t>
  </si>
  <si>
    <t>Mira Road - East</t>
  </si>
  <si>
    <t>Mr. Krishnayya Hegade</t>
  </si>
  <si>
    <t>Termite Pest Control</t>
  </si>
  <si>
    <t>cash</t>
  </si>
  <si>
    <t>02-0826</t>
  </si>
  <si>
    <t>Mr. Dharmendra Rai</t>
  </si>
  <si>
    <t>C/ 9, Shreepal Classic Bldg., Ground Floor, Virar - West.</t>
  </si>
  <si>
    <t>500-Commison</t>
  </si>
  <si>
    <t>Mrs .Yasmin</t>
  </si>
  <si>
    <t>A / 1104 , Palm Spring ,Joyviile ,Boling , Virar -West</t>
  </si>
  <si>
    <t>Unit No. 31 / 44 , 1st Floor , Anjali Udyog Bhavan ,Navghar ,Vasai -East ,</t>
  </si>
  <si>
    <t>Mr. Lokesh  Joshi</t>
  </si>
  <si>
    <t>Rohan Twari</t>
  </si>
  <si>
    <t>Food  Company</t>
  </si>
  <si>
    <t>As above  Intarnal Food Company Area</t>
  </si>
  <si>
    <t>M/S. Bhushan More</t>
  </si>
  <si>
    <t>Virar - East</t>
  </si>
  <si>
    <t>C,202, Govind Building, Kamat Park, Near Digi 1 Showroom, V.S. Road, Virar - East.</t>
  </si>
  <si>
    <t>M/S. Wasim Shaikh Society Tea</t>
  </si>
  <si>
    <t>M/S. Wasim Shaikh</t>
  </si>
  <si>
    <t>3/16 A, Razzak Chawl, Kalina Kolivery Village Road, Jam Masjid Lane, Kalina Santacruz - East</t>
  </si>
  <si>
    <t>Foc.</t>
  </si>
  <si>
    <t>B/ 107 , Amarnath Apt , Suram Park k C .h.S Ltd , Behind Ganesh Hospital ,Jivadani Road , Virar - East</t>
  </si>
  <si>
    <t>M/S. Jahnavi Chaganty</t>
  </si>
  <si>
    <t>Thane - West</t>
  </si>
  <si>
    <t xml:space="preserve">B - 404, Shreenath Plaza, Near Datta Mandir, Moulvi Mandal School, Charai, Thane - West </t>
  </si>
  <si>
    <t>M/S.Jyoti Sonavane</t>
  </si>
  <si>
    <t>C - 403, Gokul Samarpan 2, Near Shagun Banquet Hall, Gokul Township, Virar - West</t>
  </si>
  <si>
    <t>10:00AM</t>
  </si>
  <si>
    <t>Termite + General pest Control</t>
  </si>
  <si>
    <t>Avinash Bhosale</t>
  </si>
  <si>
    <t>Mr. Sunil Angchekar</t>
  </si>
  <si>
    <t>Prabhu Niwas Chs, B - Wing, 05/ Gr. Flr, Nr. Heera Vidhyalay Dongarpada, Virar - West</t>
  </si>
  <si>
    <t>M/S. Lavanhya</t>
  </si>
  <si>
    <t>Building No. 36, Saffron Tower, Flat No. 307, Virar Gardens, Gate No.8, Agashi Road, Bolinj, Virar - West -401303</t>
  </si>
  <si>
    <t>2:00PM</t>
  </si>
  <si>
    <t>MR. Ashok</t>
  </si>
  <si>
    <t>Plat No. 904, Building No. 4/G, Mhada Complex, Virar - West</t>
  </si>
  <si>
    <t>1:00PM</t>
  </si>
  <si>
    <t>M/S Justila Foods PVT .LTD ,</t>
  </si>
  <si>
    <t xml:space="preserve">Mr . Prathamesh Churi </t>
  </si>
  <si>
    <t>Flat No . 101 , Shanti Enclave  Opp . Omkar Nagar , Agashi , Virar -West</t>
  </si>
  <si>
    <t>Mr . Kewal Mhatre</t>
  </si>
  <si>
    <t xml:space="preserve">Flat No . b/1906 , Palm Springs , Joyville , Bolinj , Virar -West </t>
  </si>
  <si>
    <t>Mr . Prashant Chavan</t>
  </si>
  <si>
    <t>Flat No . c/304 , Atharva Height , Near Don Bosco Church , Manvel Pada Road , Virar -East</t>
  </si>
  <si>
    <t>Mrs .Sangeeta Mane</t>
  </si>
  <si>
    <t>Sakshi Jadhav</t>
  </si>
  <si>
    <t>Nallasopara - West</t>
  </si>
  <si>
    <t>Flat No .  B/203 , Pratik Accord, Dhanajay Road, Opp . BMC Hospital, Nalasopara - West.</t>
  </si>
  <si>
    <t>Cancel</t>
  </si>
  <si>
    <t xml:space="preserve"> Mr. Amit Vilas Godade</t>
  </si>
  <si>
    <t xml:space="preserve">Thane </t>
  </si>
  <si>
    <t>General Pest Control + Rat Control</t>
  </si>
  <si>
    <t>1 Bunglow and 1 Flat</t>
  </si>
  <si>
    <t>As above Outside Flat Area</t>
  </si>
  <si>
    <t>B-405, B Wing, La Luxuria Society., Near Vaishya Wani Samaj Hall, Opp. Mumbai Nashik Highway, Shahapur,  Dist:- Thane, Pin - 421601.</t>
  </si>
  <si>
    <t>M/S. Drishti  Enterprises</t>
  </si>
  <si>
    <t xml:space="preserve">General Pest Control </t>
  </si>
  <si>
    <t>As above Internal Shop Area</t>
  </si>
  <si>
    <t>Yearly 3 Service</t>
  </si>
  <si>
    <t xml:space="preserve">Shop no -4, Viva Shivgiri Apartment, Near Parimal Hospital, Manvelpada Road, Virar-  East - 401303.
</t>
  </si>
  <si>
    <t>Shop ( 150 sqft)</t>
  </si>
  <si>
    <t xml:space="preserve">Mrs. Dina Naresh Baria </t>
  </si>
  <si>
    <t>M/S. Sanctum Infratech</t>
  </si>
  <si>
    <t>604 , Akurli Road ,Akurli Industrial Estate , Kandivali - East ,</t>
  </si>
  <si>
    <t xml:space="preserve"> Mr .Mishra Sir</t>
  </si>
  <si>
    <t>foc</t>
  </si>
  <si>
    <t>Mr. Rakesh Sir</t>
  </si>
  <si>
    <t>General Pest Control + Termite Spray</t>
  </si>
  <si>
    <t>Tirupati Grande Soceity</t>
  </si>
  <si>
    <t>Mr. Shinde</t>
  </si>
  <si>
    <t>Mr. Nitin Jain sir</t>
  </si>
  <si>
    <t>E - 3 / 704, HDIL Residency Part, Above  Modi Hyndai Motors, Near Global City, Near Narangi Bypass, Virar - Vest</t>
  </si>
  <si>
    <t>Termite Control - Drilling &amp; Spray</t>
  </si>
  <si>
    <t>M/S. Snehal Kamble</t>
  </si>
  <si>
    <t>As above Internal Bedroom Area</t>
  </si>
  <si>
    <t>Only Bedroom</t>
  </si>
  <si>
    <t>B/205, Attar Apartment, Jalbavwadi, Opp. Corporator Prashant Raut Office lane, Manvel Pada Road, Virar- East</t>
  </si>
  <si>
    <t>Mr. Vinay Surve</t>
  </si>
  <si>
    <t>302, Krish Heritage, Bunder Pada Road, Bolinj, Virar- West.</t>
  </si>
  <si>
    <t>Only kitchen</t>
  </si>
  <si>
    <t>As above kitchen Area</t>
  </si>
  <si>
    <t>B/304,Shree Ashtavinayak Gruh Bldg no. 2, Phoolpada Road,Near Pereira Complex,Opp Dwarka Nagari,Virar- East</t>
  </si>
  <si>
    <t>Mr. Vitthal Laxman Panchal</t>
  </si>
  <si>
    <t>Mr. Abhishek Sawant</t>
  </si>
  <si>
    <t>Flat No. 602, L Wing , Peninsula Park Society,Virar - West- 401303</t>
  </si>
  <si>
    <t>M/S. Ruchika Gavali</t>
  </si>
  <si>
    <t>Virar _ West</t>
  </si>
  <si>
    <t>One Bed Room</t>
  </si>
  <si>
    <t>As above Bedroom Area</t>
  </si>
  <si>
    <t>401, B Wing, New Parijat Society, Near Khau Galli, Opp. EV Scooter Showroom, Virar - West - 401303</t>
  </si>
  <si>
    <t>12:00PM</t>
  </si>
  <si>
    <t>Mr. Krish Thakkar</t>
  </si>
  <si>
    <t>B/11, Shree Moreshwar Pimple Wadi, Near Virar Station, Virar - East.</t>
  </si>
  <si>
    <t>Mr. Bhavik Thakore</t>
  </si>
  <si>
    <t>C-401, Krishna Garden, Viva Vrindavan Township, Near New Viva College, Virar (W), 401303.</t>
  </si>
  <si>
    <t>80107 03828</t>
  </si>
  <si>
    <t>4:00PM</t>
  </si>
  <si>
    <t>Mulund</t>
  </si>
  <si>
    <t>M/S. Aruna Keni</t>
  </si>
  <si>
    <t>F-2/104, Highland Park, Darga Road, Near Ashirwad Hospital, Mulund- W.</t>
  </si>
  <si>
    <t>M/S. Alan Anthony</t>
  </si>
  <si>
    <t>Palghar</t>
  </si>
  <si>
    <t>Flat No. 206 /Crest, Joyville, Stephen Menezes Marg, Bolinj, Virar - West, Palghar.</t>
  </si>
  <si>
    <t>5:00PM</t>
  </si>
  <si>
    <t>M/S. Pooja Parkar</t>
  </si>
  <si>
    <t>Flat No. 101,C wing, Sheetal Anjali, Behind Radiant Hospital, Virar- East.</t>
  </si>
  <si>
    <t>B -701, Spring bldg, Rajhans Season, Next to Ayyappa Temple, Stella. Vasai - West,  Vasai -401202</t>
  </si>
  <si>
    <t>Nilesh M. Patil sir</t>
  </si>
  <si>
    <t>Vasai</t>
  </si>
  <si>
    <t>DRN Infrastructure Pvt. Ltd</t>
  </si>
  <si>
    <t>401-402, Chandak Chambers, Near Western Express Highway Metro Station, Andheri Kurla Road, Andheri (East), Mumbai-400069.</t>
  </si>
  <si>
    <t>Andheri</t>
  </si>
  <si>
    <t>MR. Nithin Desai</t>
  </si>
  <si>
    <t>70213 87657</t>
  </si>
  <si>
    <t>OFFICE</t>
  </si>
  <si>
    <t>Mr.Laxman Kamble</t>
  </si>
  <si>
    <t>Flat No . B/304 , Amit Rejency , Nr. Manali Hotel , Manvel Pada Road , Virar -East</t>
  </si>
  <si>
    <t>10am</t>
  </si>
  <si>
    <t>204, Safalya Soceity, Gauri Shankar, Wadi No. 2, Pant Nagar, Ghatkopar - East</t>
  </si>
  <si>
    <t>Ghatkopar</t>
  </si>
  <si>
    <t>Bed Bugs Service</t>
  </si>
  <si>
    <t xml:space="preserve">1 RK Flat </t>
  </si>
  <si>
    <t>Jitendra Singh</t>
  </si>
  <si>
    <t>Mr. Ravindra Malge sir</t>
  </si>
  <si>
    <t>Mr. Nimesh Shah</t>
  </si>
  <si>
    <t>Flat No ,436 , I - Wing ,Samart Complex , Nr. Central Park ,Virar -West</t>
  </si>
  <si>
    <t>Tirupati Grande Soceity, Tirupati Nagar, Phase 1, Royal Acadami School, Near SBI Bank, Virar -West</t>
  </si>
  <si>
    <t>Mr. Sanjay Prajapati</t>
  </si>
  <si>
    <t>C/313, Vinay Unique Empire, Nr. Agarwal Life Style, Global City - Virar (w)</t>
  </si>
  <si>
    <t>Virar</t>
  </si>
  <si>
    <t>9:30AM</t>
  </si>
  <si>
    <t>Mr . Pravin Daval</t>
  </si>
  <si>
    <t xml:space="preserve">Flat No . A/803 , Paredise Tower , Behind New Viva Collage , Virar - west </t>
  </si>
  <si>
    <t>Mr .Sandeep Singh</t>
  </si>
  <si>
    <t>Flat No .C/305 , Om Sai Heights , Phase -2 , Yashwant Gaurav , Nr . Auto Stand , Nalasopara - West ,</t>
  </si>
  <si>
    <t xml:space="preserve">House no.4686, Mauli Sadan, Ganesh Nagar 2, Karanja Road, Near Shital Hotel , Uran -400702. </t>
  </si>
  <si>
    <t xml:space="preserve">Mrs. Yojana Rajivade </t>
  </si>
  <si>
    <t>Uran</t>
  </si>
  <si>
    <t xml:space="preserve">Termite Drilling +2 inspection visit in a year &amp; General Service for cockroach - 03-services in a year
</t>
  </si>
  <si>
    <t xml:space="preserve">1 Bunglow </t>
  </si>
  <si>
    <t>Larva</t>
  </si>
  <si>
    <t xml:space="preserve">Mr. M/S AHLUWALIA CONTRACTS (INDIA) LIMITED, 
                                                           </t>
  </si>
  <si>
    <r>
      <t>M/S AHLUWALIA CONTRACTS (INDIA) LIMITED</t>
    </r>
    <r>
      <rPr>
        <b/>
        <sz val="13"/>
        <color rgb="FF000000"/>
        <rFont val="Calibri"/>
        <family val="2"/>
        <scheme val="minor"/>
      </rPr>
      <t xml:space="preserve">, </t>
    </r>
    <r>
      <rPr>
        <b/>
        <sz val="11"/>
        <color rgb="FF000000"/>
        <rFont val="Calibri"/>
        <family val="2"/>
        <scheme val="minor"/>
      </rPr>
      <t xml:space="preserve">    CST RLY. STN., PLATFORM NO. 18, MUMBAI   </t>
    </r>
  </si>
  <si>
    <t>CST - MUMBAI</t>
  </si>
  <si>
    <t>SATISH DHAMNASE</t>
  </si>
  <si>
    <t>Rs. 2,628.00 + 18% GST= Rs.3,101.00</t>
  </si>
  <si>
    <t>Mr. Nilesh Kaple</t>
  </si>
  <si>
    <t xml:space="preserve">    304/A wing Kamat Park, Veer Savarkar Marg, Near DG1 shop, opp Mangal Karyalay, Virar - East.                                                       </t>
  </si>
  <si>
    <t xml:space="preserve">Virar - East.    </t>
  </si>
  <si>
    <t>Mandar</t>
  </si>
  <si>
    <t>Mr. Manoj Sharma sir</t>
  </si>
  <si>
    <t>F3, 403, HDIL Residency Park 2 , Near Yazoo Park , Virar - West</t>
  </si>
  <si>
    <t>virar- west</t>
  </si>
  <si>
    <t>Mrs. prithi</t>
  </si>
  <si>
    <t xml:space="preserve">Sai Malhar, Building No. 1, Room No. 107 ,Marathi Shala Phoolpada - Virar
</t>
  </si>
  <si>
    <t>1 RK</t>
  </si>
  <si>
    <t>3:30PM</t>
  </si>
  <si>
    <t>Mr. Shekhar Upasane</t>
  </si>
  <si>
    <t>Flat No. F/503, Agarwal Hights, YK Nagar, Opp. New Viva Collage, Virar - West</t>
  </si>
  <si>
    <t>Rat Control</t>
  </si>
  <si>
    <t>Garden Area</t>
  </si>
  <si>
    <t>As above Internal Garden Area</t>
  </si>
  <si>
    <t>1, Bharat M Villa , Bhogilal Fadia Road, Opp. New Low Collage, Pratap Heritage Compound, Kandivali - West.</t>
  </si>
  <si>
    <t>A / 301 , Dhurmi Apt ,Phase -1 ,Tirupati Nagar , Virar - West ,</t>
  </si>
  <si>
    <t>Mr . Chandrakant Shah</t>
  </si>
  <si>
    <t>3 + 2 Service</t>
  </si>
  <si>
    <t>31-09--26</t>
  </si>
  <si>
    <t>Mr. Latif Phthani</t>
  </si>
  <si>
    <t>Termite Control</t>
  </si>
  <si>
    <t>B/704, Vinay Unique Gardens, Global City , Virar - West</t>
  </si>
  <si>
    <t>Mr. Rohan Verma</t>
  </si>
  <si>
    <t>004/ Ketan Apt, Viva Jangid Complex, Nr. Indian Wing Resturant, Manvel Pada, Talav Road- Virar - East</t>
  </si>
  <si>
    <t xml:space="preserve">Termite Drilling
</t>
  </si>
  <si>
    <t>3:00PM</t>
  </si>
  <si>
    <t>As above internal Flat Area</t>
  </si>
  <si>
    <t>Mr. Nitin Thorat</t>
  </si>
  <si>
    <t>Bldg No. 7, Room No. 101, Vishnu Vihar Complex, Beside Mamta Medical, Virar - East</t>
  </si>
  <si>
    <t>Mr. Asif Shaikh</t>
  </si>
  <si>
    <t>312, Bhayander shopping centre CHS, opposite police station, Bhayander West 401101</t>
  </si>
  <si>
    <t xml:space="preserve">Bhayander West </t>
  </si>
  <si>
    <t>Foc</t>
  </si>
  <si>
    <t>Mr. Abhay J. Kamdar</t>
  </si>
  <si>
    <t>D/406, Ambo Vihar Bldg. No. 7, Tirupati Nagar Phase 2, Near Param Hospital, Virar - West</t>
  </si>
  <si>
    <t>virar</t>
  </si>
  <si>
    <t xml:space="preserve">Mr. Vishal Rawal </t>
  </si>
  <si>
    <t>A/303, Sarswati baug 2, Old Viva College, Virar- West</t>
  </si>
  <si>
    <t>Mr. Mamta Jain</t>
  </si>
  <si>
    <t>B /207, Sheetal Nagar, Bldg no.1, Agashi Road, Virar- West.</t>
  </si>
  <si>
    <t>Virar- West.</t>
  </si>
  <si>
    <t>CANCELLED</t>
  </si>
  <si>
    <t>A/202, Matrupuja Bldg, Sai Nagar, Pholpada Road, Virar - East</t>
  </si>
  <si>
    <t>Mr. Sameer Pravin Sanghavi</t>
  </si>
  <si>
    <t>Green Ridge tower-2, Flat no. 1802, Link Road, Near ICICI BANK, Chikuwadi Metro Station, Borivali - west, Mumbai:- 400092.</t>
  </si>
  <si>
    <t>Borivali</t>
  </si>
  <si>
    <t>As above internal Office Area</t>
  </si>
  <si>
    <t>Dadar - West</t>
  </si>
  <si>
    <t>M/S. Raheja Princes</t>
  </si>
  <si>
    <t>21th Floor</t>
  </si>
  <si>
    <t>As above Floor Area</t>
  </si>
  <si>
    <t xml:space="preserve">Flat no. 2102, Aagar Bajar, Nr. Siddhivinayak Temple, Dadar - West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</si>
</sst>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"/>
    <numFmt numFmtId="165" formatCode="[$-14009]dd/mm/yyyy;@"/>
  </numFmts>
  <fonts count="44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mbria"/>
      <family val="1"/>
    </font>
    <font>
      <sz val="11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3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92">
    <xf numFmtId="0" fontId="0" fillId="0" borderId="0" xfId="0"/>
    <xf numFmtId="0" fontId="434" fillId="2" borderId="0" xfId="0" applyFont="1" applyFill="1"/>
    <xf numFmtId="0" fontId="0" fillId="2" borderId="1" xfId="0" applyFill="1" applyBorder="1"/>
    <xf numFmtId="0" fontId="0" fillId="2" borderId="0" xfId="0" applyFill="1"/>
    <xf numFmtId="164" fontId="0" fillId="2" borderId="1" xfId="0" applyNumberFormat="1" applyFill="1" applyBorder="1"/>
    <xf numFmtId="0" fontId="438" fillId="2" borderId="1" xfId="0" applyFont="1" applyFill="1" applyBorder="1" applyAlignment="1">
      <alignment vertical="center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vertical="top"/>
    </xf>
    <xf numFmtId="0" fontId="434" fillId="2" borderId="4" xfId="0" applyFont="1" applyFill="1" applyBorder="1"/>
    <xf numFmtId="0" fontId="0" fillId="2" borderId="4" xfId="0" applyFill="1" applyBorder="1"/>
    <xf numFmtId="0" fontId="435" fillId="2" borderId="4" xfId="0" applyFont="1" applyFill="1" applyBorder="1" applyAlignment="1">
      <alignment horizontal="left" vertical="center"/>
    </xf>
    <xf numFmtId="0" fontId="437" fillId="2" borderId="0" xfId="0" applyFont="1" applyFill="1" applyAlignment="1">
      <alignment vertical="center"/>
    </xf>
    <xf numFmtId="0" fontId="436" fillId="2" borderId="0" xfId="0" applyFont="1" applyFill="1" applyAlignment="1">
      <alignment horizontal="center" vertical="center"/>
    </xf>
    <xf numFmtId="164" fontId="0" fillId="2" borderId="4" xfId="0" applyNumberFormat="1" applyFill="1" applyBorder="1"/>
    <xf numFmtId="0" fontId="434" fillId="2" borderId="4" xfId="0" applyFont="1" applyFill="1" applyBorder="1" applyAlignment="1">
      <alignment horizontal="left"/>
    </xf>
    <xf numFmtId="0" fontId="387" fillId="2" borderId="1" xfId="0" applyFont="1" applyFill="1" applyBorder="1"/>
    <xf numFmtId="164" fontId="433" fillId="2" borderId="1" xfId="0" applyNumberFormat="1" applyFont="1" applyFill="1" applyBorder="1"/>
    <xf numFmtId="0" fontId="370" fillId="2" borderId="1" xfId="0" applyFont="1" applyFill="1" applyBorder="1"/>
    <xf numFmtId="0" fontId="434" fillId="2" borderId="1" xfId="0" applyFont="1" applyFill="1" applyBorder="1"/>
    <xf numFmtId="0" fontId="434" fillId="2" borderId="1" xfId="0" applyFont="1" applyFill="1" applyBorder="1" applyAlignment="1">
      <alignment horizontal="left"/>
    </xf>
    <xf numFmtId="0" fontId="434" fillId="2" borderId="2" xfId="0" applyFont="1" applyFill="1" applyBorder="1"/>
    <xf numFmtId="0" fontId="433" fillId="2" borderId="1" xfId="0" applyFont="1" applyFill="1" applyBorder="1"/>
    <xf numFmtId="0" fontId="427" fillId="2" borderId="4" xfId="0" applyFont="1" applyFill="1" applyBorder="1"/>
    <xf numFmtId="0" fontId="416" fillId="2" borderId="1" xfId="0" applyFont="1" applyFill="1" applyBorder="1"/>
    <xf numFmtId="0" fontId="427" fillId="2" borderId="1" xfId="0" applyFont="1" applyFill="1" applyBorder="1"/>
    <xf numFmtId="0" fontId="367" fillId="2" borderId="2" xfId="0" applyFont="1" applyFill="1" applyBorder="1"/>
    <xf numFmtId="0" fontId="361" fillId="2" borderId="2" xfId="0" applyFont="1" applyFill="1" applyBorder="1"/>
    <xf numFmtId="0" fontId="386" fillId="2" borderId="2" xfId="0" applyFont="1" applyFill="1" applyBorder="1"/>
    <xf numFmtId="0" fontId="403" fillId="2" borderId="1" xfId="0" applyFont="1" applyFill="1" applyBorder="1"/>
    <xf numFmtId="0" fontId="429" fillId="2" borderId="1" xfId="0" applyFont="1" applyFill="1" applyBorder="1"/>
    <xf numFmtId="0" fontId="395" fillId="2" borderId="2" xfId="0" applyFont="1" applyFill="1" applyBorder="1"/>
    <xf numFmtId="0" fontId="432" fillId="2" borderId="2" xfId="0" applyFont="1" applyFill="1" applyBorder="1"/>
    <xf numFmtId="0" fontId="392" fillId="2" borderId="4" xfId="0" applyFont="1" applyFill="1" applyBorder="1"/>
    <xf numFmtId="0" fontId="422" fillId="2" borderId="1" xfId="0" applyFont="1" applyFill="1" applyBorder="1"/>
    <xf numFmtId="0" fontId="432" fillId="2" borderId="1" xfId="0" applyFont="1" applyFill="1" applyBorder="1"/>
    <xf numFmtId="0" fontId="370" fillId="2" borderId="4" xfId="0" applyFont="1" applyFill="1" applyBorder="1"/>
    <xf numFmtId="0" fontId="429" fillId="2" borderId="4" xfId="0" applyFont="1" applyFill="1" applyBorder="1"/>
    <xf numFmtId="0" fontId="356" fillId="2" borderId="1" xfId="0" applyFont="1" applyFill="1" applyBorder="1"/>
    <xf numFmtId="0" fontId="408" fillId="2" borderId="1" xfId="0" applyFont="1" applyFill="1" applyBorder="1"/>
    <xf numFmtId="0" fontId="412" fillId="2" borderId="1" xfId="0" applyFont="1" applyFill="1" applyBorder="1"/>
    <xf numFmtId="0" fontId="397" fillId="2" borderId="1" xfId="0" applyFont="1" applyFill="1" applyBorder="1"/>
    <xf numFmtId="0" fontId="428" fillId="2" borderId="1" xfId="0" applyFont="1" applyFill="1" applyBorder="1"/>
    <xf numFmtId="0" fontId="428" fillId="2" borderId="4" xfId="0" applyFont="1" applyFill="1" applyBorder="1"/>
    <xf numFmtId="14" fontId="434" fillId="2" borderId="4" xfId="0" applyNumberFormat="1" applyFont="1" applyFill="1" applyBorder="1" applyAlignment="1">
      <alignment horizontal="left"/>
    </xf>
    <xf numFmtId="0" fontId="428" fillId="2" borderId="4" xfId="0" applyFont="1" applyFill="1" applyBorder="1" applyAlignment="1">
      <alignment horizontal="left"/>
    </xf>
    <xf numFmtId="0" fontId="398" fillId="2" borderId="1" xfId="0" applyFont="1" applyFill="1" applyBorder="1"/>
    <xf numFmtId="18" fontId="434" fillId="2" borderId="4" xfId="0" applyNumberFormat="1" applyFont="1" applyFill="1" applyBorder="1" applyAlignment="1">
      <alignment horizontal="left"/>
    </xf>
    <xf numFmtId="0" fontId="429" fillId="2" borderId="2" xfId="0" applyFont="1" applyFill="1" applyBorder="1"/>
    <xf numFmtId="0" fontId="429" fillId="2" borderId="3" xfId="0" applyFont="1" applyFill="1" applyBorder="1"/>
    <xf numFmtId="0" fontId="429" fillId="2" borderId="1" xfId="0" applyFont="1" applyFill="1" applyBorder="1" applyAlignment="1">
      <alignment horizontal="left"/>
    </xf>
    <xf numFmtId="18" fontId="429" fillId="2" borderId="4" xfId="0" applyNumberFormat="1" applyFont="1" applyFill="1" applyBorder="1" applyAlignment="1">
      <alignment horizontal="left"/>
    </xf>
    <xf numFmtId="0" fontId="396" fillId="2" borderId="2" xfId="0" applyFont="1" applyFill="1" applyBorder="1"/>
    <xf numFmtId="0" fontId="352" fillId="2" borderId="1" xfId="0" applyFont="1" applyFill="1" applyBorder="1"/>
    <xf numFmtId="0" fontId="429" fillId="2" borderId="4" xfId="0" applyFont="1" applyFill="1" applyBorder="1" applyAlignment="1">
      <alignment horizontal="left"/>
    </xf>
    <xf numFmtId="0" fontId="389" fillId="2" borderId="4" xfId="0" applyFont="1" applyFill="1" applyBorder="1"/>
    <xf numFmtId="0" fontId="431" fillId="2" borderId="2" xfId="0" applyFont="1" applyFill="1" applyBorder="1"/>
    <xf numFmtId="0" fontId="431" fillId="2" borderId="4" xfId="0" applyFont="1" applyFill="1" applyBorder="1"/>
    <xf numFmtId="0" fontId="431" fillId="2" borderId="1" xfId="0" applyFont="1" applyFill="1" applyBorder="1"/>
    <xf numFmtId="0" fontId="424" fillId="2" borderId="2" xfId="0" applyFont="1" applyFill="1" applyBorder="1"/>
    <xf numFmtId="0" fontId="431" fillId="2" borderId="4" xfId="0" applyFont="1" applyFill="1" applyBorder="1" applyAlignment="1">
      <alignment horizontal="left"/>
    </xf>
    <xf numFmtId="0" fontId="430" fillId="2" borderId="2" xfId="0" applyFont="1" applyFill="1" applyBorder="1"/>
    <xf numFmtId="0" fontId="430" fillId="2" borderId="1" xfId="0" applyFont="1" applyFill="1" applyBorder="1"/>
    <xf numFmtId="0" fontId="430" fillId="2" borderId="4" xfId="0" applyFont="1" applyFill="1" applyBorder="1" applyAlignment="1">
      <alignment horizontal="left"/>
    </xf>
    <xf numFmtId="0" fontId="393" fillId="2" borderId="2" xfId="0" applyFont="1" applyFill="1" applyBorder="1"/>
    <xf numFmtId="0" fontId="376" fillId="2" borderId="1" xfId="0" applyFont="1" applyFill="1" applyBorder="1"/>
    <xf numFmtId="0" fontId="396" fillId="2" borderId="1" xfId="0" applyFont="1" applyFill="1" applyBorder="1"/>
    <xf numFmtId="0" fontId="426" fillId="2" borderId="1" xfId="0" applyFont="1" applyFill="1" applyBorder="1"/>
    <xf numFmtId="0" fontId="396" fillId="2" borderId="4" xfId="0" applyFont="1" applyFill="1" applyBorder="1"/>
    <xf numFmtId="0" fontId="423" fillId="2" borderId="2" xfId="0" applyFont="1" applyFill="1" applyBorder="1"/>
    <xf numFmtId="0" fontId="425" fillId="2" borderId="4" xfId="0" applyFont="1" applyFill="1" applyBorder="1"/>
    <xf numFmtId="0" fontId="423" fillId="2" borderId="1" xfId="0" applyFont="1" applyFill="1" applyBorder="1"/>
    <xf numFmtId="0" fontId="425" fillId="2" borderId="1" xfId="0" applyFont="1" applyFill="1" applyBorder="1"/>
    <xf numFmtId="0" fontId="425" fillId="2" borderId="4" xfId="0" applyFont="1" applyFill="1" applyBorder="1" applyAlignment="1">
      <alignment horizontal="left"/>
    </xf>
    <xf numFmtId="0" fontId="423" fillId="2" borderId="4" xfId="0" applyFont="1" applyFill="1" applyBorder="1"/>
    <xf numFmtId="0" fontId="423" fillId="2" borderId="4" xfId="0" applyFont="1" applyFill="1" applyBorder="1" applyAlignment="1">
      <alignment horizontal="left"/>
    </xf>
    <xf numFmtId="0" fontId="424" fillId="2" borderId="4" xfId="0" applyFont="1" applyFill="1" applyBorder="1"/>
    <xf numFmtId="0" fontId="424" fillId="2" borderId="1" xfId="0" applyFont="1" applyFill="1" applyBorder="1"/>
    <xf numFmtId="0" fontId="416" fillId="2" borderId="4" xfId="0" applyFont="1" applyFill="1" applyBorder="1"/>
    <xf numFmtId="0" fontId="422" fillId="2" borderId="4" xfId="0" applyFont="1" applyFill="1" applyBorder="1"/>
    <xf numFmtId="18" fontId="431" fillId="2" borderId="4" xfId="0" applyNumberFormat="1" applyFont="1" applyFill="1" applyBorder="1" applyAlignment="1">
      <alignment horizontal="left"/>
    </xf>
    <xf numFmtId="0" fontId="394" fillId="2" borderId="2" xfId="0" applyFont="1" applyFill="1" applyBorder="1"/>
    <xf numFmtId="0" fontId="421" fillId="2" borderId="2" xfId="0" applyFont="1" applyFill="1" applyBorder="1"/>
    <xf numFmtId="0" fontId="421" fillId="2" borderId="4" xfId="0" applyFont="1" applyFill="1" applyBorder="1"/>
    <xf numFmtId="0" fontId="421" fillId="2" borderId="1" xfId="0" applyFont="1" applyFill="1" applyBorder="1"/>
    <xf numFmtId="18" fontId="421" fillId="2" borderId="4" xfId="0" applyNumberFormat="1" applyFont="1" applyFill="1" applyBorder="1" applyAlignment="1">
      <alignment horizontal="left"/>
    </xf>
    <xf numFmtId="0" fontId="420" fillId="2" borderId="2" xfId="0" applyFont="1" applyFill="1" applyBorder="1"/>
    <xf numFmtId="0" fontId="420" fillId="2" borderId="4" xfId="0" applyFont="1" applyFill="1" applyBorder="1"/>
    <xf numFmtId="0" fontId="420" fillId="2" borderId="1" xfId="0" applyFont="1" applyFill="1" applyBorder="1"/>
    <xf numFmtId="0" fontId="419" fillId="2" borderId="2" xfId="0" applyFont="1" applyFill="1" applyBorder="1"/>
    <xf numFmtId="0" fontId="419" fillId="2" borderId="4" xfId="0" applyFont="1" applyFill="1" applyBorder="1"/>
    <xf numFmtId="0" fontId="419" fillId="2" borderId="1" xfId="0" applyFont="1" applyFill="1" applyBorder="1"/>
    <xf numFmtId="0" fontId="418" fillId="2" borderId="2" xfId="0" applyFont="1" applyFill="1" applyBorder="1"/>
    <xf numFmtId="0" fontId="418" fillId="2" borderId="4" xfId="0" applyFont="1" applyFill="1" applyBorder="1"/>
    <xf numFmtId="0" fontId="418" fillId="2" borderId="1" xfId="0" applyFont="1" applyFill="1" applyBorder="1"/>
    <xf numFmtId="0" fontId="417" fillId="2" borderId="2" xfId="0" applyFont="1" applyFill="1" applyBorder="1"/>
    <xf numFmtId="0" fontId="417" fillId="2" borderId="4" xfId="0" applyFont="1" applyFill="1" applyBorder="1"/>
    <xf numFmtId="0" fontId="417" fillId="2" borderId="1" xfId="0" applyFont="1" applyFill="1" applyBorder="1"/>
    <xf numFmtId="0" fontId="417" fillId="2" borderId="4" xfId="0" applyFont="1" applyFill="1" applyBorder="1" applyAlignment="1">
      <alignment horizontal="left"/>
    </xf>
    <xf numFmtId="0" fontId="416" fillId="2" borderId="2" xfId="0" applyFont="1" applyFill="1" applyBorder="1"/>
    <xf numFmtId="0" fontId="413" fillId="2" borderId="2" xfId="0" applyFont="1" applyFill="1" applyBorder="1"/>
    <xf numFmtId="0" fontId="415" fillId="2" borderId="4" xfId="0" applyFont="1" applyFill="1" applyBorder="1"/>
    <xf numFmtId="0" fontId="415" fillId="2" borderId="1" xfId="0" applyFont="1" applyFill="1" applyBorder="1"/>
    <xf numFmtId="0" fontId="414" fillId="2" borderId="2" xfId="0" applyFont="1" applyFill="1" applyBorder="1"/>
    <xf numFmtId="0" fontId="414" fillId="2" borderId="4" xfId="0" applyFont="1" applyFill="1" applyBorder="1"/>
    <xf numFmtId="0" fontId="414" fillId="2" borderId="1" xfId="0" applyFont="1" applyFill="1" applyBorder="1"/>
    <xf numFmtId="0" fontId="413" fillId="2" borderId="4" xfId="0" applyFont="1" applyFill="1" applyBorder="1"/>
    <xf numFmtId="0" fontId="413" fillId="2" borderId="1" xfId="0" applyFont="1" applyFill="1" applyBorder="1"/>
    <xf numFmtId="0" fontId="413" fillId="2" borderId="4" xfId="0" applyFont="1" applyFill="1" applyBorder="1" applyAlignment="1">
      <alignment horizontal="left"/>
    </xf>
    <xf numFmtId="0" fontId="398" fillId="2" borderId="2" xfId="0" applyFont="1" applyFill="1" applyBorder="1"/>
    <xf numFmtId="0" fontId="412" fillId="2" borderId="4" xfId="0" applyFont="1" applyFill="1" applyBorder="1"/>
    <xf numFmtId="0" fontId="411" fillId="2" borderId="1" xfId="0" applyFont="1" applyFill="1" applyBorder="1"/>
    <xf numFmtId="0" fontId="411" fillId="2" borderId="4" xfId="0" applyFont="1" applyFill="1" applyBorder="1"/>
    <xf numFmtId="0" fontId="412" fillId="2" borderId="4" xfId="0" applyFont="1" applyFill="1" applyBorder="1" applyAlignment="1">
      <alignment horizontal="left"/>
    </xf>
    <xf numFmtId="0" fontId="377" fillId="2" borderId="1" xfId="0" applyFont="1" applyFill="1" applyBorder="1"/>
    <xf numFmtId="0" fontId="412" fillId="2" borderId="2" xfId="0" applyFont="1" applyFill="1" applyBorder="1"/>
    <xf numFmtId="0" fontId="408" fillId="2" borderId="2" xfId="0" applyFont="1" applyFill="1" applyBorder="1"/>
    <xf numFmtId="0" fontId="410" fillId="2" borderId="2" xfId="0" applyFont="1" applyFill="1" applyBorder="1"/>
    <xf numFmtId="0" fontId="410" fillId="2" borderId="4" xfId="0" applyFont="1" applyFill="1" applyBorder="1"/>
    <xf numFmtId="0" fontId="410" fillId="2" borderId="1" xfId="0" applyFont="1" applyFill="1" applyBorder="1"/>
    <xf numFmtId="0" fontId="410" fillId="2" borderId="4" xfId="0" applyFont="1" applyFill="1" applyBorder="1" applyAlignment="1">
      <alignment horizontal="left"/>
    </xf>
    <xf numFmtId="0" fontId="406" fillId="2" borderId="2" xfId="0" applyFont="1" applyFill="1" applyBorder="1"/>
    <xf numFmtId="0" fontId="406" fillId="2" borderId="1" xfId="0" applyFont="1" applyFill="1" applyBorder="1"/>
    <xf numFmtId="0" fontId="407" fillId="2" borderId="1" xfId="0" applyFont="1" applyFill="1" applyBorder="1"/>
    <xf numFmtId="0" fontId="409" fillId="2" borderId="4" xfId="0" applyFont="1" applyFill="1" applyBorder="1"/>
    <xf numFmtId="18" fontId="409" fillId="2" borderId="4" xfId="0" applyNumberFormat="1" applyFont="1" applyFill="1" applyBorder="1" applyAlignment="1">
      <alignment horizontal="left"/>
    </xf>
    <xf numFmtId="0" fontId="405" fillId="2" borderId="2" xfId="0" applyFont="1" applyFill="1" applyBorder="1"/>
    <xf numFmtId="0" fontId="405" fillId="2" borderId="4" xfId="0" applyFont="1" applyFill="1" applyBorder="1"/>
    <xf numFmtId="0" fontId="405" fillId="2" borderId="1" xfId="0" applyFont="1" applyFill="1" applyBorder="1"/>
    <xf numFmtId="0" fontId="404" fillId="2" borderId="2" xfId="0" applyFont="1" applyFill="1" applyBorder="1"/>
    <xf numFmtId="0" fontId="404" fillId="2" borderId="4" xfId="0" applyFont="1" applyFill="1" applyBorder="1"/>
    <xf numFmtId="0" fontId="404" fillId="2" borderId="1" xfId="0" applyFont="1" applyFill="1" applyBorder="1"/>
    <xf numFmtId="0" fontId="404" fillId="2" borderId="4" xfId="0" applyFont="1" applyFill="1" applyBorder="1" applyAlignment="1">
      <alignment horizontal="left"/>
    </xf>
    <xf numFmtId="0" fontId="403" fillId="2" borderId="2" xfId="0" applyFont="1" applyFill="1" applyBorder="1"/>
    <xf numFmtId="0" fontId="403" fillId="2" borderId="4" xfId="0" applyFont="1" applyFill="1" applyBorder="1"/>
    <xf numFmtId="0" fontId="402" fillId="2" borderId="2" xfId="0" applyFont="1" applyFill="1" applyBorder="1"/>
    <xf numFmtId="0" fontId="402" fillId="2" borderId="4" xfId="0" applyFont="1" applyFill="1" applyBorder="1"/>
    <xf numFmtId="0" fontId="402" fillId="2" borderId="1" xfId="0" applyFont="1" applyFill="1" applyBorder="1"/>
    <xf numFmtId="0" fontId="401" fillId="2" borderId="1" xfId="0" applyFont="1" applyFill="1" applyBorder="1"/>
    <xf numFmtId="0" fontId="401" fillId="2" borderId="4" xfId="0" applyFont="1" applyFill="1" applyBorder="1"/>
    <xf numFmtId="0" fontId="401" fillId="2" borderId="4" xfId="0" applyFont="1" applyFill="1" applyBorder="1" applyAlignment="1">
      <alignment horizontal="left"/>
    </xf>
    <xf numFmtId="0" fontId="0" fillId="2" borderId="2" xfId="0" applyFill="1" applyBorder="1" applyAlignment="1">
      <alignment vertical="top"/>
    </xf>
    <xf numFmtId="0" fontId="400" fillId="2" borderId="4" xfId="0" applyFont="1" applyFill="1" applyBorder="1" applyAlignment="1">
      <alignment vertical="center"/>
    </xf>
    <xf numFmtId="0" fontId="400" fillId="2" borderId="4" xfId="0" applyFont="1" applyFill="1" applyBorder="1" applyAlignment="1">
      <alignment horizontal="left"/>
    </xf>
    <xf numFmtId="0" fontId="399" fillId="2" borderId="2" xfId="0" applyFont="1" applyFill="1" applyBorder="1"/>
    <xf numFmtId="0" fontId="399" fillId="2" borderId="1" xfId="0" applyFont="1" applyFill="1" applyBorder="1"/>
    <xf numFmtId="0" fontId="399" fillId="2" borderId="4" xfId="0" applyFont="1" applyFill="1" applyBorder="1"/>
    <xf numFmtId="0" fontId="398" fillId="2" borderId="4" xfId="0" applyFont="1" applyFill="1" applyBorder="1"/>
    <xf numFmtId="0" fontId="394" fillId="2" borderId="1" xfId="0" applyFont="1" applyFill="1" applyBorder="1"/>
    <xf numFmtId="0" fontId="391" fillId="2" borderId="1" xfId="0" applyFont="1" applyFill="1" applyBorder="1"/>
    <xf numFmtId="0" fontId="395" fillId="2" borderId="4" xfId="0" applyFont="1" applyFill="1" applyBorder="1"/>
    <xf numFmtId="0" fontId="395" fillId="2" borderId="1" xfId="0" applyFont="1" applyFill="1" applyBorder="1"/>
    <xf numFmtId="0" fontId="391" fillId="2" borderId="2" xfId="0" applyFont="1" applyFill="1" applyBorder="1"/>
    <xf numFmtId="0" fontId="371" fillId="2" borderId="4" xfId="0" applyFont="1" applyFill="1" applyBorder="1"/>
    <xf numFmtId="0" fontId="394" fillId="2" borderId="4" xfId="0" applyFont="1" applyFill="1" applyBorder="1"/>
    <xf numFmtId="0" fontId="394" fillId="2" borderId="4" xfId="0" applyFont="1" applyFill="1" applyBorder="1" applyAlignment="1">
      <alignment horizontal="left"/>
    </xf>
    <xf numFmtId="0" fontId="393" fillId="2" borderId="1" xfId="0" applyFont="1" applyFill="1" applyBorder="1"/>
    <xf numFmtId="18" fontId="394" fillId="2" borderId="4" xfId="0" applyNumberFormat="1" applyFont="1" applyFill="1" applyBorder="1" applyAlignment="1">
      <alignment horizontal="left"/>
    </xf>
    <xf numFmtId="0" fontId="440" fillId="2" borderId="0" xfId="0" applyFont="1" applyFill="1"/>
    <xf numFmtId="0" fontId="441" fillId="2" borderId="4" xfId="0" applyFont="1" applyFill="1" applyBorder="1" applyAlignment="1">
      <alignment vertical="center"/>
    </xf>
    <xf numFmtId="0" fontId="393" fillId="2" borderId="4" xfId="0" applyFont="1" applyFill="1" applyBorder="1"/>
    <xf numFmtId="0" fontId="389" fillId="2" borderId="1" xfId="0" applyFont="1" applyFill="1" applyBorder="1"/>
    <xf numFmtId="0" fontId="392" fillId="2" borderId="2" xfId="0" applyFont="1" applyFill="1" applyBorder="1"/>
    <xf numFmtId="0" fontId="392" fillId="2" borderId="1" xfId="0" applyFont="1" applyFill="1" applyBorder="1"/>
    <xf numFmtId="0" fontId="381" fillId="2" borderId="2" xfId="0" applyFont="1" applyFill="1" applyBorder="1"/>
    <xf numFmtId="0" fontId="376" fillId="2" borderId="4" xfId="0" applyFont="1" applyFill="1" applyBorder="1"/>
    <xf numFmtId="0" fontId="390" fillId="2" borderId="2" xfId="0" applyFont="1" applyFill="1" applyBorder="1"/>
    <xf numFmtId="0" fontId="383" fillId="2" borderId="1" xfId="0" applyFont="1" applyFill="1" applyBorder="1"/>
    <xf numFmtId="0" fontId="383" fillId="2" borderId="4" xfId="0" applyFont="1" applyFill="1" applyBorder="1"/>
    <xf numFmtId="0" fontId="389" fillId="2" borderId="2" xfId="0" applyFont="1" applyFill="1" applyBorder="1"/>
    <xf numFmtId="0" fontId="384" fillId="2" borderId="1" xfId="0" applyFont="1" applyFill="1" applyBorder="1"/>
    <xf numFmtId="0" fontId="388" fillId="2" borderId="4" xfId="0" applyFont="1" applyFill="1" applyBorder="1"/>
    <xf numFmtId="0" fontId="387" fillId="2" borderId="2" xfId="0" applyFont="1" applyFill="1" applyBorder="1"/>
    <xf numFmtId="0" fontId="387" fillId="2" borderId="4" xfId="0" applyFont="1" applyFill="1" applyBorder="1"/>
    <xf numFmtId="0" fontId="386" fillId="2" borderId="4" xfId="0" applyFont="1" applyFill="1" applyBorder="1"/>
    <xf numFmtId="0" fontId="386" fillId="2" borderId="1" xfId="0" applyFont="1" applyFill="1" applyBorder="1"/>
    <xf numFmtId="0" fontId="366" fillId="2" borderId="1" xfId="0" applyFont="1" applyFill="1" applyBorder="1"/>
    <xf numFmtId="0" fontId="385" fillId="2" borderId="2" xfId="0" applyFont="1" applyFill="1" applyBorder="1"/>
    <xf numFmtId="0" fontId="385" fillId="2" borderId="4" xfId="0" applyFont="1" applyFill="1" applyBorder="1"/>
    <xf numFmtId="0" fontId="385" fillId="2" borderId="1" xfId="0" applyFont="1" applyFill="1" applyBorder="1"/>
    <xf numFmtId="0" fontId="384" fillId="2" borderId="2" xfId="0" applyFont="1" applyFill="1" applyBorder="1"/>
    <xf numFmtId="0" fontId="384" fillId="2" borderId="4" xfId="0" applyFont="1" applyFill="1" applyBorder="1"/>
    <xf numFmtId="0" fontId="382" fillId="2" borderId="2" xfId="0" applyFont="1" applyFill="1" applyBorder="1"/>
    <xf numFmtId="0" fontId="382" fillId="2" borderId="4" xfId="0" applyFont="1" applyFill="1" applyBorder="1"/>
    <xf numFmtId="0" fontId="382" fillId="2" borderId="1" xfId="0" applyFont="1" applyFill="1" applyBorder="1"/>
    <xf numFmtId="0" fontId="382" fillId="2" borderId="4" xfId="0" applyFont="1" applyFill="1" applyBorder="1" applyAlignment="1">
      <alignment horizontal="left"/>
    </xf>
    <xf numFmtId="0" fontId="372" fillId="2" borderId="1" xfId="0" applyFont="1" applyFill="1" applyBorder="1"/>
    <xf numFmtId="0" fontId="381" fillId="2" borderId="4" xfId="0" applyFont="1" applyFill="1" applyBorder="1"/>
    <xf numFmtId="0" fontId="381" fillId="2" borderId="1" xfId="0" applyFont="1" applyFill="1" applyBorder="1"/>
    <xf numFmtId="0" fontId="352" fillId="2" borderId="0" xfId="0" applyFont="1" applyFill="1"/>
    <xf numFmtId="0" fontId="380" fillId="2" borderId="2" xfId="0" applyFont="1" applyFill="1" applyBorder="1"/>
    <xf numFmtId="0" fontId="380" fillId="2" borderId="4" xfId="0" applyFont="1" applyFill="1" applyBorder="1"/>
    <xf numFmtId="0" fontId="380" fillId="2" borderId="1" xfId="0" applyFont="1" applyFill="1" applyBorder="1"/>
    <xf numFmtId="0" fontId="354" fillId="2" borderId="1" xfId="0" applyFont="1" applyFill="1" applyBorder="1"/>
    <xf numFmtId="0" fontId="379" fillId="2" borderId="2" xfId="0" applyFont="1" applyFill="1" applyBorder="1"/>
    <xf numFmtId="0" fontId="379" fillId="2" borderId="4" xfId="0" applyFont="1" applyFill="1" applyBorder="1"/>
    <xf numFmtId="0" fontId="378" fillId="2" borderId="2" xfId="0" applyFont="1" applyFill="1" applyBorder="1"/>
    <xf numFmtId="0" fontId="378" fillId="2" borderId="4" xfId="0" applyFont="1" applyFill="1" applyBorder="1"/>
    <xf numFmtId="0" fontId="378" fillId="2" borderId="1" xfId="0" applyFont="1" applyFill="1" applyBorder="1"/>
    <xf numFmtId="0" fontId="378" fillId="2" borderId="4" xfId="0" applyFont="1" applyFill="1" applyBorder="1" applyAlignment="1">
      <alignment horizontal="left"/>
    </xf>
    <xf numFmtId="0" fontId="372" fillId="2" borderId="2" xfId="0" applyFont="1" applyFill="1" applyBorder="1"/>
    <xf numFmtId="0" fontId="377" fillId="2" borderId="4" xfId="0" applyFont="1" applyFill="1" applyBorder="1"/>
    <xf numFmtId="0" fontId="377" fillId="2" borderId="2" xfId="0" applyFont="1" applyFill="1" applyBorder="1"/>
    <xf numFmtId="0" fontId="363" fillId="2" borderId="1" xfId="0" applyFont="1" applyFill="1" applyBorder="1"/>
    <xf numFmtId="0" fontId="375" fillId="2" borderId="2" xfId="0" applyFont="1" applyFill="1" applyBorder="1"/>
    <xf numFmtId="0" fontId="375" fillId="2" borderId="4" xfId="0" applyFont="1" applyFill="1" applyBorder="1"/>
    <xf numFmtId="0" fontId="375" fillId="2" borderId="1" xfId="0" applyFont="1" applyFill="1" applyBorder="1"/>
    <xf numFmtId="0" fontId="374" fillId="2" borderId="1" xfId="0" applyFont="1" applyFill="1" applyBorder="1"/>
    <xf numFmtId="0" fontId="374" fillId="2" borderId="4" xfId="0" applyFont="1" applyFill="1" applyBorder="1"/>
    <xf numFmtId="0" fontId="374" fillId="2" borderId="4" xfId="0" applyFont="1" applyFill="1" applyBorder="1" applyAlignment="1">
      <alignment horizontal="left"/>
    </xf>
    <xf numFmtId="0" fontId="373" fillId="2" borderId="4" xfId="0" applyFont="1" applyFill="1" applyBorder="1"/>
    <xf numFmtId="0" fontId="373" fillId="2" borderId="4" xfId="0" applyFont="1" applyFill="1" applyBorder="1" applyAlignment="1">
      <alignment horizontal="left"/>
    </xf>
    <xf numFmtId="0" fontId="372" fillId="2" borderId="4" xfId="0" applyFont="1" applyFill="1" applyBorder="1"/>
    <xf numFmtId="0" fontId="372" fillId="2" borderId="4" xfId="0" applyFont="1" applyFill="1" applyBorder="1" applyAlignment="1">
      <alignment horizontal="left"/>
    </xf>
    <xf numFmtId="0" fontId="371" fillId="2" borderId="2" xfId="0" applyFont="1" applyFill="1" applyBorder="1"/>
    <xf numFmtId="0" fontId="371" fillId="2" borderId="1" xfId="0" applyFont="1" applyFill="1" applyBorder="1"/>
    <xf numFmtId="0" fontId="371" fillId="2" borderId="4" xfId="0" applyFont="1" applyFill="1" applyBorder="1" applyAlignment="1">
      <alignment horizontal="left"/>
    </xf>
    <xf numFmtId="0" fontId="370" fillId="2" borderId="2" xfId="0" applyFont="1" applyFill="1" applyBorder="1"/>
    <xf numFmtId="0" fontId="370" fillId="2" borderId="4" xfId="0" applyFont="1" applyFill="1" applyBorder="1" applyAlignment="1">
      <alignment horizontal="left"/>
    </xf>
    <xf numFmtId="0" fontId="369" fillId="2" borderId="2" xfId="0" applyFont="1" applyFill="1" applyBorder="1"/>
    <xf numFmtId="0" fontId="369" fillId="2" borderId="4" xfId="0" applyFont="1" applyFill="1" applyBorder="1"/>
    <xf numFmtId="0" fontId="369" fillId="2" borderId="1" xfId="0" applyFont="1" applyFill="1" applyBorder="1"/>
    <xf numFmtId="0" fontId="368" fillId="2" borderId="2" xfId="0" applyFont="1" applyFill="1" applyBorder="1"/>
    <xf numFmtId="0" fontId="368" fillId="2" borderId="4" xfId="0" applyFont="1" applyFill="1" applyBorder="1"/>
    <xf numFmtId="0" fontId="368" fillId="2" borderId="1" xfId="0" applyFont="1" applyFill="1" applyBorder="1"/>
    <xf numFmtId="0" fontId="368" fillId="2" borderId="4" xfId="0" applyFont="1" applyFill="1" applyBorder="1" applyAlignment="1">
      <alignment horizontal="left"/>
    </xf>
    <xf numFmtId="0" fontId="365" fillId="2" borderId="2" xfId="0" applyFont="1" applyFill="1" applyBorder="1"/>
    <xf numFmtId="0" fontId="365" fillId="2" borderId="4" xfId="0" applyFont="1" applyFill="1" applyBorder="1"/>
    <xf numFmtId="0" fontId="364" fillId="2" borderId="1" xfId="0" applyFont="1" applyFill="1" applyBorder="1"/>
    <xf numFmtId="0" fontId="365" fillId="2" borderId="1" xfId="0" applyFont="1" applyFill="1" applyBorder="1"/>
    <xf numFmtId="0" fontId="364" fillId="2" borderId="4" xfId="0" applyFont="1" applyFill="1" applyBorder="1"/>
    <xf numFmtId="0" fontId="367" fillId="2" borderId="1" xfId="0" applyFont="1" applyFill="1" applyBorder="1"/>
    <xf numFmtId="0" fontId="362" fillId="2" borderId="4" xfId="0" applyFont="1" applyFill="1" applyBorder="1"/>
    <xf numFmtId="0" fontId="362" fillId="2" borderId="1" xfId="0" applyFont="1" applyFill="1" applyBorder="1"/>
    <xf numFmtId="0" fontId="361" fillId="2" borderId="4" xfId="0" applyFont="1" applyFill="1" applyBorder="1"/>
    <xf numFmtId="0" fontId="360" fillId="2" borderId="2" xfId="0" applyFont="1" applyFill="1" applyBorder="1"/>
    <xf numFmtId="0" fontId="361" fillId="2" borderId="1" xfId="0" applyFont="1" applyFill="1" applyBorder="1"/>
    <xf numFmtId="0" fontId="358" fillId="2" borderId="1" xfId="0" applyFont="1" applyFill="1" applyBorder="1"/>
    <xf numFmtId="0" fontId="360" fillId="2" borderId="4" xfId="0" applyFont="1" applyFill="1" applyBorder="1"/>
    <xf numFmtId="0" fontId="360" fillId="2" borderId="1" xfId="0" applyFont="1" applyFill="1" applyBorder="1"/>
    <xf numFmtId="0" fontId="358" fillId="2" borderId="2" xfId="0" applyFont="1" applyFill="1" applyBorder="1"/>
    <xf numFmtId="0" fontId="358" fillId="2" borderId="3" xfId="0" applyFont="1" applyFill="1" applyBorder="1"/>
    <xf numFmtId="0" fontId="358" fillId="2" borderId="4" xfId="0" applyFont="1" applyFill="1" applyBorder="1"/>
    <xf numFmtId="0" fontId="367" fillId="2" borderId="4" xfId="0" applyFont="1" applyFill="1" applyBorder="1"/>
    <xf numFmtId="0" fontId="357" fillId="2" borderId="2" xfId="0" applyFont="1" applyFill="1" applyBorder="1"/>
    <xf numFmtId="0" fontId="356" fillId="2" borderId="2" xfId="0" applyFont="1" applyFill="1" applyBorder="1"/>
    <xf numFmtId="0" fontId="356" fillId="2" borderId="4" xfId="0" applyFont="1" applyFill="1" applyBorder="1"/>
    <xf numFmtId="0" fontId="356" fillId="2" borderId="4" xfId="0" applyFont="1" applyFill="1" applyBorder="1" applyAlignment="1">
      <alignment horizontal="left"/>
    </xf>
    <xf numFmtId="0" fontId="355" fillId="2" borderId="2" xfId="0" applyFont="1" applyFill="1" applyBorder="1"/>
    <xf numFmtId="0" fontId="443" fillId="2" borderId="0" xfId="0" applyFont="1" applyFill="1"/>
    <xf numFmtId="0" fontId="354" fillId="2" borderId="4" xfId="0" applyFont="1" applyFill="1" applyBorder="1"/>
    <xf numFmtId="0" fontId="353" fillId="2" borderId="2" xfId="0" applyFont="1" applyFill="1" applyBorder="1"/>
    <xf numFmtId="0" fontId="353" fillId="2" borderId="4" xfId="0" applyFont="1" applyFill="1" applyBorder="1"/>
    <xf numFmtId="0" fontId="353" fillId="2" borderId="1" xfId="0" applyFont="1" applyFill="1" applyBorder="1"/>
    <xf numFmtId="0" fontId="352" fillId="2" borderId="2" xfId="0" applyFont="1" applyFill="1" applyBorder="1"/>
    <xf numFmtId="0" fontId="352" fillId="2" borderId="4" xfId="0" applyFont="1" applyFill="1" applyBorder="1"/>
    <xf numFmtId="0" fontId="436" fillId="3" borderId="1" xfId="0" applyFont="1" applyFill="1" applyBorder="1" applyAlignment="1">
      <alignment vertical="center"/>
    </xf>
    <xf numFmtId="0" fontId="436" fillId="3" borderId="2" xfId="0" applyFont="1" applyFill="1" applyBorder="1" applyAlignment="1">
      <alignment vertical="center"/>
    </xf>
    <xf numFmtId="0" fontId="436" fillId="3" borderId="4" xfId="0" applyFont="1" applyFill="1" applyBorder="1" applyAlignment="1">
      <alignment vertical="center"/>
    </xf>
    <xf numFmtId="0" fontId="437" fillId="3" borderId="1" xfId="0" applyFont="1" applyFill="1" applyBorder="1" applyAlignment="1">
      <alignment vertical="center"/>
    </xf>
    <xf numFmtId="0" fontId="437" fillId="3" borderId="1" xfId="0" applyFont="1" applyFill="1" applyBorder="1" applyAlignment="1">
      <alignment horizontal="left" vertical="center"/>
    </xf>
    <xf numFmtId="0" fontId="436" fillId="3" borderId="4" xfId="0" applyFont="1" applyFill="1" applyBorder="1" applyAlignment="1">
      <alignment horizontal="left" vertical="center"/>
    </xf>
    <xf numFmtId="0" fontId="347" fillId="2" borderId="1" xfId="0" applyFont="1" applyFill="1" applyBorder="1"/>
    <xf numFmtId="0" fontId="341" fillId="2" borderId="1" xfId="0" applyFont="1" applyFill="1" applyBorder="1"/>
    <xf numFmtId="0" fontId="340" fillId="2" borderId="1" xfId="0" applyFont="1" applyFill="1" applyBorder="1"/>
    <xf numFmtId="14" fontId="340" fillId="2" borderId="4" xfId="0" applyNumberFormat="1" applyFont="1" applyFill="1" applyBorder="1" applyAlignment="1">
      <alignment horizontal="left"/>
    </xf>
    <xf numFmtId="0" fontId="328" fillId="2" borderId="2" xfId="0" applyFont="1" applyFill="1" applyBorder="1"/>
    <xf numFmtId="0" fontId="328" fillId="2" borderId="4" xfId="0" applyFont="1" applyFill="1" applyBorder="1"/>
    <xf numFmtId="0" fontId="328" fillId="2" borderId="1" xfId="0" applyFont="1" applyFill="1" applyBorder="1"/>
    <xf numFmtId="0" fontId="327" fillId="2" borderId="4" xfId="0" applyFont="1" applyFill="1" applyBorder="1"/>
    <xf numFmtId="0" fontId="327" fillId="2" borderId="1" xfId="0" applyFont="1" applyFill="1" applyBorder="1"/>
    <xf numFmtId="0" fontId="326" fillId="2" borderId="2" xfId="0" applyFont="1" applyFill="1" applyBorder="1"/>
    <xf numFmtId="0" fontId="326" fillId="2" borderId="4" xfId="0" applyFont="1" applyFill="1" applyBorder="1"/>
    <xf numFmtId="0" fontId="326" fillId="2" borderId="1" xfId="0" applyFont="1" applyFill="1" applyBorder="1"/>
    <xf numFmtId="0" fontId="322" fillId="2" borderId="1" xfId="0" applyFont="1" applyFill="1" applyBorder="1"/>
    <xf numFmtId="0" fontId="320" fillId="2" borderId="4" xfId="0" applyFont="1" applyFill="1" applyBorder="1"/>
    <xf numFmtId="0" fontId="320" fillId="2" borderId="1" xfId="0" applyFont="1" applyFill="1" applyBorder="1"/>
    <xf numFmtId="0" fontId="319" fillId="2" borderId="4" xfId="0" applyFont="1" applyFill="1" applyBorder="1"/>
    <xf numFmtId="0" fontId="319" fillId="2" borderId="2" xfId="0" applyFont="1" applyFill="1" applyBorder="1"/>
    <xf numFmtId="0" fontId="317" fillId="2" borderId="2" xfId="0" applyFont="1" applyFill="1" applyBorder="1"/>
    <xf numFmtId="0" fontId="316" fillId="2" borderId="2" xfId="0" applyFont="1" applyFill="1" applyBorder="1"/>
    <xf numFmtId="0" fontId="436" fillId="3" borderId="0" xfId="0" applyFont="1" applyFill="1" applyAlignment="1">
      <alignment vertical="center"/>
    </xf>
    <xf numFmtId="0" fontId="316" fillId="2" borderId="0" xfId="0" applyFont="1" applyFill="1"/>
    <xf numFmtId="0" fontId="315" fillId="2" borderId="1" xfId="0" applyFont="1" applyFill="1" applyBorder="1"/>
    <xf numFmtId="0" fontId="315" fillId="2" borderId="4" xfId="0" applyFont="1" applyFill="1" applyBorder="1"/>
    <xf numFmtId="0" fontId="314" fillId="2" borderId="1" xfId="0" applyFont="1" applyFill="1" applyBorder="1"/>
    <xf numFmtId="0" fontId="314" fillId="2" borderId="2" xfId="0" applyFont="1" applyFill="1" applyBorder="1"/>
    <xf numFmtId="0" fontId="314" fillId="2" borderId="4" xfId="0" applyFont="1" applyFill="1" applyBorder="1"/>
    <xf numFmtId="18" fontId="314" fillId="2" borderId="4" xfId="0" applyNumberFormat="1" applyFont="1" applyFill="1" applyBorder="1" applyAlignment="1">
      <alignment horizontal="left"/>
    </xf>
    <xf numFmtId="0" fontId="313" fillId="2" borderId="4" xfId="0" applyFont="1" applyFill="1" applyBorder="1"/>
    <xf numFmtId="0" fontId="312" fillId="2" borderId="2" xfId="0" applyFont="1" applyFill="1" applyBorder="1"/>
    <xf numFmtId="0" fontId="312" fillId="2" borderId="1" xfId="0" applyFont="1" applyFill="1" applyBorder="1"/>
    <xf numFmtId="0" fontId="312" fillId="2" borderId="4" xfId="0" applyFont="1" applyFill="1" applyBorder="1"/>
    <xf numFmtId="0" fontId="307" fillId="2" borderId="4" xfId="0" applyFont="1" applyFill="1" applyBorder="1"/>
    <xf numFmtId="0" fontId="307" fillId="2" borderId="2" xfId="0" applyFont="1" applyFill="1" applyBorder="1"/>
    <xf numFmtId="0" fontId="307" fillId="2" borderId="1" xfId="0" applyFont="1" applyFill="1" applyBorder="1"/>
    <xf numFmtId="0" fontId="304" fillId="2" borderId="1" xfId="0" applyFont="1" applyFill="1" applyBorder="1"/>
    <xf numFmtId="0" fontId="304" fillId="2" borderId="2" xfId="0" applyFont="1" applyFill="1" applyBorder="1"/>
    <xf numFmtId="0" fontId="303" fillId="2" borderId="4" xfId="0" applyFont="1" applyFill="1" applyBorder="1"/>
    <xf numFmtId="0" fontId="351" fillId="2" borderId="2" xfId="0" applyFont="1" applyFill="1" applyBorder="1"/>
    <xf numFmtId="0" fontId="350" fillId="2" borderId="4" xfId="0" applyFont="1" applyFill="1" applyBorder="1"/>
    <xf numFmtId="0" fontId="351" fillId="2" borderId="1" xfId="0" applyFont="1" applyFill="1" applyBorder="1"/>
    <xf numFmtId="0" fontId="351" fillId="2" borderId="4" xfId="0" applyFont="1" applyFill="1" applyBorder="1"/>
    <xf numFmtId="0" fontId="349" fillId="2" borderId="2" xfId="0" applyFont="1" applyFill="1" applyBorder="1"/>
    <xf numFmtId="0" fontId="349" fillId="2" borderId="4" xfId="0" applyFont="1" applyFill="1" applyBorder="1"/>
    <xf numFmtId="0" fontId="349" fillId="2" borderId="1" xfId="0" applyFont="1" applyFill="1" applyBorder="1"/>
    <xf numFmtId="0" fontId="347" fillId="2" borderId="2" xfId="0" applyFont="1" applyFill="1" applyBorder="1"/>
    <xf numFmtId="0" fontId="347" fillId="2" borderId="4" xfId="0" applyFont="1" applyFill="1" applyBorder="1"/>
    <xf numFmtId="0" fontId="348" fillId="2" borderId="4" xfId="0" applyFont="1" applyFill="1" applyBorder="1"/>
    <xf numFmtId="0" fontId="348" fillId="2" borderId="1" xfId="0" applyFont="1" applyFill="1" applyBorder="1"/>
    <xf numFmtId="0" fontId="346" fillId="2" borderId="2" xfId="0" applyFont="1" applyFill="1" applyBorder="1"/>
    <xf numFmtId="0" fontId="346" fillId="2" borderId="4" xfId="0" applyFont="1" applyFill="1" applyBorder="1"/>
    <xf numFmtId="0" fontId="346" fillId="2" borderId="1" xfId="0" applyFont="1" applyFill="1" applyBorder="1"/>
    <xf numFmtId="0" fontId="342" fillId="2" borderId="2" xfId="0" applyFont="1" applyFill="1" applyBorder="1"/>
    <xf numFmtId="0" fontId="342" fillId="2" borderId="4" xfId="0" applyFont="1" applyFill="1" applyBorder="1"/>
    <xf numFmtId="0" fontId="345" fillId="2" borderId="2" xfId="0" applyFont="1" applyFill="1" applyBorder="1"/>
    <xf numFmtId="0" fontId="345" fillId="2" borderId="1" xfId="0" applyFont="1" applyFill="1" applyBorder="1"/>
    <xf numFmtId="0" fontId="345" fillId="2" borderId="4" xfId="0" applyFont="1" applyFill="1" applyBorder="1"/>
    <xf numFmtId="0" fontId="344" fillId="2" borderId="2" xfId="0" applyFont="1" applyFill="1" applyBorder="1"/>
    <xf numFmtId="0" fontId="343" fillId="2" borderId="2" xfId="0" applyFont="1" applyFill="1" applyBorder="1"/>
    <xf numFmtId="0" fontId="345" fillId="2" borderId="4" xfId="0" applyFont="1" applyFill="1" applyBorder="1" applyAlignment="1">
      <alignment horizontal="left"/>
    </xf>
    <xf numFmtId="0" fontId="343" fillId="2" borderId="1" xfId="0" applyFont="1" applyFill="1" applyBorder="1"/>
    <xf numFmtId="0" fontId="340" fillId="2" borderId="2" xfId="0" applyFont="1" applyFill="1" applyBorder="1"/>
    <xf numFmtId="0" fontId="340" fillId="2" borderId="4" xfId="0" applyFont="1" applyFill="1" applyBorder="1"/>
    <xf numFmtId="0" fontId="306" fillId="2" borderId="1" xfId="0" applyFont="1" applyFill="1" applyBorder="1"/>
    <xf numFmtId="0" fontId="339" fillId="2" borderId="2" xfId="0" applyFont="1" applyFill="1" applyBorder="1"/>
    <xf numFmtId="0" fontId="339" fillId="2" borderId="4" xfId="0" applyFont="1" applyFill="1" applyBorder="1"/>
    <xf numFmtId="0" fontId="339" fillId="2" borderId="1" xfId="0" applyFont="1" applyFill="1" applyBorder="1"/>
    <xf numFmtId="0" fontId="337" fillId="2" borderId="2" xfId="0" applyFont="1" applyFill="1" applyBorder="1"/>
    <xf numFmtId="0" fontId="338" fillId="2" borderId="4" xfId="0" applyFont="1" applyFill="1" applyBorder="1"/>
    <xf numFmtId="0" fontId="338" fillId="2" borderId="1" xfId="0" applyFont="1" applyFill="1" applyBorder="1"/>
    <xf numFmtId="0" fontId="338" fillId="2" borderId="4" xfId="0" applyFont="1" applyFill="1" applyBorder="1" applyAlignment="1">
      <alignment horizontal="left"/>
    </xf>
    <xf numFmtId="0" fontId="338" fillId="2" borderId="2" xfId="0" applyFont="1" applyFill="1" applyBorder="1"/>
    <xf numFmtId="0" fontId="336" fillId="2" borderId="4" xfId="0" applyFont="1" applyFill="1" applyBorder="1"/>
    <xf numFmtId="0" fontId="334" fillId="2" borderId="2" xfId="0" applyFont="1" applyFill="1" applyBorder="1"/>
    <xf numFmtId="0" fontId="335" fillId="2" borderId="4" xfId="0" applyFont="1" applyFill="1" applyBorder="1"/>
    <xf numFmtId="0" fontId="335" fillId="2" borderId="1" xfId="0" applyFont="1" applyFill="1" applyBorder="1"/>
    <xf numFmtId="0" fontId="333" fillId="2" borderId="1" xfId="0" applyFont="1" applyFill="1" applyBorder="1"/>
    <xf numFmtId="0" fontId="332" fillId="2" borderId="1" xfId="0" applyFont="1" applyFill="1" applyBorder="1"/>
    <xf numFmtId="0" fontId="333" fillId="2" borderId="2" xfId="0" applyFont="1" applyFill="1" applyBorder="1"/>
    <xf numFmtId="0" fontId="333" fillId="2" borderId="4" xfId="0" applyFont="1" applyFill="1" applyBorder="1"/>
    <xf numFmtId="0" fontId="331" fillId="2" borderId="2" xfId="0" applyFont="1" applyFill="1" applyBorder="1"/>
    <xf numFmtId="0" fontId="331" fillId="2" borderId="4" xfId="0" applyFont="1" applyFill="1" applyBorder="1"/>
    <xf numFmtId="0" fontId="331" fillId="2" borderId="1" xfId="0" applyFont="1" applyFill="1" applyBorder="1"/>
    <xf numFmtId="0" fontId="330" fillId="2" borderId="2" xfId="0" applyFont="1" applyFill="1" applyBorder="1"/>
    <xf numFmtId="0" fontId="330" fillId="2" borderId="4" xfId="0" applyFont="1" applyFill="1" applyBorder="1"/>
    <xf numFmtId="0" fontId="330" fillId="2" borderId="1" xfId="0" applyFont="1" applyFill="1" applyBorder="1"/>
    <xf numFmtId="0" fontId="329" fillId="2" borderId="2" xfId="0" applyFont="1" applyFill="1" applyBorder="1"/>
    <xf numFmtId="0" fontId="329" fillId="2" borderId="4" xfId="0" applyFont="1" applyFill="1" applyBorder="1"/>
    <xf numFmtId="0" fontId="329" fillId="2" borderId="1" xfId="0" applyFont="1" applyFill="1" applyBorder="1"/>
    <xf numFmtId="0" fontId="329" fillId="2" borderId="4" xfId="0" applyFont="1" applyFill="1" applyBorder="1" applyAlignment="1">
      <alignment horizontal="left"/>
    </xf>
    <xf numFmtId="0" fontId="327" fillId="2" borderId="2" xfId="0" applyFont="1" applyFill="1" applyBorder="1"/>
    <xf numFmtId="0" fontId="325" fillId="2" borderId="2" xfId="0" applyFont="1" applyFill="1" applyBorder="1"/>
    <xf numFmtId="0" fontId="325" fillId="2" borderId="4" xfId="0" applyFont="1" applyFill="1" applyBorder="1"/>
    <xf numFmtId="0" fontId="325" fillId="2" borderId="1" xfId="0" applyFont="1" applyFill="1" applyBorder="1"/>
    <xf numFmtId="0" fontId="324" fillId="2" borderId="2" xfId="0" applyFont="1" applyFill="1" applyBorder="1"/>
    <xf numFmtId="0" fontId="323" fillId="2" borderId="4" xfId="0" applyFont="1" applyFill="1" applyBorder="1"/>
    <xf numFmtId="0" fontId="324" fillId="2" borderId="1" xfId="0" applyFont="1" applyFill="1" applyBorder="1"/>
    <xf numFmtId="0" fontId="324" fillId="2" borderId="4" xfId="0" applyFont="1" applyFill="1" applyBorder="1"/>
    <xf numFmtId="0" fontId="322" fillId="2" borderId="2" xfId="0" applyFont="1" applyFill="1" applyBorder="1"/>
    <xf numFmtId="0" fontId="322" fillId="2" borderId="4" xfId="0" applyFont="1" applyFill="1" applyBorder="1"/>
    <xf numFmtId="0" fontId="321" fillId="2" borderId="2" xfId="0" applyFont="1" applyFill="1" applyBorder="1"/>
    <xf numFmtId="0" fontId="321" fillId="2" borderId="4" xfId="0" applyFont="1" applyFill="1" applyBorder="1"/>
    <xf numFmtId="0" fontId="321" fillId="2" borderId="1" xfId="0" applyFont="1" applyFill="1" applyBorder="1"/>
    <xf numFmtId="0" fontId="318" fillId="2" borderId="2" xfId="0" applyFont="1" applyFill="1" applyBorder="1"/>
    <xf numFmtId="0" fontId="318" fillId="2" borderId="4" xfId="0" applyFont="1" applyFill="1" applyBorder="1"/>
    <xf numFmtId="0" fontId="318" fillId="2" borderId="1" xfId="0" applyFont="1" applyFill="1" applyBorder="1"/>
    <xf numFmtId="0" fontId="317" fillId="2" borderId="4" xfId="0" applyFont="1" applyFill="1" applyBorder="1"/>
    <xf numFmtId="0" fontId="315" fillId="2" borderId="2" xfId="0" applyFont="1" applyFill="1" applyBorder="1"/>
    <xf numFmtId="0" fontId="317" fillId="2" borderId="1" xfId="0" applyFont="1" applyFill="1" applyBorder="1"/>
    <xf numFmtId="0" fontId="310" fillId="2" borderId="4" xfId="0" applyFont="1" applyFill="1" applyBorder="1"/>
    <xf numFmtId="0" fontId="310" fillId="2" borderId="2" xfId="0" applyFont="1" applyFill="1" applyBorder="1"/>
    <xf numFmtId="0" fontId="306" fillId="2" borderId="4" xfId="0" applyFont="1" applyFill="1" applyBorder="1"/>
    <xf numFmtId="0" fontId="312" fillId="2" borderId="0" xfId="0" applyFont="1" applyFill="1"/>
    <xf numFmtId="0" fontId="302" fillId="2" borderId="4" xfId="0" applyFont="1" applyFill="1" applyBorder="1"/>
    <xf numFmtId="0" fontId="298" fillId="2" borderId="4" xfId="0" applyFont="1" applyFill="1" applyBorder="1"/>
    <xf numFmtId="0" fontId="298" fillId="2" borderId="4" xfId="0" applyFont="1" applyFill="1" applyBorder="1" applyAlignment="1">
      <alignment wrapText="1"/>
    </xf>
    <xf numFmtId="0" fontId="295" fillId="2" borderId="1" xfId="0" applyFont="1" applyFill="1" applyBorder="1"/>
    <xf numFmtId="0" fontId="295" fillId="2" borderId="4" xfId="0" applyFont="1" applyFill="1" applyBorder="1"/>
    <xf numFmtId="0" fontId="294" fillId="2" borderId="1" xfId="0" applyFont="1" applyFill="1" applyBorder="1"/>
    <xf numFmtId="0" fontId="292" fillId="2" borderId="2" xfId="0" applyFont="1" applyFill="1" applyBorder="1"/>
    <xf numFmtId="0" fontId="292" fillId="2" borderId="4" xfId="0" applyFont="1" applyFill="1" applyBorder="1"/>
    <xf numFmtId="0" fontId="292" fillId="2" borderId="1" xfId="0" applyFont="1" applyFill="1" applyBorder="1"/>
    <xf numFmtId="0" fontId="292" fillId="2" borderId="4" xfId="0" applyFont="1" applyFill="1" applyBorder="1" applyAlignment="1">
      <alignment horizontal="left"/>
    </xf>
    <xf numFmtId="0" fontId="285" fillId="2" borderId="2" xfId="0" applyFont="1" applyFill="1" applyBorder="1"/>
    <xf numFmtId="0" fontId="285" fillId="2" borderId="4" xfId="0" applyFont="1" applyFill="1" applyBorder="1"/>
    <xf numFmtId="0" fontId="285" fillId="2" borderId="1" xfId="0" applyFont="1" applyFill="1" applyBorder="1"/>
    <xf numFmtId="0" fontId="285" fillId="2" borderId="4" xfId="0" applyFont="1" applyFill="1" applyBorder="1" applyAlignment="1">
      <alignment horizontal="left"/>
    </xf>
    <xf numFmtId="0" fontId="279" fillId="2" borderId="2" xfId="0" applyFont="1" applyFill="1" applyBorder="1"/>
    <xf numFmtId="0" fontId="279" fillId="2" borderId="1" xfId="0" applyFont="1" applyFill="1" applyBorder="1"/>
    <xf numFmtId="0" fontId="279" fillId="2" borderId="4" xfId="0" applyFont="1" applyFill="1" applyBorder="1"/>
    <xf numFmtId="0" fontId="276" fillId="2" borderId="2" xfId="0" applyFont="1" applyFill="1" applyBorder="1"/>
    <xf numFmtId="0" fontId="276" fillId="2" borderId="4" xfId="0" applyFont="1" applyFill="1" applyBorder="1"/>
    <xf numFmtId="0" fontId="276" fillId="2" borderId="1" xfId="0" applyFont="1" applyFill="1" applyBorder="1"/>
    <xf numFmtId="18" fontId="276" fillId="2" borderId="4" xfId="0" applyNumberFormat="1" applyFont="1" applyFill="1" applyBorder="1" applyAlignment="1">
      <alignment horizontal="left"/>
    </xf>
    <xf numFmtId="0" fontId="276" fillId="2" borderId="4" xfId="0" applyFont="1" applyFill="1" applyBorder="1" applyAlignment="1">
      <alignment horizontal="left"/>
    </xf>
    <xf numFmtId="0" fontId="275" fillId="2" borderId="2" xfId="0" applyFont="1" applyFill="1" applyBorder="1"/>
    <xf numFmtId="0" fontId="271" fillId="2" borderId="2" xfId="0" applyFont="1" applyFill="1" applyBorder="1"/>
    <xf numFmtId="0" fontId="271" fillId="2" borderId="4" xfId="0" applyFont="1" applyFill="1" applyBorder="1"/>
    <xf numFmtId="0" fontId="271" fillId="2" borderId="1" xfId="0" applyFont="1" applyFill="1" applyBorder="1"/>
    <xf numFmtId="0" fontId="271" fillId="2" borderId="0" xfId="0" applyFont="1" applyFill="1"/>
    <xf numFmtId="0" fontId="269" fillId="2" borderId="2" xfId="0" applyFont="1" applyFill="1" applyBorder="1"/>
    <xf numFmtId="0" fontId="444" fillId="2" borderId="4" xfId="0" applyFont="1" applyFill="1" applyBorder="1" applyAlignment="1">
      <alignment wrapText="1"/>
    </xf>
    <xf numFmtId="0" fontId="269" fillId="2" borderId="1" xfId="0" applyFont="1" applyFill="1" applyBorder="1"/>
    <xf numFmtId="0" fontId="269" fillId="2" borderId="4" xfId="0" applyFont="1" applyFill="1" applyBorder="1"/>
    <xf numFmtId="18" fontId="269" fillId="2" borderId="4" xfId="0" applyNumberFormat="1" applyFont="1" applyFill="1" applyBorder="1" applyAlignment="1">
      <alignment horizontal="left"/>
    </xf>
    <xf numFmtId="0" fontId="267" fillId="2" borderId="4" xfId="0" applyFont="1" applyFill="1" applyBorder="1"/>
    <xf numFmtId="0" fontId="267" fillId="2" borderId="2" xfId="0" applyFont="1" applyFill="1" applyBorder="1"/>
    <xf numFmtId="0" fontId="267" fillId="2" borderId="1" xfId="0" applyFont="1" applyFill="1" applyBorder="1"/>
    <xf numFmtId="0" fontId="267" fillId="2" borderId="4" xfId="0" applyFont="1" applyFill="1" applyBorder="1" applyAlignment="1">
      <alignment horizontal="left"/>
    </xf>
    <xf numFmtId="0" fontId="266" fillId="2" borderId="2" xfId="0" applyFont="1" applyFill="1" applyBorder="1"/>
    <xf numFmtId="0" fontId="266" fillId="2" borderId="1" xfId="0" applyFont="1" applyFill="1" applyBorder="1"/>
    <xf numFmtId="0" fontId="266" fillId="2" borderId="4" xfId="0" applyFont="1" applyFill="1" applyBorder="1"/>
    <xf numFmtId="0" fontId="265" fillId="2" borderId="2" xfId="0" applyFont="1" applyFill="1" applyBorder="1"/>
    <xf numFmtId="0" fontId="265" fillId="2" borderId="1" xfId="0" applyFont="1" applyFill="1" applyBorder="1"/>
    <xf numFmtId="0" fontId="265" fillId="2" borderId="4" xfId="0" applyFont="1" applyFill="1" applyBorder="1" applyAlignment="1">
      <alignment horizontal="left"/>
    </xf>
    <xf numFmtId="0" fontId="264" fillId="2" borderId="2" xfId="0" applyFont="1" applyFill="1" applyBorder="1"/>
    <xf numFmtId="0" fontId="264" fillId="2" borderId="1" xfId="0" applyFont="1" applyFill="1" applyBorder="1"/>
    <xf numFmtId="0" fontId="264" fillId="2" borderId="4" xfId="0" applyFont="1" applyFill="1" applyBorder="1"/>
    <xf numFmtId="0" fontId="263" fillId="2" borderId="1" xfId="0" applyFont="1" applyFill="1" applyBorder="1"/>
    <xf numFmtId="0" fontId="262" fillId="2" borderId="2" xfId="0" applyFont="1" applyFill="1" applyBorder="1"/>
    <xf numFmtId="0" fontId="262" fillId="2" borderId="1" xfId="0" applyFont="1" applyFill="1" applyBorder="1"/>
    <xf numFmtId="0" fontId="262" fillId="2" borderId="4" xfId="0" applyFont="1" applyFill="1" applyBorder="1"/>
    <xf numFmtId="0" fontId="261" fillId="2" borderId="1" xfId="0" applyFont="1" applyFill="1" applyBorder="1"/>
    <xf numFmtId="0" fontId="261" fillId="2" borderId="2" xfId="0" applyFont="1" applyFill="1" applyBorder="1"/>
    <xf numFmtId="0" fontId="260" fillId="2" borderId="2" xfId="0" applyFont="1" applyFill="1" applyBorder="1"/>
    <xf numFmtId="0" fontId="260" fillId="2" borderId="4" xfId="0" applyFont="1" applyFill="1" applyBorder="1"/>
    <xf numFmtId="0" fontId="260" fillId="2" borderId="1" xfId="0" applyFont="1" applyFill="1" applyBorder="1"/>
    <xf numFmtId="0" fontId="259" fillId="2" borderId="2" xfId="0" applyFont="1" applyFill="1" applyBorder="1"/>
    <xf numFmtId="0" fontId="259" fillId="2" borderId="4" xfId="0" applyFont="1" applyFill="1" applyBorder="1"/>
    <xf numFmtId="0" fontId="259" fillId="2" borderId="1" xfId="0" applyFont="1" applyFill="1" applyBorder="1"/>
    <xf numFmtId="0" fontId="258" fillId="2" borderId="1" xfId="0" applyFont="1" applyFill="1" applyBorder="1"/>
    <xf numFmtId="0" fontId="258" fillId="2" borderId="4" xfId="0" applyFont="1" applyFill="1" applyBorder="1"/>
    <xf numFmtId="0" fontId="257" fillId="2" borderId="1" xfId="0" applyFont="1" applyFill="1" applyBorder="1" applyAlignment="1">
      <alignment horizontal="left"/>
    </xf>
    <xf numFmtId="0" fontId="256" fillId="2" borderId="2" xfId="0" applyFont="1" applyFill="1" applyBorder="1"/>
    <xf numFmtId="0" fontId="256" fillId="2" borderId="4" xfId="0" applyFont="1" applyFill="1" applyBorder="1"/>
    <xf numFmtId="0" fontId="256" fillId="2" borderId="1" xfId="0" applyFont="1" applyFill="1" applyBorder="1"/>
    <xf numFmtId="0" fontId="255" fillId="2" borderId="2" xfId="0" applyFont="1" applyFill="1" applyBorder="1"/>
    <xf numFmtId="0" fontId="255" fillId="2" borderId="4" xfId="0" applyFont="1" applyFill="1" applyBorder="1"/>
    <xf numFmtId="0" fontId="255" fillId="2" borderId="1" xfId="0" applyFont="1" applyFill="1" applyBorder="1"/>
    <xf numFmtId="0" fontId="254" fillId="2" borderId="4" xfId="0" applyFont="1" applyFill="1" applyBorder="1"/>
    <xf numFmtId="0" fontId="253" fillId="2" borderId="2" xfId="0" applyFont="1" applyFill="1" applyBorder="1"/>
    <xf numFmtId="0" fontId="253" fillId="2" borderId="4" xfId="0" applyFont="1" applyFill="1" applyBorder="1"/>
    <xf numFmtId="0" fontId="253" fillId="2" borderId="1" xfId="0" applyFont="1" applyFill="1" applyBorder="1"/>
    <xf numFmtId="0" fontId="252" fillId="2" borderId="2" xfId="0" applyFont="1" applyFill="1" applyBorder="1"/>
    <xf numFmtId="0" fontId="252" fillId="2" borderId="4" xfId="0" applyFont="1" applyFill="1" applyBorder="1"/>
    <xf numFmtId="0" fontId="252" fillId="2" borderId="1" xfId="0" applyFont="1" applyFill="1" applyBorder="1"/>
    <xf numFmtId="18" fontId="252" fillId="2" borderId="4" xfId="0" applyNumberFormat="1" applyFont="1" applyFill="1" applyBorder="1" applyAlignment="1">
      <alignment horizontal="left"/>
    </xf>
    <xf numFmtId="0" fontId="251" fillId="2" borderId="2" xfId="0" applyFont="1" applyFill="1" applyBorder="1"/>
    <xf numFmtId="0" fontId="251" fillId="2" borderId="4" xfId="0" applyFont="1" applyFill="1" applyBorder="1"/>
    <xf numFmtId="0" fontId="251" fillId="2" borderId="1" xfId="0" applyFont="1" applyFill="1" applyBorder="1"/>
    <xf numFmtId="0" fontId="250" fillId="2" borderId="1" xfId="0" applyFont="1" applyFill="1" applyBorder="1"/>
    <xf numFmtId="0" fontId="250" fillId="2" borderId="2" xfId="0" applyFont="1" applyFill="1" applyBorder="1"/>
    <xf numFmtId="0" fontId="250" fillId="2" borderId="4" xfId="0" applyFont="1" applyFill="1" applyBorder="1"/>
    <xf numFmtId="0" fontId="249" fillId="2" borderId="4" xfId="0" applyFont="1" applyFill="1" applyBorder="1"/>
    <xf numFmtId="0" fontId="248" fillId="2" borderId="2" xfId="0" applyFont="1" applyFill="1" applyBorder="1"/>
    <xf numFmtId="0" fontId="248" fillId="2" borderId="4" xfId="0" applyFont="1" applyFill="1" applyBorder="1"/>
    <xf numFmtId="0" fontId="248" fillId="2" borderId="1" xfId="0" applyFont="1" applyFill="1" applyBorder="1"/>
    <xf numFmtId="0" fontId="247" fillId="2" borderId="4" xfId="0" applyFont="1" applyFill="1" applyBorder="1"/>
    <xf numFmtId="0" fontId="247" fillId="2" borderId="1" xfId="0" applyFont="1" applyFill="1" applyBorder="1"/>
    <xf numFmtId="0" fontId="247" fillId="2" borderId="2" xfId="0" applyFont="1" applyFill="1" applyBorder="1"/>
    <xf numFmtId="0" fontId="246" fillId="2" borderId="1" xfId="0" applyFont="1" applyFill="1" applyBorder="1"/>
    <xf numFmtId="0" fontId="245" fillId="2" borderId="4" xfId="0" applyFont="1" applyFill="1" applyBorder="1"/>
    <xf numFmtId="0" fontId="245" fillId="2" borderId="2" xfId="0" applyFont="1" applyFill="1" applyBorder="1"/>
    <xf numFmtId="0" fontId="245" fillId="2" borderId="1" xfId="0" applyFont="1" applyFill="1" applyBorder="1"/>
    <xf numFmtId="0" fontId="244" fillId="2" borderId="2" xfId="0" applyFont="1" applyFill="1" applyBorder="1"/>
    <xf numFmtId="0" fontId="244" fillId="2" borderId="4" xfId="0" applyFont="1" applyFill="1" applyBorder="1"/>
    <xf numFmtId="0" fontId="244" fillId="2" borderId="1" xfId="0" applyFont="1" applyFill="1" applyBorder="1"/>
    <xf numFmtId="0" fontId="243" fillId="2" borderId="2" xfId="0" applyFont="1" applyFill="1" applyBorder="1"/>
    <xf numFmtId="0" fontId="243" fillId="2" borderId="4" xfId="0" applyFont="1" applyFill="1" applyBorder="1"/>
    <xf numFmtId="0" fontId="243" fillId="2" borderId="1" xfId="0" applyFont="1" applyFill="1" applyBorder="1"/>
    <xf numFmtId="0" fontId="242" fillId="2" borderId="4" xfId="0" applyFont="1" applyFill="1" applyBorder="1" applyAlignment="1">
      <alignment horizontal="left"/>
    </xf>
    <xf numFmtId="0" fontId="241" fillId="2" borderId="2" xfId="0" applyFont="1" applyFill="1" applyBorder="1"/>
    <xf numFmtId="0" fontId="241" fillId="2" borderId="4" xfId="0" applyFont="1" applyFill="1" applyBorder="1"/>
    <xf numFmtId="0" fontId="241" fillId="2" borderId="1" xfId="0" applyFont="1" applyFill="1" applyBorder="1"/>
    <xf numFmtId="0" fontId="240" fillId="2" borderId="2" xfId="0" applyFont="1" applyFill="1" applyBorder="1"/>
    <xf numFmtId="0" fontId="240" fillId="2" borderId="4" xfId="0" applyFont="1" applyFill="1" applyBorder="1"/>
    <xf numFmtId="0" fontId="240" fillId="2" borderId="1" xfId="0" applyFont="1" applyFill="1" applyBorder="1"/>
    <xf numFmtId="0" fontId="239" fillId="2" borderId="2" xfId="0" applyFont="1" applyFill="1" applyBorder="1"/>
    <xf numFmtId="0" fontId="239" fillId="2" borderId="4" xfId="0" applyFont="1" applyFill="1" applyBorder="1"/>
    <xf numFmtId="0" fontId="239" fillId="2" borderId="1" xfId="0" applyFont="1" applyFill="1" applyBorder="1"/>
    <xf numFmtId="0" fontId="239" fillId="2" borderId="1" xfId="0" applyFont="1" applyFill="1" applyBorder="1" applyAlignment="1">
      <alignment horizontal="left"/>
    </xf>
    <xf numFmtId="0" fontId="238" fillId="2" borderId="2" xfId="0" applyFont="1" applyFill="1" applyBorder="1"/>
    <xf numFmtId="0" fontId="238" fillId="2" borderId="4" xfId="0" applyFont="1" applyFill="1" applyBorder="1"/>
    <xf numFmtId="0" fontId="238" fillId="2" borderId="1" xfId="0" applyFont="1" applyFill="1" applyBorder="1"/>
    <xf numFmtId="0" fontId="238" fillId="2" borderId="4" xfId="0" applyFont="1" applyFill="1" applyBorder="1" applyAlignment="1">
      <alignment horizontal="left"/>
    </xf>
    <xf numFmtId="0" fontId="237" fillId="2" borderId="2" xfId="0" applyFont="1" applyFill="1" applyBorder="1"/>
    <xf numFmtId="165" fontId="436" fillId="3" borderId="4" xfId="0" applyNumberFormat="1" applyFont="1" applyFill="1" applyBorder="1" applyAlignment="1">
      <alignment horizontal="left" vertical="center"/>
    </xf>
    <xf numFmtId="0" fontId="396" fillId="2" borderId="0" xfId="0" applyFont="1" applyFill="1"/>
    <xf numFmtId="164" fontId="0" fillId="2" borderId="3" xfId="0" applyNumberFormat="1" applyFill="1" applyBorder="1"/>
    <xf numFmtId="164" fontId="435" fillId="2" borderId="1" xfId="0" applyNumberFormat="1" applyFont="1" applyFill="1" applyBorder="1"/>
    <xf numFmtId="0" fontId="435" fillId="2" borderId="1" xfId="0" applyFont="1" applyFill="1" applyBorder="1"/>
    <xf numFmtId="2" fontId="435" fillId="2" borderId="1" xfId="0" applyNumberFormat="1" applyFont="1" applyFill="1" applyBorder="1"/>
    <xf numFmtId="0" fontId="435" fillId="2" borderId="0" xfId="0" applyFont="1" applyFill="1"/>
    <xf numFmtId="0" fontId="354" fillId="2" borderId="0" xfId="0" applyFont="1" applyFill="1"/>
    <xf numFmtId="18" fontId="327" fillId="2" borderId="4" xfId="0" applyNumberFormat="1" applyFont="1" applyFill="1" applyBorder="1" applyAlignment="1">
      <alignment horizontal="left"/>
    </xf>
    <xf numFmtId="0" fontId="314" fillId="2" borderId="4" xfId="0" applyFont="1" applyFill="1" applyBorder="1" applyAlignment="1">
      <alignment horizontal="left"/>
    </xf>
    <xf numFmtId="0" fontId="311" fillId="2" borderId="2" xfId="0" applyFont="1" applyFill="1" applyBorder="1"/>
    <xf numFmtId="0" fontId="311" fillId="2" borderId="4" xfId="0" applyFont="1" applyFill="1" applyBorder="1"/>
    <xf numFmtId="0" fontId="311" fillId="2" borderId="1" xfId="0" applyFont="1" applyFill="1" applyBorder="1"/>
    <xf numFmtId="0" fontId="314" fillId="2" borderId="1" xfId="0" applyFont="1" applyFill="1" applyBorder="1" applyAlignment="1">
      <alignment horizontal="left"/>
    </xf>
    <xf numFmtId="0" fontId="308" fillId="2" borderId="1" xfId="0" applyFont="1" applyFill="1" applyBorder="1"/>
    <xf numFmtId="0" fontId="309" fillId="2" borderId="2" xfId="0" applyFont="1" applyFill="1" applyBorder="1"/>
    <xf numFmtId="0" fontId="309" fillId="2" borderId="4" xfId="0" applyFont="1" applyFill="1" applyBorder="1"/>
    <xf numFmtId="0" fontId="309" fillId="2" borderId="1" xfId="0" applyFont="1" applyFill="1" applyBorder="1"/>
    <xf numFmtId="0" fontId="295" fillId="2" borderId="2" xfId="0" applyFont="1" applyFill="1" applyBorder="1"/>
    <xf numFmtId="0" fontId="304" fillId="2" borderId="4" xfId="0" applyFont="1" applyFill="1" applyBorder="1"/>
    <xf numFmtId="0" fontId="305" fillId="2" borderId="2" xfId="0" applyFont="1" applyFill="1" applyBorder="1"/>
    <xf numFmtId="0" fontId="305" fillId="2" borderId="1" xfId="0" applyFont="1" applyFill="1" applyBorder="1"/>
    <xf numFmtId="0" fontId="305" fillId="2" borderId="4" xfId="0" applyFont="1" applyFill="1" applyBorder="1"/>
    <xf numFmtId="0" fontId="305" fillId="2" borderId="4" xfId="0" applyFont="1" applyFill="1" applyBorder="1" applyAlignment="1">
      <alignment horizontal="left"/>
    </xf>
    <xf numFmtId="0" fontId="303" fillId="2" borderId="2" xfId="0" applyFont="1" applyFill="1" applyBorder="1"/>
    <xf numFmtId="0" fontId="303" fillId="2" borderId="1" xfId="0" applyFont="1" applyFill="1" applyBorder="1"/>
    <xf numFmtId="18" fontId="303" fillId="2" borderId="4" xfId="0" applyNumberFormat="1" applyFont="1" applyFill="1" applyBorder="1" applyAlignment="1">
      <alignment horizontal="left"/>
    </xf>
    <xf numFmtId="0" fontId="302" fillId="2" borderId="2" xfId="0" applyFont="1" applyFill="1" applyBorder="1"/>
    <xf numFmtId="0" fontId="302" fillId="2" borderId="1" xfId="0" applyFont="1" applyFill="1" applyBorder="1"/>
    <xf numFmtId="0" fontId="301" fillId="2" borderId="2" xfId="0" applyFont="1" applyFill="1" applyBorder="1"/>
    <xf numFmtId="0" fontId="301" fillId="2" borderId="4" xfId="0" applyFont="1" applyFill="1" applyBorder="1"/>
    <xf numFmtId="0" fontId="301" fillId="2" borderId="1" xfId="0" applyFont="1" applyFill="1" applyBorder="1"/>
    <xf numFmtId="0" fontId="300" fillId="2" borderId="1" xfId="0" applyFont="1" applyFill="1" applyBorder="1"/>
    <xf numFmtId="0" fontId="301" fillId="2" borderId="0" xfId="0" applyFont="1" applyFill="1"/>
    <xf numFmtId="0" fontId="300" fillId="2" borderId="2" xfId="0" applyFont="1" applyFill="1" applyBorder="1"/>
    <xf numFmtId="0" fontId="300" fillId="2" borderId="4" xfId="0" applyFont="1" applyFill="1" applyBorder="1"/>
    <xf numFmtId="0" fontId="263" fillId="2" borderId="2" xfId="0" applyFont="1" applyFill="1" applyBorder="1"/>
    <xf numFmtId="0" fontId="299" fillId="2" borderId="4" xfId="0" applyFont="1" applyFill="1" applyBorder="1"/>
    <xf numFmtId="0" fontId="299" fillId="2" borderId="2" xfId="0" applyFont="1" applyFill="1" applyBorder="1"/>
    <xf numFmtId="0" fontId="299" fillId="2" borderId="1" xfId="0" applyFont="1" applyFill="1" applyBorder="1"/>
    <xf numFmtId="0" fontId="297" fillId="2" borderId="2" xfId="0" applyFont="1" applyFill="1" applyBorder="1"/>
    <xf numFmtId="0" fontId="297" fillId="2" borderId="4" xfId="0" applyFont="1" applyFill="1" applyBorder="1"/>
    <xf numFmtId="0" fontId="297" fillId="2" borderId="1" xfId="0" applyFont="1" applyFill="1" applyBorder="1"/>
    <xf numFmtId="14" fontId="434" fillId="2" borderId="4" xfId="0" applyNumberFormat="1" applyFont="1" applyFill="1" applyBorder="1"/>
    <xf numFmtId="18" fontId="314" fillId="2" borderId="4" xfId="0" applyNumberFormat="1" applyFont="1" applyFill="1" applyBorder="1"/>
    <xf numFmtId="0" fontId="296" fillId="2" borderId="2" xfId="0" applyFont="1" applyFill="1" applyBorder="1"/>
    <xf numFmtId="0" fontId="296" fillId="2" borderId="1" xfId="0" applyFont="1" applyFill="1" applyBorder="1"/>
    <xf numFmtId="0" fontId="296" fillId="2" borderId="4" xfId="0" applyFont="1" applyFill="1" applyBorder="1"/>
    <xf numFmtId="0" fontId="293" fillId="2" borderId="2" xfId="0" applyFont="1" applyFill="1" applyBorder="1"/>
    <xf numFmtId="0" fontId="293" fillId="2" borderId="4" xfId="0" applyFont="1" applyFill="1" applyBorder="1"/>
    <xf numFmtId="0" fontId="293" fillId="2" borderId="1" xfId="0" applyFont="1" applyFill="1" applyBorder="1"/>
    <xf numFmtId="0" fontId="293" fillId="2" borderId="4" xfId="0" applyFont="1" applyFill="1" applyBorder="1" applyAlignment="1">
      <alignment horizontal="left"/>
    </xf>
    <xf numFmtId="0" fontId="291" fillId="2" borderId="2" xfId="0" applyFont="1" applyFill="1" applyBorder="1"/>
    <xf numFmtId="0" fontId="290" fillId="2" borderId="4" xfId="0" applyFont="1" applyFill="1" applyBorder="1"/>
    <xf numFmtId="0" fontId="291" fillId="2" borderId="1" xfId="0" applyFont="1" applyFill="1" applyBorder="1"/>
    <xf numFmtId="0" fontId="291" fillId="2" borderId="4" xfId="0" applyFont="1" applyFill="1" applyBorder="1"/>
    <xf numFmtId="0" fontId="290" fillId="2" borderId="2" xfId="0" applyFont="1" applyFill="1" applyBorder="1"/>
    <xf numFmtId="0" fontId="282" fillId="2" borderId="2" xfId="0" applyFont="1" applyFill="1" applyBorder="1"/>
    <xf numFmtId="0" fontId="282" fillId="2" borderId="4" xfId="0" applyFont="1" applyFill="1" applyBorder="1"/>
    <xf numFmtId="0" fontId="282" fillId="2" borderId="1" xfId="0" applyFont="1" applyFill="1" applyBorder="1"/>
    <xf numFmtId="0" fontId="290" fillId="2" borderId="1" xfId="0" applyFont="1" applyFill="1" applyBorder="1"/>
    <xf numFmtId="0" fontId="290" fillId="2" borderId="4" xfId="0" applyFont="1" applyFill="1" applyBorder="1" applyAlignment="1">
      <alignment horizontal="left"/>
    </xf>
    <xf numFmtId="0" fontId="288" fillId="2" borderId="2" xfId="0" applyFont="1" applyFill="1" applyBorder="1"/>
    <xf numFmtId="0" fontId="289" fillId="2" borderId="4" xfId="0" applyFont="1" applyFill="1" applyBorder="1"/>
    <xf numFmtId="0" fontId="289" fillId="2" borderId="1" xfId="0" applyFont="1" applyFill="1" applyBorder="1"/>
    <xf numFmtId="0" fontId="289" fillId="2" borderId="4" xfId="0" applyFont="1" applyFill="1" applyBorder="1" applyAlignment="1">
      <alignment horizontal="left"/>
    </xf>
    <xf numFmtId="0" fontId="289" fillId="2" borderId="2" xfId="0" applyFont="1" applyFill="1" applyBorder="1"/>
    <xf numFmtId="0" fontId="287" fillId="2" borderId="2" xfId="0" applyFont="1" applyFill="1" applyBorder="1"/>
    <xf numFmtId="0" fontId="287" fillId="2" borderId="4" xfId="0" applyFont="1" applyFill="1" applyBorder="1"/>
    <xf numFmtId="0" fontId="287" fillId="2" borderId="1" xfId="0" applyFont="1" applyFill="1" applyBorder="1"/>
    <xf numFmtId="0" fontId="287" fillId="2" borderId="4" xfId="0" applyFont="1" applyFill="1" applyBorder="1" applyAlignment="1">
      <alignment horizontal="left"/>
    </xf>
    <xf numFmtId="0" fontId="286" fillId="2" borderId="2" xfId="0" applyFont="1" applyFill="1" applyBorder="1"/>
    <xf numFmtId="0" fontId="286" fillId="2" borderId="4" xfId="0" applyFont="1" applyFill="1" applyBorder="1"/>
    <xf numFmtId="0" fontId="286" fillId="2" borderId="1" xfId="0" applyFont="1" applyFill="1" applyBorder="1"/>
    <xf numFmtId="0" fontId="284" fillId="2" borderId="2" xfId="0" applyFont="1" applyFill="1" applyBorder="1"/>
    <xf numFmtId="0" fontId="284" fillId="2" borderId="4" xfId="0" applyFont="1" applyFill="1" applyBorder="1"/>
    <xf numFmtId="0" fontId="284" fillId="2" borderId="1" xfId="0" applyFont="1" applyFill="1" applyBorder="1"/>
    <xf numFmtId="0" fontId="283" fillId="2" borderId="2" xfId="0" applyFont="1" applyFill="1" applyBorder="1"/>
    <xf numFmtId="0" fontId="283" fillId="2" borderId="4" xfId="0" applyFont="1" applyFill="1" applyBorder="1"/>
    <xf numFmtId="0" fontId="283" fillId="2" borderId="1" xfId="0" applyFont="1" applyFill="1" applyBorder="1"/>
    <xf numFmtId="18" fontId="283" fillId="2" borderId="4" xfId="0" applyNumberFormat="1" applyFont="1" applyFill="1" applyBorder="1" applyAlignment="1">
      <alignment horizontal="left"/>
    </xf>
    <xf numFmtId="0" fontId="281" fillId="2" borderId="2" xfId="0" applyFont="1" applyFill="1" applyBorder="1"/>
    <xf numFmtId="0" fontId="280" fillId="2" borderId="4" xfId="0" applyFont="1" applyFill="1" applyBorder="1"/>
    <xf numFmtId="0" fontId="281" fillId="2" borderId="1" xfId="0" applyFont="1" applyFill="1" applyBorder="1"/>
    <xf numFmtId="0" fontId="281" fillId="2" borderId="4" xfId="0" applyFont="1" applyFill="1" applyBorder="1"/>
    <xf numFmtId="0" fontId="281" fillId="2" borderId="4" xfId="0" applyFont="1" applyFill="1" applyBorder="1" applyAlignment="1">
      <alignment horizontal="left"/>
    </xf>
    <xf numFmtId="0" fontId="278" fillId="2" borderId="2" xfId="0" applyFont="1" applyFill="1" applyBorder="1"/>
    <xf numFmtId="0" fontId="278" fillId="2" borderId="4" xfId="0" applyFont="1" applyFill="1" applyBorder="1"/>
    <xf numFmtId="0" fontId="278" fillId="2" borderId="1" xfId="0" applyFont="1" applyFill="1" applyBorder="1"/>
    <xf numFmtId="0" fontId="277" fillId="2" borderId="2" xfId="0" applyFont="1" applyFill="1" applyBorder="1"/>
    <xf numFmtId="0" fontId="274" fillId="2" borderId="2" xfId="0" applyFont="1" applyFill="1" applyBorder="1"/>
    <xf numFmtId="0" fontId="274" fillId="2" borderId="1" xfId="0" applyFont="1" applyFill="1" applyBorder="1"/>
    <xf numFmtId="0" fontId="274" fillId="2" borderId="4" xfId="0" applyFont="1" applyFill="1" applyBorder="1"/>
    <xf numFmtId="0" fontId="273" fillId="2" borderId="2" xfId="0" applyFont="1" applyFill="1" applyBorder="1"/>
    <xf numFmtId="0" fontId="273" fillId="2" borderId="4" xfId="0" applyFont="1" applyFill="1" applyBorder="1"/>
    <xf numFmtId="0" fontId="273" fillId="2" borderId="1" xfId="0" applyFont="1" applyFill="1" applyBorder="1"/>
    <xf numFmtId="0" fontId="273" fillId="2" borderId="4" xfId="0" applyFont="1" applyFill="1" applyBorder="1" applyAlignment="1">
      <alignment horizontal="left"/>
    </xf>
    <xf numFmtId="0" fontId="272" fillId="2" borderId="2" xfId="0" applyFont="1" applyFill="1" applyBorder="1"/>
    <xf numFmtId="0" fontId="272" fillId="2" borderId="4" xfId="0" applyFont="1" applyFill="1" applyBorder="1"/>
    <xf numFmtId="0" fontId="272" fillId="2" borderId="1" xfId="0" applyFont="1" applyFill="1" applyBorder="1"/>
    <xf numFmtId="0" fontId="270" fillId="2" borderId="2" xfId="0" applyFont="1" applyFill="1" applyBorder="1"/>
    <xf numFmtId="0" fontId="270" fillId="2" borderId="4" xfId="0" applyFont="1" applyFill="1" applyBorder="1"/>
    <xf numFmtId="0" fontId="270" fillId="2" borderId="1" xfId="0" applyFont="1" applyFill="1" applyBorder="1"/>
    <xf numFmtId="0" fontId="268" fillId="2" borderId="4" xfId="0" applyFont="1" applyFill="1" applyBorder="1"/>
    <xf numFmtId="0" fontId="268" fillId="2" borderId="1" xfId="0" applyFont="1" applyFill="1" applyBorder="1"/>
    <xf numFmtId="0" fontId="441" fillId="2" borderId="0" xfId="0" applyFont="1" applyFill="1"/>
    <xf numFmtId="0" fontId="236" fillId="2" borderId="2" xfId="0" applyFont="1" applyFill="1" applyBorder="1"/>
    <xf numFmtId="0" fontId="236" fillId="2" borderId="4" xfId="0" applyFont="1" applyFill="1" applyBorder="1"/>
    <xf numFmtId="0" fontId="236" fillId="2" borderId="1" xfId="0" applyFont="1" applyFill="1" applyBorder="1"/>
    <xf numFmtId="0" fontId="235" fillId="2" borderId="2" xfId="0" applyFont="1" applyFill="1" applyBorder="1"/>
    <xf numFmtId="0" fontId="235" fillId="2" borderId="4" xfId="0" applyFont="1" applyFill="1" applyBorder="1"/>
    <xf numFmtId="0" fontId="235" fillId="2" borderId="1" xfId="0" applyFont="1" applyFill="1" applyBorder="1"/>
    <xf numFmtId="0" fontId="234" fillId="2" borderId="4" xfId="0" applyFont="1" applyFill="1" applyBorder="1"/>
    <xf numFmtId="0" fontId="233" fillId="2" borderId="2" xfId="0" applyFont="1" applyFill="1" applyBorder="1"/>
    <xf numFmtId="0" fontId="233" fillId="2" borderId="4" xfId="0" applyFont="1" applyFill="1" applyBorder="1"/>
    <xf numFmtId="0" fontId="233" fillId="2" borderId="1" xfId="0" applyFont="1" applyFill="1" applyBorder="1"/>
    <xf numFmtId="0" fontId="232" fillId="2" borderId="2" xfId="0" applyFont="1" applyFill="1" applyBorder="1"/>
    <xf numFmtId="0" fontId="232" fillId="2" borderId="1" xfId="0" applyFont="1" applyFill="1" applyBorder="1"/>
    <xf numFmtId="0" fontId="232" fillId="2" borderId="4" xfId="0" applyFont="1" applyFill="1" applyBorder="1"/>
    <xf numFmtId="0" fontId="231" fillId="2" borderId="2" xfId="0" applyFont="1" applyFill="1" applyBorder="1"/>
    <xf numFmtId="0" fontId="231" fillId="2" borderId="4" xfId="0" applyFont="1" applyFill="1" applyBorder="1"/>
    <xf numFmtId="0" fontId="231" fillId="2" borderId="1" xfId="0" applyFont="1" applyFill="1" applyBorder="1"/>
    <xf numFmtId="0" fontId="230" fillId="2" borderId="1" xfId="0" applyFont="1" applyFill="1" applyBorder="1"/>
    <xf numFmtId="0" fontId="229" fillId="2" borderId="1" xfId="0" applyFont="1" applyFill="1" applyBorder="1"/>
    <xf numFmtId="0" fontId="229" fillId="2" borderId="2" xfId="0" applyFont="1" applyFill="1" applyBorder="1"/>
    <xf numFmtId="0" fontId="229" fillId="2" borderId="4" xfId="0" applyFont="1" applyFill="1" applyBorder="1"/>
    <xf numFmtId="0" fontId="228" fillId="2" borderId="4" xfId="0" applyFont="1" applyFill="1" applyBorder="1"/>
    <xf numFmtId="0" fontId="228" fillId="2" borderId="1" xfId="0" applyFont="1" applyFill="1" applyBorder="1"/>
    <xf numFmtId="0" fontId="228" fillId="2" borderId="0" xfId="0" applyFont="1" applyFill="1"/>
    <xf numFmtId="0" fontId="227" fillId="2" borderId="2" xfId="0" applyFont="1" applyFill="1" applyBorder="1"/>
    <xf numFmtId="0" fontId="227" fillId="2" borderId="4" xfId="0" applyFont="1" applyFill="1" applyBorder="1"/>
    <xf numFmtId="0" fontId="227" fillId="2" borderId="1" xfId="0" applyFont="1" applyFill="1" applyBorder="1"/>
    <xf numFmtId="0" fontId="226" fillId="2" borderId="4" xfId="0" applyFont="1" applyFill="1" applyBorder="1"/>
    <xf numFmtId="0" fontId="226" fillId="2" borderId="1" xfId="0" applyFont="1" applyFill="1" applyBorder="1" applyAlignment="1">
      <alignment horizontal="left"/>
    </xf>
    <xf numFmtId="0" fontId="225" fillId="2" borderId="2" xfId="0" applyFont="1" applyFill="1" applyBorder="1"/>
    <xf numFmtId="0" fontId="225" fillId="2" borderId="1" xfId="0" applyFont="1" applyFill="1" applyBorder="1"/>
    <xf numFmtId="0" fontId="224" fillId="2" borderId="1" xfId="0" applyFont="1" applyFill="1" applyBorder="1"/>
    <xf numFmtId="0" fontId="224" fillId="2" borderId="4" xfId="0" applyFont="1" applyFill="1" applyBorder="1"/>
    <xf numFmtId="0" fontId="224" fillId="2" borderId="2" xfId="0" applyFont="1" applyFill="1" applyBorder="1"/>
    <xf numFmtId="0" fontId="223" fillId="2" borderId="2" xfId="0" applyFont="1" applyFill="1" applyBorder="1"/>
    <xf numFmtId="0" fontId="223" fillId="2" borderId="4" xfId="0" applyFont="1" applyFill="1" applyBorder="1"/>
    <xf numFmtId="0" fontId="222" fillId="2" borderId="4" xfId="0" applyFont="1" applyFill="1" applyBorder="1"/>
    <xf numFmtId="0" fontId="222" fillId="2" borderId="2" xfId="0" applyFont="1" applyFill="1" applyBorder="1"/>
    <xf numFmtId="0" fontId="222" fillId="2" borderId="1" xfId="0" applyFont="1" applyFill="1" applyBorder="1"/>
    <xf numFmtId="0" fontId="221" fillId="2" borderId="2" xfId="0" applyFont="1" applyFill="1" applyBorder="1"/>
    <xf numFmtId="0" fontId="221" fillId="2" borderId="4" xfId="0" applyFont="1" applyFill="1" applyBorder="1"/>
    <xf numFmtId="0" fontId="221" fillId="2" borderId="1" xfId="0" applyFont="1" applyFill="1" applyBorder="1"/>
    <xf numFmtId="0" fontId="221" fillId="2" borderId="1" xfId="0" applyFont="1" applyFill="1" applyBorder="1" applyAlignment="1">
      <alignment horizontal="left"/>
    </xf>
    <xf numFmtId="0" fontId="220" fillId="2" borderId="2" xfId="0" applyFont="1" applyFill="1" applyBorder="1"/>
    <xf numFmtId="0" fontId="220" fillId="2" borderId="4" xfId="0" applyFont="1" applyFill="1" applyBorder="1"/>
    <xf numFmtId="0" fontId="220" fillId="2" borderId="1" xfId="0" applyFont="1" applyFill="1" applyBorder="1"/>
    <xf numFmtId="0" fontId="219" fillId="2" borderId="2" xfId="0" applyFont="1" applyFill="1" applyBorder="1"/>
    <xf numFmtId="0" fontId="219" fillId="2" borderId="4" xfId="0" applyFont="1" applyFill="1" applyBorder="1"/>
    <xf numFmtId="0" fontId="219" fillId="2" borderId="1" xfId="0" applyFont="1" applyFill="1" applyBorder="1"/>
    <xf numFmtId="0" fontId="219" fillId="2" borderId="4" xfId="0" applyFont="1" applyFill="1" applyBorder="1" applyAlignment="1">
      <alignment horizontal="left"/>
    </xf>
    <xf numFmtId="0" fontId="218" fillId="2" borderId="2" xfId="0" applyFont="1" applyFill="1" applyBorder="1"/>
    <xf numFmtId="0" fontId="218" fillId="2" borderId="4" xfId="0" applyFont="1" applyFill="1" applyBorder="1"/>
    <xf numFmtId="0" fontId="218" fillId="2" borderId="1" xfId="0" applyFont="1" applyFill="1" applyBorder="1"/>
    <xf numFmtId="0" fontId="217" fillId="2" borderId="2" xfId="0" applyFont="1" applyFill="1" applyBorder="1"/>
    <xf numFmtId="0" fontId="217" fillId="2" borderId="4" xfId="0" applyFont="1" applyFill="1" applyBorder="1"/>
    <xf numFmtId="0" fontId="217" fillId="2" borderId="1" xfId="0" applyFont="1" applyFill="1" applyBorder="1"/>
    <xf numFmtId="0" fontId="216" fillId="2" borderId="2" xfId="0" applyFont="1" applyFill="1" applyBorder="1"/>
    <xf numFmtId="0" fontId="216" fillId="2" borderId="4" xfId="0" applyFont="1" applyFill="1" applyBorder="1"/>
    <xf numFmtId="0" fontId="216" fillId="2" borderId="1" xfId="0" applyFont="1" applyFill="1" applyBorder="1" applyAlignment="1">
      <alignment horizontal="left"/>
    </xf>
    <xf numFmtId="0" fontId="216" fillId="2" borderId="1" xfId="0" applyFont="1" applyFill="1" applyBorder="1"/>
    <xf numFmtId="18" fontId="216" fillId="2" borderId="4" xfId="0" applyNumberFormat="1" applyFont="1" applyFill="1" applyBorder="1" applyAlignment="1">
      <alignment horizontal="left"/>
    </xf>
    <xf numFmtId="0" fontId="215" fillId="2" borderId="2" xfId="0" applyFont="1" applyFill="1" applyBorder="1"/>
    <xf numFmtId="0" fontId="215" fillId="2" borderId="4" xfId="0" applyFont="1" applyFill="1" applyBorder="1"/>
    <xf numFmtId="0" fontId="215" fillId="2" borderId="1" xfId="0" applyFont="1" applyFill="1" applyBorder="1"/>
    <xf numFmtId="0" fontId="214" fillId="2" borderId="2" xfId="0" applyFont="1" applyFill="1" applyBorder="1"/>
    <xf numFmtId="0" fontId="214" fillId="2" borderId="4" xfId="0" applyFont="1" applyFill="1" applyBorder="1"/>
    <xf numFmtId="0" fontId="214" fillId="2" borderId="1" xfId="0" applyFont="1" applyFill="1" applyBorder="1"/>
    <xf numFmtId="0" fontId="213" fillId="2" borderId="2" xfId="0" applyFont="1" applyFill="1" applyBorder="1"/>
    <xf numFmtId="0" fontId="213" fillId="2" borderId="4" xfId="0" applyFont="1" applyFill="1" applyBorder="1"/>
    <xf numFmtId="0" fontId="213" fillId="2" borderId="1" xfId="0" applyFont="1" applyFill="1" applyBorder="1"/>
    <xf numFmtId="0" fontId="212" fillId="2" borderId="4" xfId="0" applyFont="1" applyFill="1" applyBorder="1"/>
    <xf numFmtId="0" fontId="212" fillId="2" borderId="2" xfId="0" applyFont="1" applyFill="1" applyBorder="1"/>
    <xf numFmtId="0" fontId="212" fillId="2" borderId="1" xfId="0" applyFont="1" applyFill="1" applyBorder="1"/>
    <xf numFmtId="0" fontId="212" fillId="2" borderId="4" xfId="0" applyFont="1" applyFill="1" applyBorder="1" applyAlignment="1">
      <alignment horizontal="left"/>
    </xf>
    <xf numFmtId="0" fontId="211" fillId="2" borderId="2" xfId="0" applyFont="1" applyFill="1" applyBorder="1"/>
    <xf numFmtId="0" fontId="211" fillId="2" borderId="1" xfId="0" applyFont="1" applyFill="1" applyBorder="1"/>
    <xf numFmtId="0" fontId="210" fillId="2" borderId="2" xfId="0" applyFont="1" applyFill="1" applyBorder="1"/>
    <xf numFmtId="0" fontId="210" fillId="2" borderId="4" xfId="0" applyFont="1" applyFill="1" applyBorder="1"/>
    <xf numFmtId="0" fontId="210" fillId="2" borderId="1" xfId="0" applyFont="1" applyFill="1" applyBorder="1"/>
    <xf numFmtId="0" fontId="209" fillId="2" borderId="4" xfId="0" applyFont="1" applyFill="1" applyBorder="1"/>
    <xf numFmtId="0" fontId="209" fillId="2" borderId="1" xfId="0" applyFont="1" applyFill="1" applyBorder="1"/>
    <xf numFmtId="0" fontId="208" fillId="2" borderId="1" xfId="0" applyFont="1" applyFill="1" applyBorder="1"/>
    <xf numFmtId="0" fontId="208" fillId="2" borderId="4" xfId="0" applyFont="1" applyFill="1" applyBorder="1"/>
    <xf numFmtId="0" fontId="208" fillId="2" borderId="2" xfId="0" applyFont="1" applyFill="1" applyBorder="1"/>
    <xf numFmtId="0" fontId="207" fillId="2" borderId="2" xfId="0" applyFont="1" applyFill="1" applyBorder="1"/>
    <xf numFmtId="0" fontId="207" fillId="2" borderId="4" xfId="0" applyFont="1" applyFill="1" applyBorder="1"/>
    <xf numFmtId="0" fontId="206" fillId="2" borderId="2" xfId="0" applyFont="1" applyFill="1" applyBorder="1"/>
    <xf numFmtId="0" fontId="206" fillId="2" borderId="4" xfId="0" applyFont="1" applyFill="1" applyBorder="1"/>
    <xf numFmtId="0" fontId="206" fillId="2" borderId="1" xfId="0" applyFont="1" applyFill="1" applyBorder="1"/>
    <xf numFmtId="0" fontId="205" fillId="2" borderId="2" xfId="0" applyFont="1" applyFill="1" applyBorder="1"/>
    <xf numFmtId="0" fontId="205" fillId="2" borderId="4" xfId="0" applyFont="1" applyFill="1" applyBorder="1"/>
    <xf numFmtId="0" fontId="205" fillId="2" borderId="1" xfId="0" applyFont="1" applyFill="1" applyBorder="1" applyAlignment="1">
      <alignment horizontal="left"/>
    </xf>
    <xf numFmtId="0" fontId="205" fillId="2" borderId="1" xfId="0" applyFont="1" applyFill="1" applyBorder="1"/>
    <xf numFmtId="0" fontId="204" fillId="2" borderId="2" xfId="0" applyFont="1" applyFill="1" applyBorder="1"/>
    <xf numFmtId="0" fontId="204" fillId="2" borderId="4" xfId="0" applyFont="1" applyFill="1" applyBorder="1"/>
    <xf numFmtId="0" fontId="204" fillId="2" borderId="1" xfId="0" applyFont="1" applyFill="1" applyBorder="1"/>
    <xf numFmtId="0" fontId="203" fillId="2" borderId="2" xfId="0" applyFont="1" applyFill="1" applyBorder="1"/>
    <xf numFmtId="0" fontId="203" fillId="2" borderId="1" xfId="0" applyFont="1" applyFill="1" applyBorder="1"/>
    <xf numFmtId="0" fontId="203" fillId="2" borderId="4" xfId="0" applyFont="1" applyFill="1" applyBorder="1"/>
    <xf numFmtId="0" fontId="202" fillId="2" borderId="4" xfId="0" applyFont="1" applyFill="1" applyBorder="1"/>
    <xf numFmtId="0" fontId="201" fillId="2" borderId="2" xfId="0" applyFont="1" applyFill="1" applyBorder="1"/>
    <xf numFmtId="0" fontId="201" fillId="2" borderId="4" xfId="0" applyFont="1" applyFill="1" applyBorder="1"/>
    <xf numFmtId="0" fontId="201" fillId="2" borderId="1" xfId="0" applyFont="1" applyFill="1" applyBorder="1"/>
    <xf numFmtId="0" fontId="200" fillId="2" borderId="1" xfId="0" applyFont="1" applyFill="1" applyBorder="1"/>
    <xf numFmtId="0" fontId="199" fillId="2" borderId="2" xfId="0" applyFont="1" applyFill="1" applyBorder="1"/>
    <xf numFmtId="0" fontId="198" fillId="2" borderId="2" xfId="0" applyFont="1" applyFill="1" applyBorder="1"/>
    <xf numFmtId="0" fontId="198" fillId="2" borderId="4" xfId="0" applyFont="1" applyFill="1" applyBorder="1"/>
    <xf numFmtId="0" fontId="197" fillId="2" borderId="2" xfId="0" applyFont="1" applyFill="1" applyBorder="1"/>
    <xf numFmtId="0" fontId="196" fillId="2" borderId="2" xfId="0" applyFont="1" applyFill="1" applyBorder="1"/>
    <xf numFmtId="0" fontId="196" fillId="2" borderId="1" xfId="0" applyFont="1" applyFill="1" applyBorder="1"/>
    <xf numFmtId="0" fontId="196" fillId="2" borderId="4" xfId="0" applyFont="1" applyFill="1" applyBorder="1"/>
    <xf numFmtId="0" fontId="390" fillId="2" borderId="1" xfId="0" applyFont="1" applyFill="1" applyBorder="1"/>
    <xf numFmtId="0" fontId="328" fillId="2" borderId="1" xfId="0" applyFont="1" applyFill="1" applyBorder="1" applyAlignment="1">
      <alignment vertical="top"/>
    </xf>
    <xf numFmtId="0" fontId="320" fillId="2" borderId="1" xfId="0" applyFont="1" applyFill="1" applyBorder="1" applyAlignment="1">
      <alignment vertical="center"/>
    </xf>
    <xf numFmtId="3" fontId="434" fillId="2" borderId="1" xfId="0" applyNumberFormat="1" applyFont="1" applyFill="1" applyBorder="1"/>
    <xf numFmtId="0" fontId="196" fillId="2" borderId="4" xfId="0" applyFont="1" applyFill="1" applyBorder="1" applyAlignment="1">
      <alignment horizontal="center"/>
    </xf>
    <xf numFmtId="0" fontId="435" fillId="0" borderId="0" xfId="0" applyFont="1"/>
    <xf numFmtId="0" fontId="195" fillId="2" borderId="1" xfId="0" applyFont="1" applyFill="1" applyBorder="1"/>
    <xf numFmtId="0" fontId="397" fillId="2" borderId="4" xfId="0" applyFont="1" applyFill="1" applyBorder="1"/>
    <xf numFmtId="0" fontId="391" fillId="2" borderId="4" xfId="0" applyFont="1" applyFill="1" applyBorder="1"/>
    <xf numFmtId="0" fontId="366" fillId="2" borderId="4" xfId="0" applyFont="1" applyFill="1" applyBorder="1"/>
    <xf numFmtId="0" fontId="363" fillId="2" borderId="4" xfId="0" applyFont="1" applyFill="1" applyBorder="1"/>
    <xf numFmtId="0" fontId="372" fillId="2" borderId="0" xfId="0" applyFont="1" applyFill="1"/>
    <xf numFmtId="0" fontId="341" fillId="2" borderId="4" xfId="0" applyFont="1" applyFill="1" applyBorder="1"/>
    <xf numFmtId="0" fontId="263" fillId="2" borderId="4" xfId="0" applyFont="1" applyFill="1" applyBorder="1"/>
    <xf numFmtId="0" fontId="246" fillId="2" borderId="4" xfId="0" applyFont="1" applyFill="1" applyBorder="1"/>
    <xf numFmtId="0" fontId="230" fillId="2" borderId="4" xfId="0" applyFont="1" applyFill="1" applyBorder="1"/>
    <xf numFmtId="0" fontId="225" fillId="2" borderId="4" xfId="0" applyFont="1" applyFill="1" applyBorder="1"/>
    <xf numFmtId="0" fontId="195" fillId="2" borderId="4" xfId="0" applyFont="1" applyFill="1" applyBorder="1"/>
    <xf numFmtId="0" fontId="195" fillId="2" borderId="2" xfId="0" applyFont="1" applyFill="1" applyBorder="1"/>
    <xf numFmtId="0" fontId="412" fillId="2" borderId="0" xfId="0" applyFont="1" applyFill="1"/>
    <xf numFmtId="0" fontId="408" fillId="2" borderId="4" xfId="0" applyFont="1" applyFill="1" applyBorder="1"/>
    <xf numFmtId="164" fontId="433" fillId="2" borderId="4" xfId="0" applyNumberFormat="1" applyFont="1" applyFill="1" applyBorder="1"/>
    <xf numFmtId="0" fontId="332" fillId="2" borderId="4" xfId="0" applyFont="1" applyFill="1" applyBorder="1"/>
    <xf numFmtId="0" fontId="195" fillId="2" borderId="1" xfId="0" applyFont="1" applyFill="1" applyBorder="1" applyAlignment="1">
      <alignment horizontal="left"/>
    </xf>
    <xf numFmtId="0" fontId="194" fillId="2" borderId="2" xfId="0" applyFont="1" applyFill="1" applyBorder="1"/>
    <xf numFmtId="0" fontId="194" fillId="2" borderId="1" xfId="0" applyFont="1" applyFill="1" applyBorder="1"/>
    <xf numFmtId="0" fontId="193" fillId="2" borderId="2" xfId="0" applyFont="1" applyFill="1" applyBorder="1"/>
    <xf numFmtId="0" fontId="193" fillId="2" borderId="4" xfId="0" applyFont="1" applyFill="1" applyBorder="1"/>
    <xf numFmtId="0" fontId="193" fillId="2" borderId="1" xfId="0" applyFont="1" applyFill="1" applyBorder="1"/>
    <xf numFmtId="0" fontId="193" fillId="2" borderId="4" xfId="0" applyFont="1" applyFill="1" applyBorder="1" applyAlignment="1">
      <alignment horizontal="left"/>
    </xf>
    <xf numFmtId="0" fontId="192" fillId="2" borderId="1" xfId="0" applyFont="1" applyFill="1" applyBorder="1"/>
    <xf numFmtId="0" fontId="194" fillId="2" borderId="4" xfId="0" applyFont="1" applyFill="1" applyBorder="1"/>
    <xf numFmtId="0" fontId="191" fillId="2" borderId="2" xfId="0" applyFont="1" applyFill="1" applyBorder="1"/>
    <xf numFmtId="0" fontId="191" fillId="2" borderId="4" xfId="0" applyFont="1" applyFill="1" applyBorder="1"/>
    <xf numFmtId="0" fontId="191" fillId="2" borderId="1" xfId="0" applyFont="1" applyFill="1" applyBorder="1"/>
    <xf numFmtId="0" fontId="190" fillId="2" borderId="2" xfId="0" applyFont="1" applyFill="1" applyBorder="1"/>
    <xf numFmtId="0" fontId="190" fillId="2" borderId="4" xfId="0" applyFont="1" applyFill="1" applyBorder="1"/>
    <xf numFmtId="0" fontId="190" fillId="2" borderId="1" xfId="0" applyFont="1" applyFill="1" applyBorder="1"/>
    <xf numFmtId="0" fontId="189" fillId="2" borderId="1" xfId="0" applyFont="1" applyFill="1" applyBorder="1"/>
    <xf numFmtId="0" fontId="189" fillId="2" borderId="0" xfId="0" applyFont="1" applyFill="1"/>
    <xf numFmtId="0" fontId="189" fillId="2" borderId="4" xfId="0" applyFont="1" applyFill="1" applyBorder="1"/>
    <xf numFmtId="14" fontId="189" fillId="2" borderId="4" xfId="0" applyNumberFormat="1" applyFont="1" applyFill="1" applyBorder="1"/>
    <xf numFmtId="14" fontId="196" fillId="2" borderId="4" xfId="0" applyNumberFormat="1" applyFont="1" applyFill="1" applyBorder="1"/>
    <xf numFmtId="0" fontId="445" fillId="2" borderId="4" xfId="0" applyFont="1" applyFill="1" applyBorder="1"/>
    <xf numFmtId="0" fontId="445" fillId="2" borderId="2" xfId="0" applyFont="1" applyFill="1" applyBorder="1"/>
    <xf numFmtId="0" fontId="445" fillId="2" borderId="1" xfId="0" applyFont="1" applyFill="1" applyBorder="1" applyAlignment="1">
      <alignment horizontal="left"/>
    </xf>
    <xf numFmtId="0" fontId="445" fillId="2" borderId="1" xfId="0" applyFont="1" applyFill="1" applyBorder="1"/>
    <xf numFmtId="14" fontId="445" fillId="2" borderId="4" xfId="0" applyNumberFormat="1" applyFont="1" applyFill="1" applyBorder="1" applyAlignment="1">
      <alignment horizontal="left"/>
    </xf>
    <xf numFmtId="18" fontId="445" fillId="2" borderId="4" xfId="0" applyNumberFormat="1" applyFont="1" applyFill="1" applyBorder="1" applyAlignment="1">
      <alignment horizontal="left"/>
    </xf>
    <xf numFmtId="0" fontId="445" fillId="2" borderId="0" xfId="0" applyFont="1" applyFill="1"/>
    <xf numFmtId="0" fontId="445" fillId="0" borderId="0" xfId="0" applyFont="1"/>
    <xf numFmtId="0" fontId="445" fillId="2" borderId="4" xfId="0" applyFont="1" applyFill="1" applyBorder="1" applyAlignment="1">
      <alignment horizontal="left"/>
    </xf>
    <xf numFmtId="0" fontId="188" fillId="2" borderId="2" xfId="0" applyFont="1" applyFill="1" applyBorder="1"/>
    <xf numFmtId="0" fontId="188" fillId="2" borderId="4" xfId="0" applyFont="1" applyFill="1" applyBorder="1"/>
    <xf numFmtId="0" fontId="188" fillId="2" borderId="1" xfId="0" applyFont="1" applyFill="1" applyBorder="1" applyAlignment="1">
      <alignment horizontal="left"/>
    </xf>
    <xf numFmtId="0" fontId="188" fillId="2" borderId="1" xfId="0" applyFont="1" applyFill="1" applyBorder="1"/>
    <xf numFmtId="0" fontId="187" fillId="2" borderId="2" xfId="0" applyFont="1" applyFill="1" applyBorder="1"/>
    <xf numFmtId="0" fontId="187" fillId="2" borderId="4" xfId="0" applyFont="1" applyFill="1" applyBorder="1"/>
    <xf numFmtId="0" fontId="187" fillId="2" borderId="1" xfId="0" applyFont="1" applyFill="1" applyBorder="1"/>
    <xf numFmtId="0" fontId="187" fillId="2" borderId="4" xfId="0" applyFont="1" applyFill="1" applyBorder="1" applyAlignment="1">
      <alignment horizontal="left"/>
    </xf>
    <xf numFmtId="0" fontId="186" fillId="2" borderId="2" xfId="0" applyFont="1" applyFill="1" applyBorder="1"/>
    <xf numFmtId="0" fontId="186" fillId="2" borderId="4" xfId="0" applyFont="1" applyFill="1" applyBorder="1"/>
    <xf numFmtId="0" fontId="186" fillId="2" borderId="1" xfId="0" applyFont="1" applyFill="1" applyBorder="1"/>
    <xf numFmtId="0" fontId="185" fillId="2" borderId="1" xfId="0" applyFont="1" applyFill="1" applyBorder="1"/>
    <xf numFmtId="0" fontId="184" fillId="2" borderId="4" xfId="0" applyFont="1" applyFill="1" applyBorder="1"/>
    <xf numFmtId="0" fontId="184" fillId="2" borderId="1" xfId="0" applyFont="1" applyFill="1" applyBorder="1"/>
    <xf numFmtId="0" fontId="184" fillId="2" borderId="4" xfId="0" applyFont="1" applyFill="1" applyBorder="1" applyAlignment="1">
      <alignment horizontal="left"/>
    </xf>
    <xf numFmtId="0" fontId="183" fillId="2" borderId="2" xfId="0" applyFont="1" applyFill="1" applyBorder="1"/>
    <xf numFmtId="0" fontId="183" fillId="2" borderId="1" xfId="0" applyFont="1" applyFill="1" applyBorder="1"/>
    <xf numFmtId="0" fontId="183" fillId="2" borderId="4" xfId="0" applyFont="1" applyFill="1" applyBorder="1" applyAlignment="1">
      <alignment horizontal="left"/>
    </xf>
    <xf numFmtId="0" fontId="182" fillId="2" borderId="2" xfId="0" applyFont="1" applyFill="1" applyBorder="1"/>
    <xf numFmtId="0" fontId="182" fillId="2" borderId="4" xfId="0" applyFont="1" applyFill="1" applyBorder="1"/>
    <xf numFmtId="0" fontId="182" fillId="2" borderId="1" xfId="0" applyFont="1" applyFill="1" applyBorder="1"/>
    <xf numFmtId="0" fontId="182" fillId="2" borderId="1" xfId="0" applyFont="1" applyFill="1" applyBorder="1" applyAlignment="1">
      <alignment horizontal="left"/>
    </xf>
    <xf numFmtId="18" fontId="182" fillId="2" borderId="4" xfId="0" applyNumberFormat="1" applyFont="1" applyFill="1" applyBorder="1" applyAlignment="1">
      <alignment horizontal="left"/>
    </xf>
    <xf numFmtId="0" fontId="181" fillId="2" borderId="2" xfId="0" applyFont="1" applyFill="1" applyBorder="1"/>
    <xf numFmtId="0" fontId="180" fillId="2" borderId="4" xfId="0" applyFont="1" applyFill="1" applyBorder="1"/>
    <xf numFmtId="0" fontId="180" fillId="2" borderId="2" xfId="0" applyFont="1" applyFill="1" applyBorder="1"/>
    <xf numFmtId="0" fontId="180" fillId="2" borderId="1" xfId="0" applyFont="1" applyFill="1" applyBorder="1"/>
    <xf numFmtId="0" fontId="179" fillId="2" borderId="2" xfId="0" applyFont="1" applyFill="1" applyBorder="1"/>
    <xf numFmtId="0" fontId="179" fillId="2" borderId="4" xfId="0" applyFont="1" applyFill="1" applyBorder="1"/>
    <xf numFmtId="0" fontId="179" fillId="2" borderId="1" xfId="0" applyFont="1" applyFill="1" applyBorder="1"/>
    <xf numFmtId="14" fontId="179" fillId="2" borderId="4" xfId="0" applyNumberFormat="1" applyFont="1" applyFill="1" applyBorder="1" applyAlignment="1">
      <alignment horizontal="left"/>
    </xf>
    <xf numFmtId="0" fontId="178" fillId="2" borderId="1" xfId="0" applyFont="1" applyFill="1" applyBorder="1"/>
    <xf numFmtId="0" fontId="178" fillId="2" borderId="2" xfId="0" applyFont="1" applyFill="1" applyBorder="1"/>
    <xf numFmtId="0" fontId="178" fillId="2" borderId="4" xfId="0" applyFont="1" applyFill="1" applyBorder="1"/>
    <xf numFmtId="0" fontId="178" fillId="2" borderId="1" xfId="0" applyFont="1" applyFill="1" applyBorder="1" applyAlignment="1">
      <alignment horizontal="left"/>
    </xf>
    <xf numFmtId="14" fontId="178" fillId="2" borderId="4" xfId="0" applyNumberFormat="1" applyFont="1" applyFill="1" applyBorder="1" applyAlignment="1">
      <alignment horizontal="left"/>
    </xf>
    <xf numFmtId="18" fontId="178" fillId="2" borderId="4" xfId="0" applyNumberFormat="1" applyFont="1" applyFill="1" applyBorder="1" applyAlignment="1">
      <alignment horizontal="left"/>
    </xf>
    <xf numFmtId="0" fontId="178" fillId="2" borderId="0" xfId="0" applyFont="1" applyFill="1"/>
    <xf numFmtId="14" fontId="195" fillId="2" borderId="4" xfId="0" applyNumberFormat="1" applyFont="1" applyFill="1" applyBorder="1"/>
    <xf numFmtId="0" fontId="177" fillId="2" borderId="1" xfId="0" applyFont="1" applyFill="1" applyBorder="1" applyAlignment="1">
      <alignment horizontal="left"/>
    </xf>
    <xf numFmtId="0" fontId="177" fillId="2" borderId="1" xfId="0" applyFont="1" applyFill="1" applyBorder="1"/>
    <xf numFmtId="0" fontId="176" fillId="2" borderId="2" xfId="0" applyFont="1" applyFill="1" applyBorder="1"/>
    <xf numFmtId="0" fontId="176" fillId="2" borderId="4" xfId="0" applyFont="1" applyFill="1" applyBorder="1"/>
    <xf numFmtId="0" fontId="176" fillId="2" borderId="1" xfId="0" applyFont="1" applyFill="1" applyBorder="1"/>
    <xf numFmtId="0" fontId="175" fillId="2" borderId="1" xfId="0" applyFont="1" applyFill="1" applyBorder="1"/>
    <xf numFmtId="0" fontId="174" fillId="2" borderId="2" xfId="0" applyFont="1" applyFill="1" applyBorder="1"/>
    <xf numFmtId="0" fontId="174" fillId="2" borderId="4" xfId="0" applyFont="1" applyFill="1" applyBorder="1"/>
    <xf numFmtId="0" fontId="174" fillId="2" borderId="1" xfId="0" applyFont="1" applyFill="1" applyBorder="1"/>
    <xf numFmtId="0" fontId="173" fillId="2" borderId="4" xfId="0" applyFont="1" applyFill="1" applyBorder="1"/>
    <xf numFmtId="0" fontId="172" fillId="2" borderId="1" xfId="0" applyFont="1" applyFill="1" applyBorder="1"/>
    <xf numFmtId="0" fontId="172" fillId="2" borderId="2" xfId="0" applyFont="1" applyFill="1" applyBorder="1"/>
    <xf numFmtId="0" fontId="171" fillId="2" borderId="1" xfId="0" applyFont="1" applyFill="1" applyBorder="1"/>
    <xf numFmtId="14" fontId="445" fillId="2" borderId="4" xfId="0" applyNumberFormat="1" applyFont="1" applyFill="1" applyBorder="1"/>
    <xf numFmtId="0" fontId="171" fillId="2" borderId="2" xfId="0" applyFont="1" applyFill="1" applyBorder="1"/>
    <xf numFmtId="0" fontId="171" fillId="2" borderId="4" xfId="0" applyFont="1" applyFill="1" applyBorder="1"/>
    <xf numFmtId="0" fontId="170" fillId="2" borderId="2" xfId="0" applyFont="1" applyFill="1" applyBorder="1"/>
    <xf numFmtId="0" fontId="170" fillId="2" borderId="4" xfId="0" applyFont="1" applyFill="1" applyBorder="1"/>
    <xf numFmtId="0" fontId="170" fillId="2" borderId="1" xfId="0" applyFont="1" applyFill="1" applyBorder="1"/>
    <xf numFmtId="0" fontId="169" fillId="2" borderId="1" xfId="0" applyFont="1" applyFill="1" applyBorder="1"/>
    <xf numFmtId="0" fontId="168" fillId="2" borderId="2" xfId="0" applyFont="1" applyFill="1" applyBorder="1"/>
    <xf numFmtId="0" fontId="168" fillId="2" borderId="4" xfId="0" applyFont="1" applyFill="1" applyBorder="1"/>
    <xf numFmtId="0" fontId="168" fillId="2" borderId="1" xfId="0" applyFont="1" applyFill="1" applyBorder="1"/>
    <xf numFmtId="0" fontId="168" fillId="2" borderId="4" xfId="0" applyFont="1" applyFill="1" applyBorder="1" applyAlignment="1">
      <alignment horizontal="left"/>
    </xf>
    <xf numFmtId="0" fontId="168" fillId="2" borderId="1" xfId="0" applyFont="1" applyFill="1" applyBorder="1" applyAlignment="1">
      <alignment horizontal="left"/>
    </xf>
    <xf numFmtId="0" fontId="167" fillId="2" borderId="2" xfId="0" applyFont="1" applyFill="1" applyBorder="1"/>
    <xf numFmtId="0" fontId="167" fillId="2" borderId="4" xfId="0" applyFont="1" applyFill="1" applyBorder="1"/>
    <xf numFmtId="0" fontId="167" fillId="2" borderId="1" xfId="0" applyFont="1" applyFill="1" applyBorder="1"/>
    <xf numFmtId="0" fontId="166" fillId="2" borderId="1" xfId="0" applyFont="1" applyFill="1" applyBorder="1"/>
    <xf numFmtId="0" fontId="165" fillId="2" borderId="1" xfId="0" applyFont="1" applyFill="1" applyBorder="1"/>
    <xf numFmtId="0" fontId="164" fillId="2" borderId="2" xfId="0" applyFont="1" applyFill="1" applyBorder="1"/>
    <xf numFmtId="0" fontId="163" fillId="2" borderId="1" xfId="0" applyFont="1" applyFill="1" applyBorder="1"/>
    <xf numFmtId="0" fontId="162" fillId="2" borderId="1" xfId="0" applyFont="1" applyFill="1" applyBorder="1"/>
    <xf numFmtId="0" fontId="161" fillId="2" borderId="2" xfId="0" applyFont="1" applyFill="1" applyBorder="1"/>
    <xf numFmtId="0" fontId="161" fillId="2" borderId="4" xfId="0" applyFont="1" applyFill="1" applyBorder="1"/>
    <xf numFmtId="0" fontId="161" fillId="2" borderId="1" xfId="0" applyFont="1" applyFill="1" applyBorder="1"/>
    <xf numFmtId="0" fontId="160" fillId="2" borderId="4" xfId="0" applyFont="1" applyFill="1" applyBorder="1"/>
    <xf numFmtId="0" fontId="160" fillId="2" borderId="1" xfId="0" applyFont="1" applyFill="1" applyBorder="1"/>
    <xf numFmtId="0" fontId="160" fillId="2" borderId="2" xfId="0" applyFont="1" applyFill="1" applyBorder="1"/>
    <xf numFmtId="0" fontId="159" fillId="2" borderId="1" xfId="0" applyFont="1" applyFill="1" applyBorder="1"/>
    <xf numFmtId="0" fontId="159" fillId="2" borderId="2" xfId="0" applyFont="1" applyFill="1" applyBorder="1"/>
    <xf numFmtId="0" fontId="159" fillId="2" borderId="4" xfId="0" applyFont="1" applyFill="1" applyBorder="1"/>
    <xf numFmtId="0" fontId="159" fillId="2" borderId="1" xfId="0" applyFont="1" applyFill="1" applyBorder="1" applyAlignment="1">
      <alignment horizontal="left"/>
    </xf>
    <xf numFmtId="0" fontId="158" fillId="2" borderId="1" xfId="0" applyFont="1" applyFill="1" applyBorder="1"/>
    <xf numFmtId="14" fontId="158" fillId="2" borderId="4" xfId="0" applyNumberFormat="1" applyFont="1" applyFill="1" applyBorder="1"/>
    <xf numFmtId="0" fontId="157" fillId="2" borderId="2" xfId="0" applyFont="1" applyFill="1" applyBorder="1"/>
    <xf numFmtId="0" fontId="157" fillId="2" borderId="4" xfId="0" applyFont="1" applyFill="1" applyBorder="1"/>
    <xf numFmtId="0" fontId="157" fillId="2" borderId="1" xfId="0" applyFont="1" applyFill="1" applyBorder="1"/>
    <xf numFmtId="0" fontId="156" fillId="2" borderId="4" xfId="0" applyFont="1" applyFill="1" applyBorder="1"/>
    <xf numFmtId="0" fontId="156" fillId="2" borderId="1" xfId="0" applyFont="1" applyFill="1" applyBorder="1"/>
    <xf numFmtId="0" fontId="155" fillId="2" borderId="2" xfId="0" applyFont="1" applyFill="1" applyBorder="1"/>
    <xf numFmtId="0" fontId="155" fillId="2" borderId="4" xfId="0" applyFont="1" applyFill="1" applyBorder="1"/>
    <xf numFmtId="0" fontId="155" fillId="2" borderId="1" xfId="0" applyFont="1" applyFill="1" applyBorder="1"/>
    <xf numFmtId="0" fontId="154" fillId="2" borderId="2" xfId="0" applyFont="1" applyFill="1" applyBorder="1"/>
    <xf numFmtId="0" fontId="154" fillId="2" borderId="4" xfId="0" applyFont="1" applyFill="1" applyBorder="1"/>
    <xf numFmtId="0" fontId="154" fillId="2" borderId="1" xfId="0" applyFont="1" applyFill="1" applyBorder="1"/>
    <xf numFmtId="0" fontId="153" fillId="2" borderId="1" xfId="0" applyFont="1" applyFill="1" applyBorder="1"/>
    <xf numFmtId="0" fontId="153" fillId="2" borderId="4" xfId="0" applyFont="1" applyFill="1" applyBorder="1"/>
    <xf numFmtId="14" fontId="230" fillId="2" borderId="4" xfId="0" applyNumberFormat="1" applyFont="1" applyFill="1" applyBorder="1"/>
    <xf numFmtId="14" fontId="246" fillId="2" borderId="4" xfId="0" applyNumberFormat="1" applyFont="1" applyFill="1" applyBorder="1"/>
    <xf numFmtId="14" fontId="263" fillId="2" borderId="4" xfId="0" applyNumberFormat="1" applyFont="1" applyFill="1" applyBorder="1"/>
    <xf numFmtId="14" fontId="258" fillId="2" borderId="4" xfId="0" applyNumberFormat="1" applyFont="1" applyFill="1" applyBorder="1"/>
    <xf numFmtId="14" fontId="247" fillId="2" borderId="4" xfId="0" applyNumberFormat="1" applyFont="1" applyFill="1" applyBorder="1"/>
    <xf numFmtId="0" fontId="153" fillId="2" borderId="2" xfId="0" applyFont="1" applyFill="1" applyBorder="1"/>
    <xf numFmtId="0" fontId="152" fillId="2" borderId="2" xfId="0" applyFont="1" applyFill="1" applyBorder="1"/>
    <xf numFmtId="0" fontId="152" fillId="2" borderId="1" xfId="0" applyFont="1" applyFill="1" applyBorder="1"/>
    <xf numFmtId="0" fontId="152" fillId="2" borderId="4" xfId="0" applyFont="1" applyFill="1" applyBorder="1"/>
    <xf numFmtId="0" fontId="151" fillId="2" borderId="2" xfId="0" applyFont="1" applyFill="1" applyBorder="1"/>
    <xf numFmtId="0" fontId="151" fillId="2" borderId="4" xfId="0" applyFont="1" applyFill="1" applyBorder="1"/>
    <xf numFmtId="0" fontId="151" fillId="2" borderId="1" xfId="0" applyFont="1" applyFill="1" applyBorder="1"/>
    <xf numFmtId="18" fontId="151" fillId="2" borderId="4" xfId="0" applyNumberFormat="1" applyFont="1" applyFill="1" applyBorder="1" applyAlignment="1">
      <alignment horizontal="left"/>
    </xf>
    <xf numFmtId="0" fontId="150" fillId="2" borderId="2" xfId="0" applyFont="1" applyFill="1" applyBorder="1"/>
    <xf numFmtId="0" fontId="150" fillId="2" borderId="1" xfId="0" applyFont="1" applyFill="1" applyBorder="1"/>
    <xf numFmtId="0" fontId="149" fillId="2" borderId="2" xfId="0" applyFont="1" applyFill="1" applyBorder="1"/>
    <xf numFmtId="0" fontId="149" fillId="2" borderId="4" xfId="0" applyFont="1" applyFill="1" applyBorder="1"/>
    <xf numFmtId="0" fontId="149" fillId="2" borderId="1" xfId="0" applyFont="1" applyFill="1" applyBorder="1"/>
    <xf numFmtId="0" fontId="148" fillId="2" borderId="1" xfId="0" applyFont="1" applyFill="1" applyBorder="1"/>
    <xf numFmtId="0" fontId="148" fillId="2" borderId="4" xfId="0" applyFont="1" applyFill="1" applyBorder="1"/>
    <xf numFmtId="0" fontId="147" fillId="2" borderId="2" xfId="0" applyFont="1" applyFill="1" applyBorder="1"/>
    <xf numFmtId="0" fontId="147" fillId="2" borderId="4" xfId="0" applyFont="1" applyFill="1" applyBorder="1"/>
    <xf numFmtId="0" fontId="147" fillId="2" borderId="1" xfId="0" applyFont="1" applyFill="1" applyBorder="1"/>
    <xf numFmtId="0" fontId="146" fillId="2" borderId="2" xfId="0" applyFont="1" applyFill="1" applyBorder="1"/>
    <xf numFmtId="0" fontId="146" fillId="2" borderId="1" xfId="0" applyFont="1" applyFill="1" applyBorder="1"/>
    <xf numFmtId="0" fontId="145" fillId="2" borderId="1" xfId="0" applyFont="1" applyFill="1" applyBorder="1"/>
    <xf numFmtId="0" fontId="145" fillId="2" borderId="2" xfId="0" applyFont="1" applyFill="1" applyBorder="1"/>
    <xf numFmtId="0" fontId="145" fillId="2" borderId="4" xfId="0" applyFont="1" applyFill="1" applyBorder="1"/>
    <xf numFmtId="0" fontId="434" fillId="2" borderId="5" xfId="0" applyFont="1" applyFill="1" applyBorder="1"/>
    <xf numFmtId="0" fontId="374" fillId="2" borderId="6" xfId="0" applyFont="1" applyFill="1" applyBorder="1"/>
    <xf numFmtId="0" fontId="374" fillId="2" borderId="5" xfId="0" applyFont="1" applyFill="1" applyBorder="1"/>
    <xf numFmtId="0" fontId="434" fillId="2" borderId="5" xfId="0" applyFont="1" applyFill="1" applyBorder="1" applyAlignment="1">
      <alignment horizontal="left"/>
    </xf>
    <xf numFmtId="0" fontId="438" fillId="2" borderId="5" xfId="0" applyFont="1" applyFill="1" applyBorder="1" applyAlignment="1">
      <alignment vertical="center"/>
    </xf>
    <xf numFmtId="14" fontId="434" fillId="2" borderId="5" xfId="0" applyNumberFormat="1" applyFont="1" applyFill="1" applyBorder="1" applyAlignment="1">
      <alignment horizontal="left"/>
    </xf>
    <xf numFmtId="18" fontId="434" fillId="2" borderId="5" xfId="0" applyNumberFormat="1" applyFont="1" applyFill="1" applyBorder="1" applyAlignment="1">
      <alignment horizontal="left"/>
    </xf>
    <xf numFmtId="0" fontId="367" fillId="2" borderId="6" xfId="0" applyFont="1" applyFill="1" applyBorder="1"/>
    <xf numFmtId="0" fontId="372" fillId="2" borderId="5" xfId="0" applyFont="1" applyFill="1" applyBorder="1"/>
    <xf numFmtId="0" fontId="412" fillId="2" borderId="5" xfId="0" applyFont="1" applyFill="1" applyBorder="1"/>
    <xf numFmtId="0" fontId="397" fillId="2" borderId="5" xfId="0" applyFont="1" applyFill="1" applyBorder="1"/>
    <xf numFmtId="0" fontId="365" fillId="2" borderId="6" xfId="0" applyFont="1" applyFill="1" applyBorder="1"/>
    <xf numFmtId="0" fontId="365" fillId="2" borderId="5" xfId="0" applyFont="1" applyFill="1" applyBorder="1"/>
    <xf numFmtId="0" fontId="356" fillId="2" borderId="5" xfId="0" applyFont="1" applyFill="1" applyBorder="1"/>
    <xf numFmtId="0" fontId="434" fillId="2" borderId="7" xfId="0" applyFont="1" applyFill="1" applyBorder="1"/>
    <xf numFmtId="0" fontId="372" fillId="2" borderId="8" xfId="0" applyFont="1" applyFill="1" applyBorder="1"/>
    <xf numFmtId="0" fontId="372" fillId="2" borderId="7" xfId="0" applyFont="1" applyFill="1" applyBorder="1"/>
    <xf numFmtId="0" fontId="434" fillId="2" borderId="7" xfId="0" applyFont="1" applyFill="1" applyBorder="1" applyAlignment="1">
      <alignment horizontal="left"/>
    </xf>
    <xf numFmtId="0" fontId="438" fillId="2" borderId="7" xfId="0" applyFont="1" applyFill="1" applyBorder="1" applyAlignment="1">
      <alignment vertical="center"/>
    </xf>
    <xf numFmtId="14" fontId="434" fillId="2" borderId="7" xfId="0" applyNumberFormat="1" applyFont="1" applyFill="1" applyBorder="1" applyAlignment="1">
      <alignment horizontal="left"/>
    </xf>
    <xf numFmtId="0" fontId="372" fillId="2" borderId="7" xfId="0" applyFont="1" applyFill="1" applyBorder="1" applyAlignment="1">
      <alignment horizontal="left"/>
    </xf>
    <xf numFmtId="0" fontId="361" fillId="2" borderId="8" xfId="0" applyFont="1" applyFill="1" applyBorder="1"/>
    <xf numFmtId="0" fontId="412" fillId="2" borderId="7" xfId="0" applyFont="1" applyFill="1" applyBorder="1"/>
    <xf numFmtId="0" fontId="397" fillId="2" borderId="7" xfId="0" applyFont="1" applyFill="1" applyBorder="1"/>
    <xf numFmtId="0" fontId="361" fillId="2" borderId="7" xfId="0" applyFont="1" applyFill="1" applyBorder="1"/>
    <xf numFmtId="0" fontId="360" fillId="2" borderId="8" xfId="0" applyFont="1" applyFill="1" applyBorder="1"/>
    <xf numFmtId="18" fontId="434" fillId="2" borderId="7" xfId="0" applyNumberFormat="1" applyFont="1" applyFill="1" applyBorder="1" applyAlignment="1">
      <alignment horizontal="left"/>
    </xf>
    <xf numFmtId="0" fontId="356" fillId="2" borderId="7" xfId="0" applyFont="1" applyFill="1" applyBorder="1"/>
    <xf numFmtId="0" fontId="438" fillId="2" borderId="4" xfId="0" applyFont="1" applyFill="1" applyBorder="1" applyAlignment="1">
      <alignment vertical="center"/>
    </xf>
    <xf numFmtId="0" fontId="359" fillId="2" borderId="4" xfId="0" applyFont="1" applyFill="1" applyBorder="1"/>
    <xf numFmtId="0" fontId="144" fillId="2" borderId="4" xfId="0" applyFont="1" applyFill="1" applyBorder="1"/>
    <xf numFmtId="0" fontId="143" fillId="2" borderId="2" xfId="0" applyFont="1" applyFill="1" applyBorder="1"/>
    <xf numFmtId="0" fontId="143" fillId="2" borderId="4" xfId="0" applyFont="1" applyFill="1" applyBorder="1"/>
    <xf numFmtId="0" fontId="143" fillId="2" borderId="1" xfId="0" applyFont="1" applyFill="1" applyBorder="1"/>
    <xf numFmtId="14" fontId="147" fillId="2" borderId="4" xfId="0" applyNumberFormat="1" applyFont="1" applyFill="1" applyBorder="1" applyAlignment="1">
      <alignment horizontal="left"/>
    </xf>
    <xf numFmtId="0" fontId="142" fillId="2" borderId="2" xfId="0" applyFont="1" applyFill="1" applyBorder="1"/>
    <xf numFmtId="0" fontId="142" fillId="2" borderId="4" xfId="0" applyFont="1" applyFill="1" applyBorder="1"/>
    <xf numFmtId="0" fontId="142" fillId="2" borderId="1" xfId="0" applyFont="1" applyFill="1" applyBorder="1"/>
    <xf numFmtId="0" fontId="141" fillId="2" borderId="2" xfId="0" applyFont="1" applyFill="1" applyBorder="1"/>
    <xf numFmtId="0" fontId="141" fillId="2" borderId="4" xfId="0" applyFont="1" applyFill="1" applyBorder="1"/>
    <xf numFmtId="0" fontId="141" fillId="2" borderId="1" xfId="0" applyFont="1" applyFill="1" applyBorder="1"/>
    <xf numFmtId="0" fontId="140" fillId="2" borderId="2" xfId="0" applyFont="1" applyFill="1" applyBorder="1"/>
    <xf numFmtId="0" fontId="140" fillId="2" borderId="4" xfId="0" applyFont="1" applyFill="1" applyBorder="1"/>
    <xf numFmtId="0" fontId="140" fillId="2" borderId="1" xfId="0" applyFont="1" applyFill="1" applyBorder="1"/>
    <xf numFmtId="0" fontId="139" fillId="2" borderId="2" xfId="0" applyFont="1" applyFill="1" applyBorder="1"/>
    <xf numFmtId="0" fontId="139" fillId="2" borderId="4" xfId="0" applyFont="1" applyFill="1" applyBorder="1"/>
    <xf numFmtId="0" fontId="139" fillId="2" borderId="1" xfId="0" applyFont="1" applyFill="1" applyBorder="1"/>
    <xf numFmtId="0" fontId="376" fillId="2" borderId="2" xfId="0" applyFont="1" applyFill="1" applyBorder="1"/>
    <xf numFmtId="0" fontId="388" fillId="2" borderId="2" xfId="0" applyFont="1" applyFill="1" applyBorder="1"/>
    <xf numFmtId="0" fontId="374" fillId="2" borderId="2" xfId="0" applyFont="1" applyFill="1" applyBorder="1"/>
    <xf numFmtId="0" fontId="358" fillId="2" borderId="9" xfId="0" applyFont="1" applyFill="1" applyBorder="1"/>
    <xf numFmtId="0" fontId="350" fillId="2" borderId="2" xfId="0" applyFont="1" applyFill="1" applyBorder="1"/>
    <xf numFmtId="0" fontId="336" fillId="2" borderId="2" xfId="0" applyFont="1" applyFill="1" applyBorder="1"/>
    <xf numFmtId="0" fontId="335" fillId="2" borderId="2" xfId="0" applyFont="1" applyFill="1" applyBorder="1"/>
    <xf numFmtId="0" fontId="298" fillId="2" borderId="2" xfId="0" applyFont="1" applyFill="1" applyBorder="1"/>
    <xf numFmtId="0" fontId="313" fillId="2" borderId="2" xfId="0" applyFont="1" applyFill="1" applyBorder="1"/>
    <xf numFmtId="0" fontId="226" fillId="2" borderId="2" xfId="0" applyFont="1" applyFill="1" applyBorder="1"/>
    <xf numFmtId="0" fontId="228" fillId="2" borderId="2" xfId="0" applyFont="1" applyFill="1" applyBorder="1"/>
    <xf numFmtId="0" fontId="268" fillId="2" borderId="2" xfId="0" applyFont="1" applyFill="1" applyBorder="1"/>
    <xf numFmtId="0" fontId="258" fillId="2" borderId="2" xfId="0" applyFont="1" applyFill="1" applyBorder="1"/>
    <xf numFmtId="0" fontId="254" fillId="2" borderId="2" xfId="0" applyFont="1" applyFill="1" applyBorder="1"/>
    <xf numFmtId="0" fontId="249" fillId="2" borderId="2" xfId="0" applyFont="1" applyFill="1" applyBorder="1"/>
    <xf numFmtId="0" fontId="234" fillId="2" borderId="2" xfId="0" applyFont="1" applyFill="1" applyBorder="1"/>
    <xf numFmtId="0" fontId="202" fillId="2" borderId="2" xfId="0" applyFont="1" applyFill="1" applyBorder="1"/>
    <xf numFmtId="0" fontId="138" fillId="2" borderId="2" xfId="0" applyFont="1" applyFill="1" applyBorder="1"/>
    <xf numFmtId="0" fontId="138" fillId="2" borderId="4" xfId="0" applyFont="1" applyFill="1" applyBorder="1"/>
    <xf numFmtId="0" fontId="138" fillId="2" borderId="1" xfId="0" applyFont="1" applyFill="1" applyBorder="1" applyAlignment="1">
      <alignment horizontal="left"/>
    </xf>
    <xf numFmtId="0" fontId="138" fillId="2" borderId="1" xfId="0" applyFont="1" applyFill="1" applyBorder="1"/>
    <xf numFmtId="0" fontId="137" fillId="2" borderId="1" xfId="0" applyFont="1" applyFill="1" applyBorder="1"/>
    <xf numFmtId="0" fontId="136" fillId="2" borderId="2" xfId="0" applyFont="1" applyFill="1" applyBorder="1"/>
    <xf numFmtId="0" fontId="136" fillId="2" borderId="4" xfId="0" applyFont="1" applyFill="1" applyBorder="1"/>
    <xf numFmtId="0" fontId="136" fillId="2" borderId="1" xfId="0" applyFont="1" applyFill="1" applyBorder="1"/>
    <xf numFmtId="0" fontId="135" fillId="2" borderId="4" xfId="0" applyFont="1" applyFill="1" applyBorder="1"/>
    <xf numFmtId="0" fontId="135" fillId="2" borderId="2" xfId="0" applyFont="1" applyFill="1" applyBorder="1"/>
    <xf numFmtId="0" fontId="135" fillId="2" borderId="1" xfId="0" applyFont="1" applyFill="1" applyBorder="1"/>
    <xf numFmtId="18" fontId="135" fillId="2" borderId="4" xfId="0" applyNumberFormat="1" applyFont="1" applyFill="1" applyBorder="1" applyAlignment="1">
      <alignment horizontal="left"/>
    </xf>
    <xf numFmtId="0" fontId="134" fillId="2" borderId="1" xfId="0" applyFont="1" applyFill="1" applyBorder="1"/>
    <xf numFmtId="0" fontId="133" fillId="2" borderId="2" xfId="0" applyFont="1" applyFill="1" applyBorder="1"/>
    <xf numFmtId="0" fontId="133" fillId="2" borderId="4" xfId="0" applyFont="1" applyFill="1" applyBorder="1"/>
    <xf numFmtId="0" fontId="133" fillId="2" borderId="1" xfId="0" applyFont="1" applyFill="1" applyBorder="1"/>
    <xf numFmtId="0" fontId="132" fillId="2" borderId="2" xfId="0" applyFont="1" applyFill="1" applyBorder="1"/>
    <xf numFmtId="0" fontId="132" fillId="2" borderId="4" xfId="0" applyFont="1" applyFill="1" applyBorder="1"/>
    <xf numFmtId="0" fontId="132" fillId="2" borderId="1" xfId="0" applyFont="1" applyFill="1" applyBorder="1"/>
    <xf numFmtId="0" fontId="131" fillId="2" borderId="2" xfId="0" applyFont="1" applyFill="1" applyBorder="1"/>
    <xf numFmtId="0" fontId="131" fillId="2" borderId="4" xfId="0" applyFont="1" applyFill="1" applyBorder="1"/>
    <xf numFmtId="0" fontId="131" fillId="2" borderId="1" xfId="0" applyFont="1" applyFill="1" applyBorder="1"/>
    <xf numFmtId="18" fontId="132" fillId="2" borderId="4" xfId="0" applyNumberFormat="1" applyFont="1" applyFill="1" applyBorder="1" applyAlignment="1">
      <alignment horizontal="left"/>
    </xf>
    <xf numFmtId="0" fontId="130" fillId="2" borderId="1" xfId="0" applyFont="1" applyFill="1" applyBorder="1"/>
    <xf numFmtId="0" fontId="129" fillId="2" borderId="1" xfId="0" applyFont="1" applyFill="1" applyBorder="1"/>
    <xf numFmtId="0" fontId="129" fillId="2" borderId="4" xfId="0" applyFont="1" applyFill="1" applyBorder="1"/>
    <xf numFmtId="0" fontId="129" fillId="2" borderId="2" xfId="0" applyFont="1" applyFill="1" applyBorder="1"/>
    <xf numFmtId="0" fontId="128" fillId="2" borderId="1" xfId="0" applyFont="1" applyFill="1" applyBorder="1"/>
    <xf numFmtId="0" fontId="128" fillId="2" borderId="4" xfId="0" applyFont="1" applyFill="1" applyBorder="1"/>
    <xf numFmtId="0" fontId="127" fillId="2" borderId="1" xfId="0" applyFont="1" applyFill="1" applyBorder="1"/>
    <xf numFmtId="0" fontId="127" fillId="2" borderId="2" xfId="0" applyFont="1" applyFill="1" applyBorder="1"/>
    <xf numFmtId="0" fontId="126" fillId="2" borderId="2" xfId="0" applyFont="1" applyFill="1" applyBorder="1"/>
    <xf numFmtId="0" fontId="126" fillId="2" borderId="4" xfId="0" applyFont="1" applyFill="1" applyBorder="1"/>
    <xf numFmtId="0" fontId="126" fillId="2" borderId="1" xfId="0" applyFont="1" applyFill="1" applyBorder="1"/>
    <xf numFmtId="0" fontId="125" fillId="2" borderId="2" xfId="0" applyFont="1" applyFill="1" applyBorder="1"/>
    <xf numFmtId="0" fontId="125" fillId="2" borderId="4" xfId="0" applyFont="1" applyFill="1" applyBorder="1"/>
    <xf numFmtId="0" fontId="125" fillId="2" borderId="1" xfId="0" applyFont="1" applyFill="1" applyBorder="1"/>
    <xf numFmtId="18" fontId="125" fillId="2" borderId="4" xfId="0" applyNumberFormat="1" applyFont="1" applyFill="1" applyBorder="1" applyAlignment="1">
      <alignment horizontal="left"/>
    </xf>
    <xf numFmtId="0" fontId="124" fillId="2" borderId="4" xfId="0" applyFont="1" applyFill="1" applyBorder="1"/>
    <xf numFmtId="0" fontId="123" fillId="2" borderId="4" xfId="0" applyFont="1" applyFill="1" applyBorder="1"/>
    <xf numFmtId="0" fontId="123" fillId="2" borderId="1" xfId="0" applyFont="1" applyFill="1" applyBorder="1"/>
    <xf numFmtId="0" fontId="122" fillId="2" borderId="2" xfId="0" applyFont="1" applyFill="1" applyBorder="1"/>
    <xf numFmtId="0" fontId="122" fillId="2" borderId="4" xfId="0" applyFont="1" applyFill="1" applyBorder="1"/>
    <xf numFmtId="0" fontId="122" fillId="2" borderId="1" xfId="0" applyFont="1" applyFill="1" applyBorder="1"/>
    <xf numFmtId="0" fontId="122" fillId="2" borderId="1" xfId="0" applyFont="1" applyFill="1" applyBorder="1" applyAlignment="1">
      <alignment horizontal="left"/>
    </xf>
    <xf numFmtId="0" fontId="121" fillId="2" borderId="2" xfId="0" applyFont="1" applyFill="1" applyBorder="1"/>
    <xf numFmtId="0" fontId="121" fillId="2" borderId="4" xfId="0" applyFont="1" applyFill="1" applyBorder="1"/>
    <xf numFmtId="0" fontId="121" fillId="2" borderId="1" xfId="0" applyFont="1" applyFill="1" applyBorder="1"/>
    <xf numFmtId="0" fontId="120" fillId="2" borderId="2" xfId="0" applyFont="1" applyFill="1" applyBorder="1"/>
    <xf numFmtId="0" fontId="120" fillId="2" borderId="4" xfId="0" applyFont="1" applyFill="1" applyBorder="1"/>
    <xf numFmtId="0" fontId="120" fillId="2" borderId="1" xfId="0" applyFont="1" applyFill="1" applyBorder="1"/>
    <xf numFmtId="0" fontId="119" fillId="2" borderId="2" xfId="0" applyFont="1" applyFill="1" applyBorder="1"/>
    <xf numFmtId="0" fontId="119" fillId="2" borderId="4" xfId="0" applyFont="1" applyFill="1" applyBorder="1"/>
    <xf numFmtId="0" fontId="119" fillId="2" borderId="1" xfId="0" applyFont="1" applyFill="1" applyBorder="1" applyAlignment="1">
      <alignment horizontal="left"/>
    </xf>
    <xf numFmtId="0" fontId="119" fillId="2" borderId="1" xfId="0" applyFont="1" applyFill="1" applyBorder="1"/>
    <xf numFmtId="0" fontId="118" fillId="2" borderId="2" xfId="0" applyFont="1" applyFill="1" applyBorder="1"/>
    <xf numFmtId="0" fontId="118" fillId="2" borderId="1" xfId="0" applyFont="1" applyFill="1" applyBorder="1"/>
    <xf numFmtId="0" fontId="117" fillId="2" borderId="2" xfId="0" applyFont="1" applyFill="1" applyBorder="1"/>
    <xf numFmtId="0" fontId="117" fillId="2" borderId="4" xfId="0" applyFont="1" applyFill="1" applyBorder="1"/>
    <xf numFmtId="0" fontId="117" fillId="2" borderId="1" xfId="0" applyFont="1" applyFill="1" applyBorder="1"/>
    <xf numFmtId="0" fontId="116" fillId="2" borderId="1" xfId="0" applyFont="1" applyFill="1" applyBorder="1"/>
    <xf numFmtId="0" fontId="115" fillId="2" borderId="2" xfId="0" applyFont="1" applyFill="1" applyBorder="1"/>
    <xf numFmtId="0" fontId="115" fillId="2" borderId="4" xfId="0" applyFont="1" applyFill="1" applyBorder="1"/>
    <xf numFmtId="0" fontId="115" fillId="2" borderId="1" xfId="0" applyFont="1" applyFill="1" applyBorder="1"/>
    <xf numFmtId="0" fontId="114" fillId="2" borderId="2" xfId="0" applyFont="1" applyFill="1" applyBorder="1"/>
    <xf numFmtId="0" fontId="114" fillId="2" borderId="1" xfId="0" applyFont="1" applyFill="1" applyBorder="1"/>
    <xf numFmtId="0" fontId="113" fillId="2" borderId="2" xfId="0" applyFont="1" applyFill="1" applyBorder="1"/>
    <xf numFmtId="0" fontId="112" fillId="2" borderId="2" xfId="0" applyFont="1" applyFill="1" applyBorder="1"/>
    <xf numFmtId="0" fontId="112" fillId="2" borderId="4" xfId="0" applyFont="1" applyFill="1" applyBorder="1"/>
    <xf numFmtId="0" fontId="112" fillId="2" borderId="1" xfId="0" applyFont="1" applyFill="1" applyBorder="1"/>
    <xf numFmtId="18" fontId="112" fillId="2" borderId="4" xfId="0" applyNumberFormat="1" applyFont="1" applyFill="1" applyBorder="1" applyAlignment="1">
      <alignment horizontal="left"/>
    </xf>
    <xf numFmtId="0" fontId="111" fillId="2" borderId="2" xfId="0" applyFont="1" applyFill="1" applyBorder="1"/>
    <xf numFmtId="0" fontId="111" fillId="2" borderId="4" xfId="0" applyFont="1" applyFill="1" applyBorder="1"/>
    <xf numFmtId="0" fontId="111" fillId="2" borderId="1" xfId="0" applyFont="1" applyFill="1" applyBorder="1"/>
    <xf numFmtId="18" fontId="111" fillId="2" borderId="4" xfId="0" applyNumberFormat="1" applyFont="1" applyFill="1" applyBorder="1" applyAlignment="1">
      <alignment horizontal="left"/>
    </xf>
    <xf numFmtId="0" fontId="110" fillId="2" borderId="4" xfId="0" applyFont="1" applyFill="1" applyBorder="1"/>
    <xf numFmtId="0" fontId="110" fillId="2" borderId="2" xfId="0" applyFont="1" applyFill="1" applyBorder="1"/>
    <xf numFmtId="0" fontId="109" fillId="2" borderId="2" xfId="0" applyFont="1" applyFill="1" applyBorder="1"/>
    <xf numFmtId="0" fontId="108" fillId="2" borderId="2" xfId="0" applyFont="1" applyFill="1" applyBorder="1"/>
    <xf numFmtId="0" fontId="108" fillId="2" borderId="4" xfId="0" applyFont="1" applyFill="1" applyBorder="1"/>
    <xf numFmtId="0" fontId="108" fillId="2" borderId="1" xfId="0" applyFont="1" applyFill="1" applyBorder="1"/>
    <xf numFmtId="0" fontId="107" fillId="2" borderId="1" xfId="0" applyFont="1" applyFill="1" applyBorder="1"/>
    <xf numFmtId="0" fontId="106" fillId="2" borderId="1" xfId="0" applyFont="1" applyFill="1" applyBorder="1"/>
    <xf numFmtId="0" fontId="106" fillId="2" borderId="2" xfId="0" applyFont="1" applyFill="1" applyBorder="1"/>
    <xf numFmtId="0" fontId="106" fillId="2" borderId="4" xfId="0" applyFont="1" applyFill="1" applyBorder="1"/>
    <xf numFmtId="0" fontId="105" fillId="2" borderId="2" xfId="0" applyFont="1" applyFill="1" applyBorder="1"/>
    <xf numFmtId="0" fontId="105" fillId="2" borderId="4" xfId="0" applyFont="1" applyFill="1" applyBorder="1"/>
    <xf numFmtId="0" fontId="105" fillId="2" borderId="1" xfId="0" applyFont="1" applyFill="1" applyBorder="1"/>
    <xf numFmtId="0" fontId="104" fillId="2" borderId="1" xfId="0" applyFont="1" applyFill="1" applyBorder="1"/>
    <xf numFmtId="14" fontId="104" fillId="2" borderId="4" xfId="0" applyNumberFormat="1" applyFont="1" applyFill="1" applyBorder="1"/>
    <xf numFmtId="0" fontId="103" fillId="2" borderId="2" xfId="0" applyFont="1" applyFill="1" applyBorder="1"/>
    <xf numFmtId="0" fontId="103" fillId="2" borderId="4" xfId="0" applyFont="1" applyFill="1" applyBorder="1"/>
    <xf numFmtId="0" fontId="103" fillId="2" borderId="1" xfId="0" applyFont="1" applyFill="1" applyBorder="1"/>
    <xf numFmtId="14" fontId="103" fillId="2" borderId="4" xfId="0" applyNumberFormat="1" applyFont="1" applyFill="1" applyBorder="1" applyAlignment="1">
      <alignment horizontal="left"/>
    </xf>
    <xf numFmtId="0" fontId="102" fillId="2" borderId="1" xfId="0" applyFont="1" applyFill="1" applyBorder="1"/>
    <xf numFmtId="0" fontId="101" fillId="2" borderId="1" xfId="0" applyFont="1" applyFill="1" applyBorder="1"/>
    <xf numFmtId="0" fontId="100" fillId="2" borderId="2" xfId="0" applyFont="1" applyFill="1" applyBorder="1"/>
    <xf numFmtId="0" fontId="100" fillId="2" borderId="1" xfId="0" applyFont="1" applyFill="1" applyBorder="1"/>
    <xf numFmtId="0" fontId="99" fillId="2" borderId="2" xfId="0" applyFont="1" applyFill="1" applyBorder="1"/>
    <xf numFmtId="0" fontId="99" fillId="2" borderId="4" xfId="0" applyFont="1" applyFill="1" applyBorder="1"/>
    <xf numFmtId="0" fontId="99" fillId="2" borderId="1" xfId="0" applyFont="1" applyFill="1" applyBorder="1"/>
    <xf numFmtId="0" fontId="98" fillId="2" borderId="1" xfId="0" applyFont="1" applyFill="1" applyBorder="1"/>
    <xf numFmtId="0" fontId="97" fillId="2" borderId="2" xfId="0" applyFont="1" applyFill="1" applyBorder="1"/>
    <xf numFmtId="0" fontId="97" fillId="2" borderId="4" xfId="0" applyFont="1" applyFill="1" applyBorder="1"/>
    <xf numFmtId="0" fontId="97" fillId="2" borderId="1" xfId="0" applyFont="1" applyFill="1" applyBorder="1"/>
    <xf numFmtId="0" fontId="97" fillId="2" borderId="4" xfId="0" applyFont="1" applyFill="1" applyBorder="1" applyAlignment="1">
      <alignment horizontal="left"/>
    </xf>
    <xf numFmtId="0" fontId="96" fillId="2" borderId="1" xfId="0" applyFont="1" applyFill="1" applyBorder="1"/>
    <xf numFmtId="0" fontId="95" fillId="2" borderId="1" xfId="0" applyFont="1" applyFill="1" applyBorder="1"/>
    <xf numFmtId="0" fontId="94" fillId="2" borderId="2" xfId="0" applyFont="1" applyFill="1" applyBorder="1"/>
    <xf numFmtId="0" fontId="94" fillId="2" borderId="4" xfId="0" applyFont="1" applyFill="1" applyBorder="1"/>
    <xf numFmtId="0" fontId="94" fillId="2" borderId="1" xfId="0" applyFont="1" applyFill="1" applyBorder="1"/>
    <xf numFmtId="18" fontId="94" fillId="2" borderId="4" xfId="0" applyNumberFormat="1" applyFont="1" applyFill="1" applyBorder="1" applyAlignment="1">
      <alignment horizontal="left"/>
    </xf>
    <xf numFmtId="0" fontId="93" fillId="2" borderId="1" xfId="0" applyFont="1" applyFill="1" applyBorder="1"/>
    <xf numFmtId="0" fontId="92" fillId="2" borderId="2" xfId="0" applyFont="1" applyFill="1" applyBorder="1"/>
    <xf numFmtId="0" fontId="92" fillId="2" borderId="4" xfId="0" applyFont="1" applyFill="1" applyBorder="1"/>
    <xf numFmtId="0" fontId="92" fillId="2" borderId="1" xfId="0" applyFont="1" applyFill="1" applyBorder="1"/>
    <xf numFmtId="0" fontId="91" fillId="2" borderId="4" xfId="0" applyFont="1" applyFill="1" applyBorder="1"/>
    <xf numFmtId="0" fontId="90" fillId="2" borderId="1" xfId="0" applyFont="1" applyFill="1" applyBorder="1"/>
    <xf numFmtId="0" fontId="89" fillId="2" borderId="2" xfId="0" applyFont="1" applyFill="1" applyBorder="1"/>
    <xf numFmtId="0" fontId="89" fillId="2" borderId="4" xfId="0" applyFont="1" applyFill="1" applyBorder="1"/>
    <xf numFmtId="0" fontId="89" fillId="2" borderId="1" xfId="0" applyFont="1" applyFill="1" applyBorder="1"/>
    <xf numFmtId="0" fontId="88" fillId="2" borderId="2" xfId="0" applyFont="1" applyFill="1" applyBorder="1"/>
    <xf numFmtId="0" fontId="88" fillId="2" borderId="4" xfId="0" applyFont="1" applyFill="1" applyBorder="1"/>
    <xf numFmtId="0" fontId="88" fillId="2" borderId="1" xfId="0" applyFont="1" applyFill="1" applyBorder="1"/>
    <xf numFmtId="0" fontId="87" fillId="2" borderId="2" xfId="0" applyFont="1" applyFill="1" applyBorder="1"/>
    <xf numFmtId="0" fontId="87" fillId="2" borderId="4" xfId="0" applyFont="1" applyFill="1" applyBorder="1"/>
    <xf numFmtId="0" fontId="87" fillId="2" borderId="1" xfId="0" applyFont="1" applyFill="1" applyBorder="1"/>
    <xf numFmtId="14" fontId="88" fillId="2" borderId="4" xfId="0" applyNumberFormat="1" applyFont="1" applyFill="1" applyBorder="1" applyAlignment="1">
      <alignment horizontal="left"/>
    </xf>
    <xf numFmtId="0" fontId="86" fillId="2" borderId="4" xfId="0" applyFont="1" applyFill="1" applyBorder="1"/>
    <xf numFmtId="0" fontId="85" fillId="2" borderId="1" xfId="0" applyFont="1" applyFill="1" applyBorder="1"/>
    <xf numFmtId="0" fontId="84" fillId="2" borderId="2" xfId="0" applyFont="1" applyFill="1" applyBorder="1"/>
    <xf numFmtId="0" fontId="84" fillId="2" borderId="4" xfId="0" applyFont="1" applyFill="1" applyBorder="1"/>
    <xf numFmtId="0" fontId="84" fillId="2" borderId="1" xfId="0" applyFont="1" applyFill="1" applyBorder="1"/>
    <xf numFmtId="0" fontId="83" fillId="2" borderId="2" xfId="0" applyFont="1" applyFill="1" applyBorder="1"/>
    <xf numFmtId="0" fontId="83" fillId="2" borderId="4" xfId="0" applyFont="1" applyFill="1" applyBorder="1"/>
    <xf numFmtId="0" fontId="83" fillId="2" borderId="1" xfId="0" applyFont="1" applyFill="1" applyBorder="1"/>
    <xf numFmtId="14" fontId="84" fillId="2" borderId="4" xfId="0" applyNumberFormat="1" applyFont="1" applyFill="1" applyBorder="1" applyAlignment="1">
      <alignment horizontal="left"/>
    </xf>
    <xf numFmtId="0" fontId="82" fillId="2" borderId="2" xfId="0" applyFont="1" applyFill="1" applyBorder="1"/>
    <xf numFmtId="0" fontId="82" fillId="2" borderId="4" xfId="0" applyFont="1" applyFill="1" applyBorder="1"/>
    <xf numFmtId="0" fontId="82" fillId="2" borderId="1" xfId="0" applyFont="1" applyFill="1" applyBorder="1"/>
    <xf numFmtId="0" fontId="81" fillId="2" borderId="4" xfId="0" applyFont="1" applyFill="1" applyBorder="1"/>
    <xf numFmtId="0" fontId="80" fillId="2" borderId="2" xfId="0" applyFont="1" applyFill="1" applyBorder="1"/>
    <xf numFmtId="0" fontId="80" fillId="2" borderId="4" xfId="0" applyFont="1" applyFill="1" applyBorder="1"/>
    <xf numFmtId="0" fontId="80" fillId="2" borderId="1" xfId="0" applyFont="1" applyFill="1" applyBorder="1"/>
    <xf numFmtId="0" fontId="79" fillId="2" borderId="2" xfId="0" applyFont="1" applyFill="1" applyBorder="1"/>
    <xf numFmtId="0" fontId="79" fillId="2" borderId="4" xfId="0" applyFont="1" applyFill="1" applyBorder="1"/>
    <xf numFmtId="0" fontId="79" fillId="2" borderId="1" xfId="0" applyFont="1" applyFill="1" applyBorder="1"/>
    <xf numFmtId="0" fontId="79" fillId="2" borderId="4" xfId="0" applyFont="1" applyFill="1" applyBorder="1" applyAlignment="1">
      <alignment horizontal="left"/>
    </xf>
    <xf numFmtId="0" fontId="78" fillId="2" borderId="2" xfId="0" applyFont="1" applyFill="1" applyBorder="1"/>
    <xf numFmtId="0" fontId="78" fillId="2" borderId="4" xfId="0" applyFont="1" applyFill="1" applyBorder="1"/>
    <xf numFmtId="0" fontId="78" fillId="2" borderId="1" xfId="0" applyFont="1" applyFill="1" applyBorder="1"/>
    <xf numFmtId="0" fontId="78" fillId="2" borderId="4" xfId="0" applyFont="1" applyFill="1" applyBorder="1" applyAlignment="1">
      <alignment horizontal="left"/>
    </xf>
    <xf numFmtId="0" fontId="77" fillId="2" borderId="1" xfId="0" applyFont="1" applyFill="1" applyBorder="1"/>
    <xf numFmtId="0" fontId="76" fillId="2" borderId="2" xfId="0" applyFont="1" applyFill="1" applyBorder="1"/>
    <xf numFmtId="0" fontId="76" fillId="2" borderId="4" xfId="0" applyFont="1" applyFill="1" applyBorder="1"/>
    <xf numFmtId="0" fontId="76" fillId="2" borderId="1" xfId="0" applyFont="1" applyFill="1" applyBorder="1"/>
    <xf numFmtId="0" fontId="76" fillId="2" borderId="4" xfId="0" applyFont="1" applyFill="1" applyBorder="1" applyAlignment="1">
      <alignment horizontal="left"/>
    </xf>
    <xf numFmtId="0" fontId="75" fillId="2" borderId="1" xfId="0" applyFont="1" applyFill="1" applyBorder="1"/>
    <xf numFmtId="0" fontId="75" fillId="2" borderId="2" xfId="0" applyFont="1" applyFill="1" applyBorder="1"/>
    <xf numFmtId="0" fontId="74" fillId="2" borderId="2" xfId="0" applyFont="1" applyFill="1" applyBorder="1"/>
    <xf numFmtId="0" fontId="74" fillId="2" borderId="4" xfId="0" applyFont="1" applyFill="1" applyBorder="1"/>
    <xf numFmtId="0" fontId="74" fillId="2" borderId="1" xfId="0" applyFont="1" applyFill="1" applyBorder="1"/>
    <xf numFmtId="0" fontId="73" fillId="2" borderId="2" xfId="0" applyFont="1" applyFill="1" applyBorder="1"/>
    <xf numFmtId="0" fontId="73" fillId="2" borderId="4" xfId="0" applyFont="1" applyFill="1" applyBorder="1"/>
    <xf numFmtId="0" fontId="72" fillId="2" borderId="1" xfId="0" applyFont="1" applyFill="1" applyBorder="1"/>
    <xf numFmtId="0" fontId="71" fillId="2" borderId="1" xfId="0" applyFont="1" applyFill="1" applyBorder="1"/>
    <xf numFmtId="0" fontId="70" fillId="2" borderId="2" xfId="0" applyFont="1" applyFill="1" applyBorder="1"/>
    <xf numFmtId="0" fontId="70" fillId="2" borderId="4" xfId="0" applyFont="1" applyFill="1" applyBorder="1"/>
    <xf numFmtId="0" fontId="70" fillId="2" borderId="1" xfId="0" applyFont="1" applyFill="1" applyBorder="1"/>
    <xf numFmtId="18" fontId="70" fillId="2" borderId="4" xfId="0" applyNumberFormat="1" applyFont="1" applyFill="1" applyBorder="1" applyAlignment="1">
      <alignment horizontal="left"/>
    </xf>
    <xf numFmtId="0" fontId="69" fillId="2" borderId="1" xfId="0" applyFont="1" applyFill="1" applyBorder="1"/>
    <xf numFmtId="0" fontId="68" fillId="2" borderId="1" xfId="0" applyFont="1" applyFill="1" applyBorder="1"/>
    <xf numFmtId="0" fontId="67" fillId="2" borderId="2" xfId="0" applyFont="1" applyFill="1" applyBorder="1"/>
    <xf numFmtId="0" fontId="67" fillId="2" borderId="4" xfId="0" applyFont="1" applyFill="1" applyBorder="1" applyAlignment="1">
      <alignment wrapText="1"/>
    </xf>
    <xf numFmtId="0" fontId="67" fillId="2" borderId="4" xfId="0" applyFont="1" applyFill="1" applyBorder="1"/>
    <xf numFmtId="0" fontId="67" fillId="2" borderId="1" xfId="0" applyFont="1" applyFill="1" applyBorder="1"/>
    <xf numFmtId="0" fontId="66" fillId="2" borderId="1" xfId="0" applyFont="1" applyFill="1" applyBorder="1"/>
    <xf numFmtId="0" fontId="65" fillId="2" borderId="1" xfId="0" applyFont="1" applyFill="1" applyBorder="1"/>
    <xf numFmtId="0" fontId="64" fillId="2" borderId="2" xfId="0" applyFont="1" applyFill="1" applyBorder="1"/>
    <xf numFmtId="0" fontId="64" fillId="2" borderId="4" xfId="0" applyFont="1" applyFill="1" applyBorder="1"/>
    <xf numFmtId="0" fontId="64" fillId="2" borderId="1" xfId="0" applyFont="1" applyFill="1" applyBorder="1"/>
    <xf numFmtId="0" fontId="63" fillId="2" borderId="2" xfId="0" applyFont="1" applyFill="1" applyBorder="1"/>
    <xf numFmtId="0" fontId="63" fillId="2" borderId="4" xfId="0" applyFont="1" applyFill="1" applyBorder="1"/>
    <xf numFmtId="0" fontId="63" fillId="2" borderId="1" xfId="0" applyFont="1" applyFill="1" applyBorder="1"/>
    <xf numFmtId="0" fontId="63" fillId="2" borderId="4" xfId="0" applyFont="1" applyFill="1" applyBorder="1" applyAlignment="1">
      <alignment horizontal="left"/>
    </xf>
    <xf numFmtId="0" fontId="62" fillId="2" borderId="2" xfId="0" applyFont="1" applyFill="1" applyBorder="1"/>
    <xf numFmtId="0" fontId="62" fillId="2" borderId="4" xfId="0" applyFont="1" applyFill="1" applyBorder="1"/>
    <xf numFmtId="0" fontId="62" fillId="2" borderId="1" xfId="0" applyFont="1" applyFill="1" applyBorder="1"/>
    <xf numFmtId="0" fontId="61" fillId="2" borderId="2" xfId="0" applyFont="1" applyFill="1" applyBorder="1"/>
    <xf numFmtId="0" fontId="61" fillId="2" borderId="4" xfId="0" applyFont="1" applyFill="1" applyBorder="1"/>
    <xf numFmtId="0" fontId="61" fillId="2" borderId="1" xfId="0" applyFont="1" applyFill="1" applyBorder="1"/>
    <xf numFmtId="0" fontId="60" fillId="2" borderId="1" xfId="0" applyFont="1" applyFill="1" applyBorder="1"/>
    <xf numFmtId="0" fontId="59" fillId="2" borderId="4" xfId="0" applyFont="1" applyFill="1" applyBorder="1"/>
    <xf numFmtId="0" fontId="59" fillId="2" borderId="2" xfId="0" applyFont="1" applyFill="1" applyBorder="1"/>
    <xf numFmtId="0" fontId="59" fillId="2" borderId="1" xfId="0" applyFont="1" applyFill="1" applyBorder="1"/>
    <xf numFmtId="0" fontId="58" fillId="2" borderId="2" xfId="0" applyFont="1" applyFill="1" applyBorder="1"/>
    <xf numFmtId="0" fontId="58" fillId="2" borderId="4" xfId="0" applyFont="1" applyFill="1" applyBorder="1"/>
    <xf numFmtId="0" fontId="58" fillId="2" borderId="1" xfId="0" applyFont="1" applyFill="1" applyBorder="1"/>
    <xf numFmtId="0" fontId="58" fillId="2" borderId="4" xfId="0" applyFont="1" applyFill="1" applyBorder="1" applyAlignment="1">
      <alignment horizontal="left"/>
    </xf>
    <xf numFmtId="0" fontId="57" fillId="2" borderId="1" xfId="0" applyFont="1" applyFill="1" applyBorder="1"/>
    <xf numFmtId="0" fontId="56" fillId="2" borderId="2" xfId="0" applyFont="1" applyFill="1" applyBorder="1"/>
    <xf numFmtId="0" fontId="56" fillId="2" borderId="4" xfId="0" applyFont="1" applyFill="1" applyBorder="1"/>
    <xf numFmtId="0" fontId="56" fillId="2" borderId="1" xfId="0" applyFont="1" applyFill="1" applyBorder="1"/>
    <xf numFmtId="0" fontId="56" fillId="2" borderId="4" xfId="0" applyFont="1" applyFill="1" applyBorder="1" applyAlignment="1">
      <alignment horizontal="left"/>
    </xf>
    <xf numFmtId="0" fontId="55" fillId="2" borderId="1" xfId="0" applyFont="1" applyFill="1" applyBorder="1"/>
    <xf numFmtId="0" fontId="54" fillId="2" borderId="1" xfId="0" applyFont="1" applyFill="1" applyBorder="1"/>
    <xf numFmtId="0" fontId="53" fillId="2" borderId="2" xfId="0" applyFont="1" applyFill="1" applyBorder="1"/>
    <xf numFmtId="0" fontId="53" fillId="2" borderId="4" xfId="0" applyFont="1" applyFill="1" applyBorder="1"/>
    <xf numFmtId="0" fontId="53" fillId="2" borderId="4" xfId="0" applyFont="1" applyFill="1" applyBorder="1" applyAlignment="1">
      <alignment horizontal="left"/>
    </xf>
    <xf numFmtId="0" fontId="53" fillId="2" borderId="1" xfId="0" applyFont="1" applyFill="1" applyBorder="1"/>
    <xf numFmtId="0" fontId="52" fillId="2" borderId="1" xfId="0" applyFont="1" applyFill="1" applyBorder="1"/>
    <xf numFmtId="0" fontId="51" fillId="2" borderId="1" xfId="0" applyFont="1" applyFill="1" applyBorder="1"/>
    <xf numFmtId="0" fontId="51" fillId="2" borderId="1" xfId="0" applyFont="1" applyFill="1" applyBorder="1" applyAlignment="1">
      <alignment horizontal="right"/>
    </xf>
    <xf numFmtId="0" fontId="50" fillId="2" borderId="2" xfId="0" applyFont="1" applyFill="1" applyBorder="1"/>
    <xf numFmtId="0" fontId="50" fillId="2" borderId="4" xfId="0" applyFont="1" applyFill="1" applyBorder="1"/>
    <xf numFmtId="0" fontId="50" fillId="2" borderId="1" xfId="0" applyFont="1" applyFill="1" applyBorder="1"/>
    <xf numFmtId="0" fontId="50" fillId="2" borderId="4" xfId="0" applyFont="1" applyFill="1" applyBorder="1" applyAlignment="1">
      <alignment horizontal="left"/>
    </xf>
    <xf numFmtId="0" fontId="49" fillId="2" borderId="4" xfId="0" applyFont="1" applyFill="1" applyBorder="1" applyAlignment="1">
      <alignment wrapText="1"/>
    </xf>
    <xf numFmtId="0" fontId="48" fillId="2" borderId="1" xfId="0" applyFont="1" applyFill="1" applyBorder="1"/>
    <xf numFmtId="0" fontId="47" fillId="2" borderId="2" xfId="0" applyFont="1" applyFill="1" applyBorder="1"/>
    <xf numFmtId="0" fontId="47" fillId="2" borderId="4" xfId="0" applyFont="1" applyFill="1" applyBorder="1"/>
    <xf numFmtId="0" fontId="47" fillId="2" borderId="1" xfId="0" applyFont="1" applyFill="1" applyBorder="1"/>
    <xf numFmtId="0" fontId="47" fillId="2" borderId="4" xfId="0" applyFont="1" applyFill="1" applyBorder="1" applyAlignment="1">
      <alignment horizontal="left"/>
    </xf>
    <xf numFmtId="0" fontId="46" fillId="2" borderId="4" xfId="0" applyFont="1" applyFill="1" applyBorder="1"/>
    <xf numFmtId="0" fontId="46" fillId="2" borderId="2" xfId="0" applyFont="1" applyFill="1" applyBorder="1"/>
    <xf numFmtId="0" fontId="46" fillId="2" borderId="1" xfId="0" applyFont="1" applyFill="1" applyBorder="1"/>
    <xf numFmtId="0" fontId="45" fillId="2" borderId="4" xfId="0" applyFont="1" applyFill="1" applyBorder="1"/>
    <xf numFmtId="0" fontId="45" fillId="2" borderId="1" xfId="0" applyFont="1" applyFill="1" applyBorder="1"/>
    <xf numFmtId="0" fontId="45" fillId="2" borderId="1" xfId="0" applyFont="1" applyFill="1" applyBorder="1" applyAlignment="1">
      <alignment horizontal="left"/>
    </xf>
    <xf numFmtId="0" fontId="44" fillId="2" borderId="1" xfId="0" applyFont="1" applyFill="1" applyBorder="1"/>
    <xf numFmtId="0" fontId="43" fillId="2" borderId="2" xfId="0" applyFont="1" applyFill="1" applyBorder="1"/>
    <xf numFmtId="0" fontId="43" fillId="2" borderId="4" xfId="0" applyFont="1" applyFill="1" applyBorder="1"/>
    <xf numFmtId="0" fontId="43" fillId="2" borderId="1" xfId="0" applyFont="1" applyFill="1" applyBorder="1"/>
    <xf numFmtId="0" fontId="43" fillId="2" borderId="4" xfId="0" applyFont="1" applyFill="1" applyBorder="1" applyAlignment="1">
      <alignment horizontal="left"/>
    </xf>
    <xf numFmtId="0" fontId="42" fillId="2" borderId="2" xfId="0" applyFont="1" applyFill="1" applyBorder="1"/>
    <xf numFmtId="0" fontId="42" fillId="2" borderId="4" xfId="0" applyFont="1" applyFill="1" applyBorder="1"/>
    <xf numFmtId="0" fontId="42" fillId="2" borderId="1" xfId="0" applyFont="1" applyFill="1" applyBorder="1"/>
    <xf numFmtId="0" fontId="41" fillId="2" borderId="2" xfId="0" applyFont="1" applyFill="1" applyBorder="1"/>
    <xf numFmtId="0" fontId="41" fillId="2" borderId="4" xfId="0" applyFont="1" applyFill="1" applyBorder="1"/>
    <xf numFmtId="0" fontId="41" fillId="2" borderId="1" xfId="0" applyFont="1" applyFill="1" applyBorder="1"/>
    <xf numFmtId="0" fontId="40" fillId="2" borderId="1" xfId="0" applyFont="1" applyFill="1" applyBorder="1"/>
    <xf numFmtId="0" fontId="39" fillId="2" borderId="2" xfId="0" applyFont="1" applyFill="1" applyBorder="1"/>
    <xf numFmtId="0" fontId="38" fillId="2" borderId="1" xfId="0" applyFont="1" applyFill="1" applyBorder="1"/>
    <xf numFmtId="0" fontId="37" fillId="2" borderId="1" xfId="0" applyFont="1" applyFill="1" applyBorder="1"/>
    <xf numFmtId="0" fontId="36" fillId="2" borderId="1" xfId="0" applyFont="1" applyFill="1" applyBorder="1"/>
    <xf numFmtId="0" fontId="35" fillId="2" borderId="2" xfId="0" applyFont="1" applyFill="1" applyBorder="1"/>
    <xf numFmtId="0" fontId="35" fillId="2" borderId="4" xfId="0" applyFont="1" applyFill="1" applyBorder="1"/>
    <xf numFmtId="0" fontId="35" fillId="2" borderId="1" xfId="0" applyFont="1" applyFill="1" applyBorder="1"/>
    <xf numFmtId="0" fontId="35" fillId="2" borderId="4" xfId="0" applyFont="1" applyFill="1" applyBorder="1" applyAlignment="1">
      <alignment horizontal="left"/>
    </xf>
    <xf numFmtId="0" fontId="34" fillId="2" borderId="1" xfId="0" applyFont="1" applyFill="1" applyBorder="1"/>
    <xf numFmtId="0" fontId="33" fillId="2" borderId="2" xfId="0" applyFont="1" applyFill="1" applyBorder="1"/>
    <xf numFmtId="0" fontId="33" fillId="2" borderId="4" xfId="0" applyFont="1" applyFill="1" applyBorder="1"/>
    <xf numFmtId="0" fontId="33" fillId="2" borderId="1" xfId="0" applyFont="1" applyFill="1" applyBorder="1"/>
    <xf numFmtId="0" fontId="32" fillId="2" borderId="2" xfId="0" applyFont="1" applyFill="1" applyBorder="1"/>
    <xf numFmtId="0" fontId="32" fillId="2" borderId="4" xfId="0" applyFont="1" applyFill="1" applyBorder="1"/>
    <xf numFmtId="0" fontId="32" fillId="2" borderId="1" xfId="0" applyFont="1" applyFill="1" applyBorder="1"/>
    <xf numFmtId="18" fontId="33" fillId="2" borderId="4" xfId="0" applyNumberFormat="1" applyFont="1" applyFill="1" applyBorder="1" applyAlignment="1">
      <alignment horizontal="left"/>
    </xf>
    <xf numFmtId="0" fontId="31" fillId="2" borderId="4" xfId="0" applyFont="1" applyFill="1" applyBorder="1"/>
    <xf numFmtId="0" fontId="31" fillId="2" borderId="2" xfId="0" applyFont="1" applyFill="1" applyBorder="1"/>
    <xf numFmtId="14" fontId="33" fillId="2" borderId="4" xfId="0" applyNumberFormat="1" applyFont="1" applyFill="1" applyBorder="1" applyAlignment="1">
      <alignment horizontal="left"/>
    </xf>
    <xf numFmtId="18" fontId="45" fillId="2" borderId="4" xfId="0" applyNumberFormat="1" applyFont="1" applyFill="1" applyBorder="1" applyAlignment="1">
      <alignment horizontal="left"/>
    </xf>
    <xf numFmtId="0" fontId="30" fillId="2" borderId="1" xfId="0" applyFont="1" applyFill="1" applyBorder="1"/>
    <xf numFmtId="0" fontId="446" fillId="0" borderId="0" xfId="0" applyFont="1" applyAlignment="1">
      <alignment horizontal="left" vertical="center" wrapText="1" indent="1"/>
    </xf>
    <xf numFmtId="0" fontId="30" fillId="2" borderId="4" xfId="0" applyFont="1" applyFill="1" applyBorder="1"/>
    <xf numFmtId="0" fontId="30" fillId="2" borderId="2" xfId="0" applyFont="1" applyFill="1" applyBorder="1"/>
    <xf numFmtId="0" fontId="29" fillId="2" borderId="1" xfId="0" applyFont="1" applyFill="1" applyBorder="1"/>
    <xf numFmtId="0" fontId="28" fillId="2" borderId="2" xfId="0" applyFont="1" applyFill="1" applyBorder="1"/>
    <xf numFmtId="0" fontId="28" fillId="2" borderId="1" xfId="0" applyFont="1" applyFill="1" applyBorder="1"/>
    <xf numFmtId="0" fontId="28" fillId="2" borderId="4" xfId="0" applyFont="1" applyFill="1" applyBorder="1" applyAlignment="1">
      <alignment horizontal="left"/>
    </xf>
    <xf numFmtId="0" fontId="27" fillId="2" borderId="2" xfId="0" applyFont="1" applyFill="1" applyBorder="1"/>
    <xf numFmtId="0" fontId="448" fillId="0" borderId="0" xfId="0" applyFont="1" applyAlignment="1">
      <alignment horizontal="left" vertical="center" wrapText="1" indent="1"/>
    </xf>
    <xf numFmtId="0" fontId="27" fillId="2" borderId="1" xfId="0" applyFont="1" applyFill="1" applyBorder="1"/>
    <xf numFmtId="0" fontId="26" fillId="2" borderId="2" xfId="0" applyFont="1" applyFill="1" applyBorder="1"/>
    <xf numFmtId="0" fontId="26" fillId="2" borderId="4" xfId="0" applyFont="1" applyFill="1" applyBorder="1"/>
    <xf numFmtId="0" fontId="26" fillId="2" borderId="1" xfId="0" applyFont="1" applyFill="1" applyBorder="1"/>
    <xf numFmtId="0" fontId="25" fillId="2" borderId="1" xfId="0" applyFont="1" applyFill="1" applyBorder="1"/>
    <xf numFmtId="0" fontId="25" fillId="2" borderId="2" xfId="0" applyFont="1" applyFill="1" applyBorder="1"/>
    <xf numFmtId="0" fontId="25" fillId="2" borderId="4" xfId="0" applyFont="1" applyFill="1" applyBorder="1"/>
    <xf numFmtId="0" fontId="25" fillId="2" borderId="1" xfId="0" applyFont="1" applyFill="1" applyBorder="1" applyAlignment="1">
      <alignment horizontal="left"/>
    </xf>
    <xf numFmtId="14" fontId="25" fillId="2" borderId="4" xfId="0" applyNumberFormat="1" applyFont="1" applyFill="1" applyBorder="1" applyAlignment="1">
      <alignment horizontal="left"/>
    </xf>
    <xf numFmtId="18" fontId="25" fillId="2" borderId="4" xfId="0" applyNumberFormat="1" applyFont="1" applyFill="1" applyBorder="1" applyAlignment="1">
      <alignment horizontal="left"/>
    </xf>
    <xf numFmtId="0" fontId="25" fillId="2" borderId="0" xfId="0" applyFont="1" applyFill="1"/>
    <xf numFmtId="0" fontId="25" fillId="0" borderId="0" xfId="0" applyFont="1"/>
    <xf numFmtId="0" fontId="24" fillId="2" borderId="2" xfId="0" applyFont="1" applyFill="1" applyBorder="1"/>
    <xf numFmtId="0" fontId="24" fillId="2" borderId="4" xfId="0" applyFont="1" applyFill="1" applyBorder="1" applyAlignment="1">
      <alignment wrapText="1"/>
    </xf>
    <xf numFmtId="0" fontId="24" fillId="2" borderId="4" xfId="0" applyFont="1" applyFill="1" applyBorder="1"/>
    <xf numFmtId="0" fontId="24" fillId="2" borderId="1" xfId="0" applyFont="1" applyFill="1" applyBorder="1"/>
    <xf numFmtId="0" fontId="24" fillId="2" borderId="4" xfId="0" applyFont="1" applyFill="1" applyBorder="1" applyAlignment="1">
      <alignment horizontal="left"/>
    </xf>
    <xf numFmtId="0" fontId="23" fillId="2" borderId="2" xfId="0" applyFont="1" applyFill="1" applyBorder="1"/>
    <xf numFmtId="0" fontId="23" fillId="2" borderId="4" xfId="0" applyFont="1" applyFill="1" applyBorder="1"/>
    <xf numFmtId="0" fontId="23" fillId="2" borderId="1" xfId="0" applyFont="1" applyFill="1" applyBorder="1"/>
    <xf numFmtId="0" fontId="23" fillId="2" borderId="4" xfId="0" applyFont="1" applyFill="1" applyBorder="1" applyAlignment="1">
      <alignment horizontal="left"/>
    </xf>
    <xf numFmtId="0" fontId="22" fillId="2" borderId="2" xfId="0" applyFont="1" applyFill="1" applyBorder="1"/>
    <xf numFmtId="0" fontId="22" fillId="2" borderId="1" xfId="0" applyFont="1" applyFill="1" applyBorder="1"/>
    <xf numFmtId="0" fontId="22" fillId="2" borderId="4" xfId="0" applyFont="1" applyFill="1" applyBorder="1"/>
    <xf numFmtId="0" fontId="22" fillId="2" borderId="4" xfId="0" applyFont="1" applyFill="1" applyBorder="1" applyAlignment="1">
      <alignment horizontal="left"/>
    </xf>
    <xf numFmtId="0" fontId="21" fillId="2" borderId="1" xfId="0" applyFont="1" applyFill="1" applyBorder="1"/>
    <xf numFmtId="0" fontId="20" fillId="2" borderId="2" xfId="0" applyFont="1" applyFill="1" applyBorder="1"/>
    <xf numFmtId="0" fontId="20" fillId="2" borderId="4" xfId="0" applyFont="1" applyFill="1" applyBorder="1"/>
    <xf numFmtId="0" fontId="20" fillId="2" borderId="1" xfId="0" applyFont="1" applyFill="1" applyBorder="1"/>
    <xf numFmtId="18" fontId="20" fillId="2" borderId="4" xfId="0" applyNumberFormat="1" applyFont="1" applyFill="1" applyBorder="1" applyAlignment="1">
      <alignment horizontal="left"/>
    </xf>
    <xf numFmtId="0" fontId="19" fillId="2" borderId="2" xfId="0" applyFont="1" applyFill="1" applyBorder="1"/>
    <xf numFmtId="0" fontId="19" fillId="2" borderId="4" xfId="0" applyFont="1" applyFill="1" applyBorder="1"/>
    <xf numFmtId="0" fontId="19" fillId="2" borderId="1" xfId="0" applyFont="1" applyFill="1" applyBorder="1"/>
    <xf numFmtId="0" fontId="18" fillId="2" borderId="1" xfId="0" applyFont="1" applyFill="1" applyBorder="1"/>
    <xf numFmtId="0" fontId="18" fillId="2" borderId="4" xfId="0" applyFont="1" applyFill="1" applyBorder="1"/>
    <xf numFmtId="0" fontId="17" fillId="2" borderId="2" xfId="0" applyFont="1" applyFill="1" applyBorder="1"/>
    <xf numFmtId="0" fontId="17" fillId="2" borderId="4" xfId="0" applyFont="1" applyFill="1" applyBorder="1"/>
    <xf numFmtId="0" fontId="17" fillId="2" borderId="1" xfId="0" applyFont="1" applyFill="1" applyBorder="1"/>
    <xf numFmtId="0" fontId="16" fillId="2" borderId="2" xfId="0" applyFont="1" applyFill="1" applyBorder="1"/>
    <xf numFmtId="0" fontId="16" fillId="2" borderId="4" xfId="0" applyFont="1" applyFill="1" applyBorder="1"/>
    <xf numFmtId="0" fontId="16" fillId="2" borderId="1" xfId="0" applyFont="1" applyFill="1" applyBorder="1" applyAlignment="1">
      <alignment wrapText="1"/>
    </xf>
    <xf numFmtId="0" fontId="16" fillId="2" borderId="1" xfId="0" applyFont="1" applyFill="1" applyBorder="1"/>
    <xf numFmtId="0" fontId="16" fillId="2" borderId="4" xfId="0" applyFont="1" applyFill="1" applyBorder="1" applyAlignment="1">
      <alignment horizontal="left"/>
    </xf>
    <xf numFmtId="0" fontId="15" fillId="2" borderId="4" xfId="0" applyFont="1" applyFill="1" applyBorder="1"/>
    <xf numFmtId="0" fontId="14" fillId="2" borderId="2" xfId="0" applyFont="1" applyFill="1" applyBorder="1"/>
    <xf numFmtId="0" fontId="14" fillId="2" borderId="4" xfId="0" applyFont="1" applyFill="1" applyBorder="1"/>
    <xf numFmtId="0" fontId="14" fillId="2" borderId="1" xfId="0" applyFont="1" applyFill="1" applyBorder="1"/>
    <xf numFmtId="0" fontId="13" fillId="2" borderId="2" xfId="0" applyFont="1" applyFill="1" applyBorder="1"/>
    <xf numFmtId="0" fontId="13" fillId="2" borderId="4" xfId="0" applyFont="1" applyFill="1" applyBorder="1"/>
    <xf numFmtId="0" fontId="13" fillId="2" borderId="4" xfId="0" applyFont="1" applyFill="1" applyBorder="1" applyAlignment="1">
      <alignment horizontal="left"/>
    </xf>
    <xf numFmtId="0" fontId="13" fillId="2" borderId="1" xfId="0" applyFont="1" applyFill="1" applyBorder="1"/>
    <xf numFmtId="0" fontId="12" fillId="2" borderId="2" xfId="0" applyFont="1" applyFill="1" applyBorder="1"/>
    <xf numFmtId="0" fontId="12" fillId="2" borderId="4" xfId="0" applyFont="1" applyFill="1" applyBorder="1"/>
    <xf numFmtId="0" fontId="12" fillId="2" borderId="1" xfId="0" applyFont="1" applyFill="1" applyBorder="1"/>
    <xf numFmtId="0" fontId="11" fillId="2" borderId="2" xfId="0" applyFont="1" applyFill="1" applyBorder="1"/>
    <xf numFmtId="0" fontId="11" fillId="2" borderId="4" xfId="0" applyFont="1" applyFill="1" applyBorder="1"/>
    <xf numFmtId="0" fontId="11" fillId="2" borderId="1" xfId="0" applyFont="1" applyFill="1" applyBorder="1"/>
    <xf numFmtId="0" fontId="10" fillId="2" borderId="2" xfId="0" applyFont="1" applyFill="1" applyBorder="1"/>
    <xf numFmtId="0" fontId="10" fillId="2" borderId="4" xfId="0" applyFont="1" applyFill="1" applyBorder="1"/>
    <xf numFmtId="0" fontId="10" fillId="2" borderId="1" xfId="0" applyFont="1" applyFill="1" applyBorder="1"/>
    <xf numFmtId="0" fontId="9" fillId="2" borderId="2" xfId="0" applyFont="1" applyFill="1" applyBorder="1"/>
    <xf numFmtId="0" fontId="9" fillId="2" borderId="4" xfId="0" applyFont="1" applyFill="1" applyBorder="1"/>
    <xf numFmtId="0" fontId="9" fillId="2" borderId="1" xfId="0" applyFont="1" applyFill="1" applyBorder="1"/>
    <xf numFmtId="0" fontId="8" fillId="2" borderId="1" xfId="0" applyFont="1" applyFill="1" applyBorder="1"/>
    <xf numFmtId="0" fontId="8" fillId="2" borderId="4" xfId="0" applyFont="1" applyFill="1" applyBorder="1"/>
    <xf numFmtId="0" fontId="7" fillId="2" borderId="4" xfId="0" applyFont="1" applyFill="1" applyBorder="1"/>
    <xf numFmtId="0" fontId="445" fillId="2" borderId="1" xfId="0" applyFont="1" applyFill="1" applyBorder="1" applyAlignment="1">
      <alignment wrapText="1"/>
    </xf>
    <xf numFmtId="3" fontId="445" fillId="2" borderId="1" xfId="0" applyNumberFormat="1" applyFont="1" applyFill="1" applyBorder="1"/>
    <xf numFmtId="0" fontId="6" fillId="2" borderId="4" xfId="0" applyFont="1" applyFill="1" applyBorder="1"/>
    <xf numFmtId="0" fontId="5" fillId="2" borderId="1" xfId="0" applyFont="1" applyFill="1" applyBorder="1"/>
    <xf numFmtId="0" fontId="4" fillId="2" borderId="2" xfId="0" applyFont="1" applyFill="1" applyBorder="1"/>
    <xf numFmtId="0" fontId="4" fillId="2" borderId="4" xfId="0" applyFont="1" applyFill="1" applyBorder="1"/>
    <xf numFmtId="0" fontId="4" fillId="2" borderId="1" xfId="0" applyFont="1" applyFill="1" applyBorder="1"/>
    <xf numFmtId="0" fontId="3" fillId="2" borderId="1" xfId="0" applyFont="1" applyFill="1" applyBorder="1"/>
    <xf numFmtId="0" fontId="2" fillId="2" borderId="2" xfId="0" applyFont="1" applyFill="1" applyBorder="1"/>
    <xf numFmtId="0" fontId="2" fillId="2" borderId="4" xfId="0" applyFont="1" applyFill="1" applyBorder="1"/>
    <xf numFmtId="0" fontId="2" fillId="2" borderId="1" xfId="0" applyFont="1" applyFill="1" applyBorder="1"/>
    <xf numFmtId="18" fontId="2" fillId="2" borderId="4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377"/>
  <sheetViews>
    <sheetView tabSelected="1" zoomScale="107" zoomScaleNormal="107" workbookViewId="0">
      <pane xSplit="2" ySplit="1" topLeftCell="G410" activePane="bottomRight" state="frozen"/>
      <selection pane="topRight" activeCell="C1" sqref="C1"/>
      <selection pane="bottomLeft" activeCell="A2" sqref="A2"/>
      <selection pane="bottomRight" activeCell="C416" sqref="C416"/>
    </sheetView>
  </sheetViews>
  <sheetFormatPr defaultColWidth="9" defaultRowHeight="14.4"/>
  <cols>
    <col min="1" max="1" width="5.88671875" style="18" customWidth="1"/>
    <col min="2" max="2" width="19.6640625" style="20" customWidth="1"/>
    <col min="3" max="3" width="32" style="8" customWidth="1"/>
    <col min="4" max="4" width="9.109375" style="8" customWidth="1"/>
    <col min="5" max="5" width="23.5546875" style="18" customWidth="1"/>
    <col min="6" max="6" width="14.44140625" style="19" customWidth="1"/>
    <col min="7" max="7" width="19.33203125" style="18" customWidth="1"/>
    <col min="8" max="8" width="10.5546875" style="18" customWidth="1"/>
    <col min="9" max="9" width="24.109375" style="8" customWidth="1"/>
    <col min="10" max="10" width="10.88671875" style="18" customWidth="1"/>
    <col min="11" max="11" width="9.6640625" style="18" customWidth="1"/>
    <col min="12" max="12" width="11.5546875" style="14" customWidth="1"/>
    <col min="13" max="13" width="9.5546875" style="14" customWidth="1"/>
    <col min="14" max="14" width="17.88671875" style="20" customWidth="1"/>
    <col min="15" max="15" width="17" style="18" customWidth="1"/>
    <col min="16" max="16" width="5.5546875" style="18" customWidth="1"/>
    <col min="17" max="17" width="11.109375" style="8" customWidth="1"/>
    <col min="18" max="18" width="6.88671875" style="8" customWidth="1"/>
    <col min="19" max="19" width="12.109375" style="8" customWidth="1"/>
    <col min="20" max="20" width="9.6640625" style="18" customWidth="1"/>
    <col min="21" max="21" width="8.6640625" style="8" customWidth="1"/>
    <col min="22" max="22" width="12.88671875" style="8" customWidth="1"/>
    <col min="23" max="23" width="8.109375" style="8" customWidth="1"/>
    <col min="24" max="24" width="9.6640625" style="18" customWidth="1"/>
    <col min="25" max="25" width="16.109375" style="1" customWidth="1"/>
    <col min="26" max="26" width="10.88671875" style="1" customWidth="1"/>
    <col min="27" max="27" width="13.5546875" style="3" customWidth="1"/>
    <col min="28" max="58" width="9" style="3"/>
  </cols>
  <sheetData>
    <row r="1" spans="1:27" ht="24.6" customHeight="1">
      <c r="A1" s="255" t="s">
        <v>358</v>
      </c>
      <c r="B1" s="256" t="s">
        <v>27</v>
      </c>
      <c r="C1" s="257" t="s">
        <v>10</v>
      </c>
      <c r="D1" s="257" t="s">
        <v>1032</v>
      </c>
      <c r="E1" s="258" t="s">
        <v>0</v>
      </c>
      <c r="F1" s="259" t="s">
        <v>9</v>
      </c>
      <c r="G1" s="255" t="s">
        <v>1033</v>
      </c>
      <c r="H1" s="255" t="s">
        <v>1034</v>
      </c>
      <c r="I1" s="257" t="s">
        <v>29</v>
      </c>
      <c r="J1" s="255" t="s">
        <v>32</v>
      </c>
      <c r="K1" s="255" t="s">
        <v>31</v>
      </c>
      <c r="L1" s="486" t="s">
        <v>28</v>
      </c>
      <c r="M1" s="260" t="s">
        <v>30</v>
      </c>
      <c r="N1" s="256" t="s">
        <v>13</v>
      </c>
      <c r="O1" s="255" t="s">
        <v>145</v>
      </c>
      <c r="P1" s="255" t="s">
        <v>14</v>
      </c>
      <c r="Q1" s="257" t="s">
        <v>878</v>
      </c>
      <c r="R1" s="257" t="s">
        <v>868</v>
      </c>
      <c r="S1" s="255" t="s">
        <v>126</v>
      </c>
      <c r="T1" s="255" t="s">
        <v>869</v>
      </c>
      <c r="U1" s="255" t="s">
        <v>14</v>
      </c>
      <c r="V1" s="257" t="s">
        <v>878</v>
      </c>
      <c r="W1" s="257" t="s">
        <v>868</v>
      </c>
      <c r="X1" s="255" t="s">
        <v>870</v>
      </c>
      <c r="Y1" s="280" t="s">
        <v>439</v>
      </c>
      <c r="Z1" s="11"/>
      <c r="AA1" s="12"/>
    </row>
    <row r="2" spans="1:27" s="3" customFormat="1" ht="19.95" customHeight="1">
      <c r="A2" s="18">
        <v>11</v>
      </c>
      <c r="B2" s="31" t="s">
        <v>23</v>
      </c>
      <c r="C2" s="374" t="s">
        <v>509</v>
      </c>
      <c r="D2" s="374"/>
      <c r="E2" s="34" t="s">
        <v>11</v>
      </c>
      <c r="F2" s="19">
        <v>7400190049</v>
      </c>
      <c r="G2" s="29" t="s">
        <v>42</v>
      </c>
      <c r="H2" s="41" t="s">
        <v>69</v>
      </c>
      <c r="I2" s="982" t="s">
        <v>69</v>
      </c>
      <c r="J2" s="21" t="s">
        <v>12</v>
      </c>
      <c r="K2" s="18">
        <v>1100</v>
      </c>
      <c r="L2" s="43">
        <v>45994</v>
      </c>
      <c r="M2" s="44" t="s">
        <v>45</v>
      </c>
      <c r="N2" s="25" t="s">
        <v>231</v>
      </c>
      <c r="O2" s="45" t="s">
        <v>148</v>
      </c>
      <c r="P2" s="39" t="s">
        <v>116</v>
      </c>
      <c r="Q2" s="109"/>
      <c r="R2" s="109"/>
      <c r="S2" s="109">
        <f>K2-R2</f>
        <v>1100</v>
      </c>
      <c r="T2" s="40" t="s">
        <v>153</v>
      </c>
      <c r="U2" s="709"/>
      <c r="V2" s="709"/>
      <c r="W2" s="109"/>
      <c r="X2" s="40">
        <f>S2-W2</f>
        <v>1100</v>
      </c>
      <c r="Y2" s="1"/>
      <c r="Z2" s="1"/>
    </row>
    <row r="3" spans="1:27" s="3" customFormat="1" ht="19.95" customHeight="1">
      <c r="A3" s="18">
        <v>12</v>
      </c>
      <c r="B3" s="31" t="s">
        <v>24</v>
      </c>
      <c r="C3" s="374" t="s">
        <v>510</v>
      </c>
      <c r="D3" s="374"/>
      <c r="E3" s="34" t="s">
        <v>25</v>
      </c>
      <c r="F3" s="19">
        <v>7208502203</v>
      </c>
      <c r="G3" s="41" t="s">
        <v>66</v>
      </c>
      <c r="H3" s="41" t="s">
        <v>67</v>
      </c>
      <c r="I3" s="42" t="s">
        <v>68</v>
      </c>
      <c r="J3" s="21" t="s">
        <v>12</v>
      </c>
      <c r="K3" s="18">
        <v>2500</v>
      </c>
      <c r="L3" s="43">
        <v>45994</v>
      </c>
      <c r="M3" s="46">
        <v>0.70833333333333337</v>
      </c>
      <c r="N3" s="30" t="s">
        <v>135</v>
      </c>
      <c r="O3" s="15" t="s">
        <v>35</v>
      </c>
      <c r="P3" s="9" t="s">
        <v>19</v>
      </c>
      <c r="Q3" s="9"/>
      <c r="R3" s="9"/>
      <c r="S3" s="109">
        <f t="shared" ref="S3:S66" si="0">K3-R3</f>
        <v>2500</v>
      </c>
      <c r="T3" s="18"/>
      <c r="U3" s="8"/>
      <c r="V3" s="8"/>
      <c r="W3" s="109"/>
      <c r="X3" s="40">
        <f t="shared" ref="X3:X66" si="1">S3-W3</f>
        <v>2500</v>
      </c>
      <c r="Y3" s="1"/>
      <c r="Z3" s="1"/>
    </row>
    <row r="4" spans="1:27" s="3" customFormat="1" ht="19.95" customHeight="1">
      <c r="A4" s="18">
        <v>13</v>
      </c>
      <c r="B4" s="31" t="s">
        <v>26</v>
      </c>
      <c r="C4" s="374" t="s">
        <v>511</v>
      </c>
      <c r="D4" s="374"/>
      <c r="E4" s="34" t="s">
        <v>17</v>
      </c>
      <c r="F4" s="19">
        <v>8898647412</v>
      </c>
      <c r="G4" s="37" t="s">
        <v>322</v>
      </c>
      <c r="H4" s="41" t="s">
        <v>65</v>
      </c>
      <c r="I4" s="42" t="s">
        <v>34</v>
      </c>
      <c r="J4" s="21" t="s">
        <v>12</v>
      </c>
      <c r="K4" s="18">
        <v>1200</v>
      </c>
      <c r="L4" s="43">
        <v>45995</v>
      </c>
      <c r="M4" s="44" t="s">
        <v>45</v>
      </c>
      <c r="N4" s="27" t="s">
        <v>108</v>
      </c>
      <c r="O4" s="18"/>
      <c r="P4" s="39" t="s">
        <v>116</v>
      </c>
      <c r="Q4" s="109"/>
      <c r="R4" s="109"/>
      <c r="S4" s="109">
        <f t="shared" si="0"/>
        <v>1200</v>
      </c>
      <c r="T4" s="40" t="s">
        <v>153</v>
      </c>
      <c r="U4" s="709"/>
      <c r="V4" s="709"/>
      <c r="W4" s="109"/>
      <c r="X4" s="40">
        <f t="shared" si="1"/>
        <v>1200</v>
      </c>
      <c r="Y4" s="1"/>
      <c r="Z4" s="1"/>
    </row>
    <row r="5" spans="1:27" s="3" customFormat="1" ht="19.95" customHeight="1">
      <c r="A5" s="18">
        <v>14</v>
      </c>
      <c r="B5" s="47" t="s">
        <v>64</v>
      </c>
      <c r="C5" s="374" t="s">
        <v>512</v>
      </c>
      <c r="D5" s="374"/>
      <c r="E5" s="29" t="s">
        <v>64</v>
      </c>
      <c r="F5" s="19">
        <v>9028620349</v>
      </c>
      <c r="G5" s="5" t="s">
        <v>38</v>
      </c>
      <c r="H5" s="29" t="s">
        <v>61</v>
      </c>
      <c r="I5" s="36" t="s">
        <v>34</v>
      </c>
      <c r="J5" s="21" t="s">
        <v>12</v>
      </c>
      <c r="K5" s="18">
        <v>900</v>
      </c>
      <c r="L5" s="43">
        <v>45997</v>
      </c>
      <c r="M5" s="46">
        <v>0.58333333333333337</v>
      </c>
      <c r="N5" s="27" t="s">
        <v>108</v>
      </c>
      <c r="O5" s="15" t="s">
        <v>35</v>
      </c>
      <c r="P5" s="9" t="s">
        <v>19</v>
      </c>
      <c r="Q5" s="9"/>
      <c r="R5" s="9"/>
      <c r="S5" s="109">
        <f t="shared" si="0"/>
        <v>900</v>
      </c>
      <c r="T5" s="18"/>
      <c r="U5" s="8"/>
      <c r="V5" s="8"/>
      <c r="W5" s="109"/>
      <c r="X5" s="40">
        <f t="shared" si="1"/>
        <v>900</v>
      </c>
      <c r="Y5" s="1"/>
      <c r="Z5" s="1"/>
    </row>
    <row r="6" spans="1:27" s="3" customFormat="1" ht="19.95" customHeight="1">
      <c r="A6" s="18">
        <v>15</v>
      </c>
      <c r="B6" s="47" t="s">
        <v>62</v>
      </c>
      <c r="C6" s="374" t="s">
        <v>513</v>
      </c>
      <c r="D6" s="374"/>
      <c r="E6" s="29" t="s">
        <v>62</v>
      </c>
      <c r="F6" s="49" t="s">
        <v>63</v>
      </c>
      <c r="G6" s="5" t="s">
        <v>38</v>
      </c>
      <c r="H6" s="24" t="s">
        <v>39</v>
      </c>
      <c r="I6" s="22" t="s">
        <v>34</v>
      </c>
      <c r="J6" s="21" t="s">
        <v>12</v>
      </c>
      <c r="K6" s="18">
        <v>900</v>
      </c>
      <c r="L6" s="43">
        <v>46004</v>
      </c>
      <c r="M6" s="50">
        <v>0.58333333333333337</v>
      </c>
      <c r="N6" s="20"/>
      <c r="O6" s="15" t="s">
        <v>35</v>
      </c>
      <c r="P6" s="9" t="s">
        <v>19</v>
      </c>
      <c r="Q6" s="9"/>
      <c r="R6" s="9"/>
      <c r="S6" s="109">
        <f t="shared" si="0"/>
        <v>900</v>
      </c>
      <c r="T6" s="18"/>
      <c r="U6" s="8"/>
      <c r="V6" s="8"/>
      <c r="W6" s="109"/>
      <c r="X6" s="40">
        <f t="shared" si="1"/>
        <v>900</v>
      </c>
      <c r="Y6" s="1"/>
      <c r="Z6" s="1"/>
    </row>
    <row r="7" spans="1:27" s="3" customFormat="1" ht="19.95" customHeight="1">
      <c r="A7" s="18">
        <v>16</v>
      </c>
      <c r="B7" s="47" t="s">
        <v>60</v>
      </c>
      <c r="C7" s="374" t="s">
        <v>514</v>
      </c>
      <c r="D7" s="374"/>
      <c r="E7" s="29" t="s">
        <v>60</v>
      </c>
      <c r="F7" s="19">
        <v>9160915012</v>
      </c>
      <c r="G7" s="5" t="s">
        <v>38</v>
      </c>
      <c r="H7" s="29" t="s">
        <v>61</v>
      </c>
      <c r="I7" s="36" t="s">
        <v>34</v>
      </c>
      <c r="J7" s="21" t="s">
        <v>12</v>
      </c>
      <c r="K7" s="29" t="s">
        <v>16</v>
      </c>
      <c r="L7" s="43">
        <v>45997</v>
      </c>
      <c r="M7" s="46">
        <v>0.75</v>
      </c>
      <c r="N7" s="30" t="s">
        <v>135</v>
      </c>
      <c r="O7" s="15" t="s">
        <v>198</v>
      </c>
      <c r="P7" s="39" t="s">
        <v>16</v>
      </c>
      <c r="Q7" s="109"/>
      <c r="R7" s="109"/>
      <c r="S7" s="109" t="e">
        <f t="shared" si="0"/>
        <v>#VALUE!</v>
      </c>
      <c r="T7" s="18"/>
      <c r="U7" s="8"/>
      <c r="V7" s="8"/>
      <c r="W7" s="109"/>
      <c r="X7" s="40" t="e">
        <f t="shared" si="1"/>
        <v>#VALUE!</v>
      </c>
      <c r="Y7" s="1"/>
      <c r="Z7" s="1"/>
    </row>
    <row r="8" spans="1:27" s="3" customFormat="1" ht="19.95" customHeight="1">
      <c r="A8" s="18">
        <v>17</v>
      </c>
      <c r="B8" s="51" t="s">
        <v>156</v>
      </c>
      <c r="C8" s="48" t="s">
        <v>59</v>
      </c>
      <c r="D8" s="48"/>
      <c r="E8" s="18"/>
      <c r="F8" s="19"/>
      <c r="G8" s="5" t="s">
        <v>38</v>
      </c>
      <c r="H8" s="24" t="s">
        <v>39</v>
      </c>
      <c r="I8" s="22" t="s">
        <v>34</v>
      </c>
      <c r="J8" s="21" t="s">
        <v>12</v>
      </c>
      <c r="K8" s="18">
        <v>1100</v>
      </c>
      <c r="L8" s="43">
        <v>45997</v>
      </c>
      <c r="M8" s="46">
        <v>0.54166666666666663</v>
      </c>
      <c r="N8" s="30" t="s">
        <v>135</v>
      </c>
      <c r="O8" s="15" t="s">
        <v>197</v>
      </c>
      <c r="P8" s="9" t="s">
        <v>19</v>
      </c>
      <c r="Q8" s="9"/>
      <c r="R8" s="9"/>
      <c r="S8" s="109">
        <f t="shared" si="0"/>
        <v>1100</v>
      </c>
      <c r="T8" s="18"/>
      <c r="U8" s="8"/>
      <c r="V8" s="8"/>
      <c r="W8" s="109"/>
      <c r="X8" s="40">
        <f t="shared" si="1"/>
        <v>1100</v>
      </c>
      <c r="Y8" s="1"/>
      <c r="Z8" s="1"/>
    </row>
    <row r="9" spans="1:27" s="3" customFormat="1" ht="19.95" customHeight="1">
      <c r="A9" s="18">
        <v>18</v>
      </c>
      <c r="B9" s="51" t="s">
        <v>157</v>
      </c>
      <c r="C9" s="48" t="s">
        <v>59</v>
      </c>
      <c r="D9" s="48"/>
      <c r="E9" s="18"/>
      <c r="F9" s="19"/>
      <c r="G9" s="5" t="s">
        <v>38</v>
      </c>
      <c r="H9" s="24" t="s">
        <v>39</v>
      </c>
      <c r="I9" s="22" t="s">
        <v>34</v>
      </c>
      <c r="J9" s="21" t="s">
        <v>12</v>
      </c>
      <c r="K9" s="18">
        <v>1000</v>
      </c>
      <c r="L9" s="43">
        <v>45997</v>
      </c>
      <c r="M9" s="46">
        <v>0.58333333333333337</v>
      </c>
      <c r="N9" s="30" t="s">
        <v>135</v>
      </c>
      <c r="O9" s="15" t="s">
        <v>197</v>
      </c>
      <c r="P9" s="9" t="s">
        <v>19</v>
      </c>
      <c r="Q9" s="9"/>
      <c r="R9" s="9"/>
      <c r="S9" s="109">
        <f t="shared" si="0"/>
        <v>1000</v>
      </c>
      <c r="T9" s="18"/>
      <c r="U9" s="8"/>
      <c r="V9" s="8"/>
      <c r="W9" s="109"/>
      <c r="X9" s="40">
        <f t="shared" si="1"/>
        <v>1000</v>
      </c>
      <c r="Y9" s="1"/>
      <c r="Z9" s="1"/>
    </row>
    <row r="10" spans="1:27" s="3" customFormat="1" ht="19.95" customHeight="1">
      <c r="A10" s="18">
        <v>19</v>
      </c>
      <c r="B10" s="47" t="s">
        <v>57</v>
      </c>
      <c r="C10" s="374" t="s">
        <v>522</v>
      </c>
      <c r="D10" s="374"/>
      <c r="E10" s="29" t="s">
        <v>57</v>
      </c>
      <c r="F10" s="49" t="s">
        <v>58</v>
      </c>
      <c r="G10" s="37" t="s">
        <v>322</v>
      </c>
      <c r="H10" s="24" t="s">
        <v>39</v>
      </c>
      <c r="I10" s="22" t="s">
        <v>34</v>
      </c>
      <c r="J10" s="52" t="s">
        <v>12</v>
      </c>
      <c r="K10" s="18">
        <v>1000</v>
      </c>
      <c r="L10" s="43">
        <v>45998</v>
      </c>
      <c r="M10" s="46">
        <v>0.375</v>
      </c>
      <c r="N10" s="25" t="s">
        <v>231</v>
      </c>
      <c r="O10" s="45" t="s">
        <v>148</v>
      </c>
      <c r="P10" s="52" t="s">
        <v>1</v>
      </c>
      <c r="Q10" s="254"/>
      <c r="R10" s="254"/>
      <c r="S10" s="109">
        <f t="shared" si="0"/>
        <v>1000</v>
      </c>
      <c r="T10" s="18"/>
      <c r="U10" s="8"/>
      <c r="V10" s="8"/>
      <c r="W10" s="109"/>
      <c r="X10" s="40">
        <f t="shared" si="1"/>
        <v>1000</v>
      </c>
      <c r="Y10" s="1"/>
      <c r="Z10" s="1"/>
    </row>
    <row r="11" spans="1:27" s="3" customFormat="1" ht="19.95" customHeight="1">
      <c r="A11" s="18">
        <v>20</v>
      </c>
      <c r="B11" s="47" t="s">
        <v>54</v>
      </c>
      <c r="C11" s="374" t="s">
        <v>523</v>
      </c>
      <c r="D11" s="374"/>
      <c r="E11" s="29" t="s">
        <v>54</v>
      </c>
      <c r="F11" s="19">
        <v>9892179464</v>
      </c>
      <c r="G11" s="37" t="s">
        <v>322</v>
      </c>
      <c r="H11" s="29" t="s">
        <v>55</v>
      </c>
      <c r="I11" s="36" t="s">
        <v>34</v>
      </c>
      <c r="J11" s="21" t="s">
        <v>12</v>
      </c>
      <c r="K11" s="18">
        <v>900</v>
      </c>
      <c r="L11" s="43">
        <v>45998</v>
      </c>
      <c r="M11" s="53" t="s">
        <v>56</v>
      </c>
      <c r="N11" s="26" t="s">
        <v>148</v>
      </c>
      <c r="O11" s="15" t="s">
        <v>35</v>
      </c>
      <c r="P11" s="23" t="s">
        <v>1</v>
      </c>
      <c r="Q11" s="77"/>
      <c r="R11" s="77"/>
      <c r="S11" s="109">
        <f t="shared" si="0"/>
        <v>900</v>
      </c>
      <c r="T11" s="18"/>
      <c r="U11" s="8"/>
      <c r="V11" s="8"/>
      <c r="W11" s="109"/>
      <c r="X11" s="40">
        <f t="shared" si="1"/>
        <v>900</v>
      </c>
      <c r="Y11" s="1"/>
      <c r="Z11" s="1"/>
    </row>
    <row r="12" spans="1:27" s="3" customFormat="1" ht="19.95" customHeight="1">
      <c r="A12" s="18">
        <v>21</v>
      </c>
      <c r="B12" s="47" t="s">
        <v>53</v>
      </c>
      <c r="C12" s="374" t="s">
        <v>524</v>
      </c>
      <c r="D12" s="374"/>
      <c r="E12" s="29" t="s">
        <v>53</v>
      </c>
      <c r="F12" s="19">
        <v>9322174418</v>
      </c>
      <c r="G12" s="5" t="s">
        <v>38</v>
      </c>
      <c r="H12" s="24" t="s">
        <v>39</v>
      </c>
      <c r="I12" s="22" t="s">
        <v>34</v>
      </c>
      <c r="J12" s="21" t="s">
        <v>12</v>
      </c>
      <c r="K12" s="18">
        <v>500</v>
      </c>
      <c r="L12" s="43">
        <v>45998</v>
      </c>
      <c r="M12" s="46">
        <v>0.45833333333333331</v>
      </c>
      <c r="N12" s="20"/>
      <c r="O12" s="45" t="s">
        <v>148</v>
      </c>
      <c r="P12" s="9" t="s">
        <v>19</v>
      </c>
      <c r="Q12" s="9"/>
      <c r="R12" s="9"/>
      <c r="S12" s="109">
        <f t="shared" si="0"/>
        <v>500</v>
      </c>
      <c r="T12" s="18"/>
      <c r="U12" s="8"/>
      <c r="V12" s="8"/>
      <c r="W12" s="109"/>
      <c r="X12" s="40">
        <f t="shared" si="1"/>
        <v>500</v>
      </c>
      <c r="Y12" s="1"/>
      <c r="Z12" s="1"/>
    </row>
    <row r="13" spans="1:27" s="3" customFormat="1" ht="19.95" customHeight="1">
      <c r="A13" s="18">
        <v>22</v>
      </c>
      <c r="B13" s="55" t="s">
        <v>33</v>
      </c>
      <c r="C13" s="374" t="s">
        <v>525</v>
      </c>
      <c r="D13" s="374"/>
      <c r="E13" s="57" t="s">
        <v>33</v>
      </c>
      <c r="F13" s="19">
        <v>8390652527</v>
      </c>
      <c r="G13" s="17" t="s">
        <v>75</v>
      </c>
      <c r="H13" s="29" t="s">
        <v>61</v>
      </c>
      <c r="I13" s="36" t="s">
        <v>34</v>
      </c>
      <c r="J13" s="21" t="s">
        <v>12</v>
      </c>
      <c r="K13" s="57">
        <v>1400</v>
      </c>
      <c r="L13" s="43">
        <v>46003</v>
      </c>
      <c r="M13" s="46">
        <v>0.45833333333333331</v>
      </c>
      <c r="N13" s="25" t="s">
        <v>231</v>
      </c>
      <c r="O13" s="15" t="s">
        <v>35</v>
      </c>
      <c r="P13" s="9" t="s">
        <v>19</v>
      </c>
      <c r="Q13" s="9"/>
      <c r="R13" s="9"/>
      <c r="S13" s="109">
        <f t="shared" si="0"/>
        <v>1400</v>
      </c>
      <c r="T13" s="18"/>
      <c r="U13" s="8"/>
      <c r="V13" s="8"/>
      <c r="W13" s="109"/>
      <c r="X13" s="40">
        <f t="shared" si="1"/>
        <v>1400</v>
      </c>
      <c r="Y13" s="1"/>
      <c r="Z13" s="1"/>
    </row>
    <row r="14" spans="1:27" s="3" customFormat="1" ht="19.95" customHeight="1">
      <c r="A14" s="18">
        <v>23</v>
      </c>
      <c r="B14" s="55" t="s">
        <v>36</v>
      </c>
      <c r="C14" s="374" t="s">
        <v>526</v>
      </c>
      <c r="D14" s="374"/>
      <c r="E14" s="57" t="s">
        <v>37</v>
      </c>
      <c r="F14" s="19">
        <v>9920794157</v>
      </c>
      <c r="G14" s="5" t="s">
        <v>38</v>
      </c>
      <c r="H14" s="24" t="s">
        <v>39</v>
      </c>
      <c r="I14" s="22" t="s">
        <v>34</v>
      </c>
      <c r="J14" s="23" t="s">
        <v>94</v>
      </c>
      <c r="K14" s="18">
        <v>2400</v>
      </c>
      <c r="L14" s="43">
        <v>46004</v>
      </c>
      <c r="M14" s="46">
        <v>0.1875</v>
      </c>
      <c r="N14" s="695" t="s">
        <v>852</v>
      </c>
      <c r="O14" s="57" t="s">
        <v>40</v>
      </c>
      <c r="P14" s="9" t="s">
        <v>19</v>
      </c>
      <c r="Q14" s="9"/>
      <c r="R14" s="9"/>
      <c r="S14" s="109">
        <f t="shared" si="0"/>
        <v>2400</v>
      </c>
      <c r="T14" s="33" t="s">
        <v>7</v>
      </c>
      <c r="U14" s="78"/>
      <c r="V14" s="78"/>
      <c r="W14" s="109"/>
      <c r="X14" s="40">
        <f t="shared" si="1"/>
        <v>2400</v>
      </c>
      <c r="Y14" s="1"/>
      <c r="Z14" s="1"/>
    </row>
    <row r="15" spans="1:27" s="3" customFormat="1" ht="19.95" customHeight="1">
      <c r="A15" s="18">
        <v>24</v>
      </c>
      <c r="B15" s="55" t="s">
        <v>41</v>
      </c>
      <c r="C15" s="374" t="s">
        <v>527</v>
      </c>
      <c r="D15" s="374"/>
      <c r="E15" s="57" t="s">
        <v>41</v>
      </c>
      <c r="F15" s="19">
        <v>9158201428</v>
      </c>
      <c r="G15" s="29" t="s">
        <v>42</v>
      </c>
      <c r="H15" s="57" t="s">
        <v>43</v>
      </c>
      <c r="I15" s="56" t="s">
        <v>44</v>
      </c>
      <c r="J15" s="21" t="s">
        <v>12</v>
      </c>
      <c r="K15" s="18">
        <v>1500</v>
      </c>
      <c r="L15" s="43">
        <v>46003</v>
      </c>
      <c r="M15" s="59" t="s">
        <v>45</v>
      </c>
      <c r="N15" s="55" t="s">
        <v>46</v>
      </c>
      <c r="O15" s="45" t="s">
        <v>148</v>
      </c>
      <c r="P15" s="9" t="s">
        <v>19</v>
      </c>
      <c r="Q15" s="9"/>
      <c r="R15" s="9"/>
      <c r="S15" s="109">
        <f t="shared" si="0"/>
        <v>1500</v>
      </c>
      <c r="T15" s="18"/>
      <c r="U15" s="8"/>
      <c r="V15" s="8"/>
      <c r="W15" s="109"/>
      <c r="X15" s="40">
        <f t="shared" si="1"/>
        <v>1500</v>
      </c>
      <c r="Y15" s="1"/>
      <c r="Z15" s="1"/>
    </row>
    <row r="16" spans="1:27" s="3" customFormat="1" ht="19.95" customHeight="1">
      <c r="A16" s="18">
        <v>25</v>
      </c>
      <c r="B16" s="60" t="s">
        <v>47</v>
      </c>
      <c r="C16" s="374" t="s">
        <v>48</v>
      </c>
      <c r="D16" s="374"/>
      <c r="E16" s="61" t="s">
        <v>51</v>
      </c>
      <c r="F16" s="19">
        <v>8698646616</v>
      </c>
      <c r="G16" s="5" t="s">
        <v>38</v>
      </c>
      <c r="H16" s="24" t="s">
        <v>39</v>
      </c>
      <c r="I16" s="22" t="s">
        <v>34</v>
      </c>
      <c r="J16" s="21" t="s">
        <v>12</v>
      </c>
      <c r="K16" s="18">
        <v>500</v>
      </c>
      <c r="L16" s="43">
        <v>46004</v>
      </c>
      <c r="M16" s="62" t="s">
        <v>49</v>
      </c>
      <c r="N16" s="25" t="s">
        <v>231</v>
      </c>
      <c r="O16" s="15" t="s">
        <v>35</v>
      </c>
      <c r="P16" s="23" t="s">
        <v>1</v>
      </c>
      <c r="Q16" s="77"/>
      <c r="R16" s="77"/>
      <c r="S16" s="109">
        <f t="shared" si="0"/>
        <v>500</v>
      </c>
      <c r="T16" s="18"/>
      <c r="U16" s="8"/>
      <c r="V16" s="8"/>
      <c r="W16" s="109"/>
      <c r="X16" s="40">
        <f t="shared" si="1"/>
        <v>500</v>
      </c>
      <c r="Y16" s="1"/>
      <c r="Z16" s="1"/>
    </row>
    <row r="17" spans="1:26" s="3" customFormat="1" ht="19.95" customHeight="1">
      <c r="A17" s="18">
        <v>26</v>
      </c>
      <c r="B17" s="63" t="s">
        <v>175</v>
      </c>
      <c r="C17" s="374" t="s">
        <v>528</v>
      </c>
      <c r="D17" s="374"/>
      <c r="E17" s="29" t="s">
        <v>52</v>
      </c>
      <c r="F17" s="19">
        <v>9867467641</v>
      </c>
      <c r="G17" s="17" t="s">
        <v>75</v>
      </c>
      <c r="H17" s="24" t="s">
        <v>39</v>
      </c>
      <c r="I17" s="22" t="s">
        <v>34</v>
      </c>
      <c r="J17" s="28" t="s">
        <v>15</v>
      </c>
      <c r="K17" s="18">
        <v>1800</v>
      </c>
      <c r="L17" s="43">
        <v>46011</v>
      </c>
      <c r="M17" s="62" t="s">
        <v>50</v>
      </c>
      <c r="N17" s="25" t="s">
        <v>231</v>
      </c>
      <c r="O17" s="15" t="s">
        <v>35</v>
      </c>
      <c r="P17" s="64" t="s">
        <v>19</v>
      </c>
      <c r="Q17" s="164"/>
      <c r="R17" s="164"/>
      <c r="S17" s="109">
        <f t="shared" si="0"/>
        <v>1800</v>
      </c>
      <c r="T17" s="18"/>
      <c r="U17" s="8"/>
      <c r="V17" s="8"/>
      <c r="W17" s="109"/>
      <c r="X17" s="40">
        <f t="shared" si="1"/>
        <v>1800</v>
      </c>
      <c r="Y17" s="1"/>
      <c r="Z17" s="1"/>
    </row>
    <row r="18" spans="1:26" s="3" customFormat="1" ht="19.95" customHeight="1">
      <c r="A18" s="18">
        <v>27</v>
      </c>
      <c r="B18" s="51" t="s">
        <v>105</v>
      </c>
      <c r="C18" s="374" t="s">
        <v>529</v>
      </c>
      <c r="D18" s="374"/>
      <c r="E18" s="65" t="s">
        <v>71</v>
      </c>
      <c r="F18" s="19">
        <v>9359714507</v>
      </c>
      <c r="G18" s="17" t="s">
        <v>75</v>
      </c>
      <c r="H18" s="66" t="s">
        <v>72</v>
      </c>
      <c r="I18" s="67" t="s">
        <v>73</v>
      </c>
      <c r="J18" s="28" t="s">
        <v>15</v>
      </c>
      <c r="K18" s="18">
        <v>1500</v>
      </c>
      <c r="L18" s="43">
        <v>46004</v>
      </c>
      <c r="M18" s="46">
        <v>0.375</v>
      </c>
      <c r="N18" s="25" t="s">
        <v>231</v>
      </c>
      <c r="O18" s="15" t="s">
        <v>35</v>
      </c>
      <c r="P18" s="9" t="s">
        <v>19</v>
      </c>
      <c r="Q18" s="9"/>
      <c r="R18" s="9"/>
      <c r="S18" s="109">
        <f t="shared" si="0"/>
        <v>1500</v>
      </c>
      <c r="T18" s="18"/>
      <c r="U18" s="8"/>
      <c r="V18" s="8"/>
      <c r="W18" s="109"/>
      <c r="X18" s="40">
        <f t="shared" si="1"/>
        <v>1500</v>
      </c>
      <c r="Y18" s="1"/>
      <c r="Z18" s="1"/>
    </row>
    <row r="19" spans="1:26" s="3" customFormat="1" ht="19.95" customHeight="1">
      <c r="A19" s="18">
        <v>28</v>
      </c>
      <c r="B19" s="68" t="s">
        <v>82</v>
      </c>
      <c r="C19" s="374" t="s">
        <v>536</v>
      </c>
      <c r="D19" s="374"/>
      <c r="E19" s="70" t="s">
        <v>82</v>
      </c>
      <c r="F19" s="19">
        <v>8668985219</v>
      </c>
      <c r="G19" s="17" t="s">
        <v>75</v>
      </c>
      <c r="H19" s="71" t="s">
        <v>39</v>
      </c>
      <c r="I19" s="69" t="s">
        <v>34</v>
      </c>
      <c r="J19" s="28" t="s">
        <v>15</v>
      </c>
      <c r="K19" s="18">
        <v>1600</v>
      </c>
      <c r="L19" s="43">
        <v>45975</v>
      </c>
      <c r="M19" s="72" t="s">
        <v>56</v>
      </c>
      <c r="N19" s="25" t="s">
        <v>231</v>
      </c>
      <c r="O19" s="15" t="s">
        <v>35</v>
      </c>
      <c r="P19" s="9" t="s">
        <v>19</v>
      </c>
      <c r="Q19" s="9"/>
      <c r="R19" s="9"/>
      <c r="S19" s="109">
        <f t="shared" si="0"/>
        <v>1600</v>
      </c>
      <c r="T19" s="18"/>
      <c r="U19" s="8"/>
      <c r="V19" s="8"/>
      <c r="W19" s="109"/>
      <c r="X19" s="40">
        <f t="shared" si="1"/>
        <v>1600</v>
      </c>
      <c r="Y19" s="1"/>
      <c r="Z19" s="1"/>
    </row>
    <row r="20" spans="1:26" s="3" customFormat="1" ht="19.95" customHeight="1">
      <c r="A20" s="18">
        <v>29</v>
      </c>
      <c r="B20" s="68" t="s">
        <v>81</v>
      </c>
      <c r="C20" s="374" t="s">
        <v>537</v>
      </c>
      <c r="D20" s="374"/>
      <c r="E20" s="71" t="s">
        <v>74</v>
      </c>
      <c r="F20" s="19">
        <v>8652257452</v>
      </c>
      <c r="G20" s="17" t="s">
        <v>75</v>
      </c>
      <c r="H20" s="71" t="s">
        <v>39</v>
      </c>
      <c r="I20" s="69" t="s">
        <v>34</v>
      </c>
      <c r="J20" s="28" t="s">
        <v>15</v>
      </c>
      <c r="K20" s="18">
        <v>1600</v>
      </c>
      <c r="L20" s="43">
        <v>45975</v>
      </c>
      <c r="M20" s="74" t="s">
        <v>83</v>
      </c>
      <c r="N20" s="25" t="s">
        <v>231</v>
      </c>
      <c r="O20" s="15" t="s">
        <v>35</v>
      </c>
      <c r="P20" s="9" t="s">
        <v>19</v>
      </c>
      <c r="Q20" s="9"/>
      <c r="R20" s="9"/>
      <c r="S20" s="109">
        <f t="shared" si="0"/>
        <v>1600</v>
      </c>
      <c r="T20" s="70">
        <v>600</v>
      </c>
      <c r="U20" s="73"/>
      <c r="V20" s="73"/>
      <c r="W20" s="109"/>
      <c r="X20" s="40">
        <f t="shared" si="1"/>
        <v>1600</v>
      </c>
      <c r="Y20" s="487" t="s">
        <v>155</v>
      </c>
      <c r="Z20" s="1"/>
    </row>
    <row r="21" spans="1:26" s="3" customFormat="1" ht="19.95" customHeight="1">
      <c r="A21" s="18">
        <v>30</v>
      </c>
      <c r="B21" s="58" t="s">
        <v>76</v>
      </c>
      <c r="C21" s="374" t="s">
        <v>544</v>
      </c>
      <c r="D21" s="374"/>
      <c r="E21" s="76" t="s">
        <v>76</v>
      </c>
      <c r="F21" s="19">
        <v>8454008612</v>
      </c>
      <c r="G21" s="5" t="s">
        <v>38</v>
      </c>
      <c r="H21" s="76" t="s">
        <v>39</v>
      </c>
      <c r="I21" s="75" t="s">
        <v>34</v>
      </c>
      <c r="J21" s="21" t="s">
        <v>12</v>
      </c>
      <c r="K21" s="18">
        <v>1100</v>
      </c>
      <c r="L21" s="43">
        <v>46006</v>
      </c>
      <c r="M21" s="46">
        <v>0.45833333333333331</v>
      </c>
      <c r="N21" s="58" t="s">
        <v>77</v>
      </c>
      <c r="O21" s="15" t="s">
        <v>197</v>
      </c>
      <c r="P21" s="9" t="s">
        <v>19</v>
      </c>
      <c r="Q21" s="9"/>
      <c r="R21" s="9"/>
      <c r="S21" s="109">
        <f t="shared" si="0"/>
        <v>1100</v>
      </c>
      <c r="T21" s="18"/>
      <c r="U21" s="8"/>
      <c r="V21" s="8"/>
      <c r="W21" s="109"/>
      <c r="X21" s="40">
        <f t="shared" si="1"/>
        <v>1100</v>
      </c>
      <c r="Y21" s="1"/>
      <c r="Z21" s="1"/>
    </row>
    <row r="22" spans="1:26" s="3" customFormat="1" ht="19.95" customHeight="1">
      <c r="A22" s="8">
        <v>31</v>
      </c>
      <c r="B22" s="68" t="s">
        <v>84</v>
      </c>
      <c r="C22" s="374" t="s">
        <v>543</v>
      </c>
      <c r="D22" s="374"/>
      <c r="E22" s="73" t="s">
        <v>84</v>
      </c>
      <c r="F22" s="14">
        <v>9820725830</v>
      </c>
      <c r="G22" s="5" t="s">
        <v>38</v>
      </c>
      <c r="H22" s="73" t="s">
        <v>39</v>
      </c>
      <c r="I22" s="73" t="s">
        <v>34</v>
      </c>
      <c r="J22" s="77" t="s">
        <v>94</v>
      </c>
      <c r="K22" s="8">
        <v>3068</v>
      </c>
      <c r="L22" s="43">
        <v>46004</v>
      </c>
      <c r="M22" s="46">
        <v>0.45833333333333331</v>
      </c>
      <c r="N22" s="30" t="s">
        <v>135</v>
      </c>
      <c r="O22" s="15" t="s">
        <v>197</v>
      </c>
      <c r="P22" s="9" t="s">
        <v>19</v>
      </c>
      <c r="Q22" s="9"/>
      <c r="R22" s="9"/>
      <c r="S22" s="109">
        <f t="shared" si="0"/>
        <v>3068</v>
      </c>
      <c r="T22" s="78" t="s">
        <v>86</v>
      </c>
      <c r="U22" s="78"/>
      <c r="V22" s="78"/>
      <c r="W22" s="109"/>
      <c r="X22" s="40">
        <f t="shared" si="1"/>
        <v>3068</v>
      </c>
      <c r="Y22" s="1"/>
      <c r="Z22" s="1"/>
    </row>
    <row r="23" spans="1:26" s="3" customFormat="1" ht="19.95" customHeight="1">
      <c r="A23" s="18">
        <v>32</v>
      </c>
      <c r="B23" s="68" t="s">
        <v>78</v>
      </c>
      <c r="C23" s="374" t="s">
        <v>545</v>
      </c>
      <c r="D23" s="374"/>
      <c r="E23" s="70" t="s">
        <v>79</v>
      </c>
      <c r="F23" s="19">
        <v>9920039462</v>
      </c>
      <c r="G23" s="5" t="s">
        <v>38</v>
      </c>
      <c r="H23" s="70" t="s">
        <v>80</v>
      </c>
      <c r="I23" s="73" t="s">
        <v>34</v>
      </c>
      <c r="J23" s="21" t="s">
        <v>12</v>
      </c>
      <c r="K23" s="18">
        <v>2500</v>
      </c>
      <c r="L23" s="43">
        <v>46007</v>
      </c>
      <c r="M23" s="46">
        <v>0.45833333333333331</v>
      </c>
      <c r="N23" s="25" t="s">
        <v>231</v>
      </c>
      <c r="O23" s="15" t="s">
        <v>198</v>
      </c>
      <c r="P23" s="9" t="s">
        <v>19</v>
      </c>
      <c r="Q23" s="9"/>
      <c r="R23" s="9"/>
      <c r="S23" s="109">
        <f t="shared" si="0"/>
        <v>2500</v>
      </c>
      <c r="T23" s="18"/>
      <c r="U23" s="8"/>
      <c r="V23" s="8"/>
      <c r="W23" s="109"/>
      <c r="X23" s="40">
        <f t="shared" si="1"/>
        <v>2500</v>
      </c>
      <c r="Y23" s="1"/>
      <c r="Z23" s="1"/>
    </row>
    <row r="24" spans="1:26" s="3" customFormat="1" ht="19.95" customHeight="1">
      <c r="A24" s="18">
        <v>33</v>
      </c>
      <c r="B24" s="68" t="s">
        <v>64</v>
      </c>
      <c r="C24" s="374" t="s">
        <v>546</v>
      </c>
      <c r="D24" s="374"/>
      <c r="E24" s="70" t="s">
        <v>64</v>
      </c>
      <c r="F24" s="19">
        <v>9028620349</v>
      </c>
      <c r="G24" s="5" t="s">
        <v>38</v>
      </c>
      <c r="H24" s="70" t="s">
        <v>39</v>
      </c>
      <c r="I24" s="73" t="s">
        <v>34</v>
      </c>
      <c r="J24" s="21" t="s">
        <v>12</v>
      </c>
      <c r="K24" s="18">
        <v>900</v>
      </c>
      <c r="L24" s="43">
        <v>46010</v>
      </c>
      <c r="M24" s="46">
        <v>0.375</v>
      </c>
      <c r="N24" s="25" t="s">
        <v>231</v>
      </c>
      <c r="O24" s="15" t="s">
        <v>35</v>
      </c>
      <c r="P24" s="9" t="s">
        <v>19</v>
      </c>
      <c r="Q24" s="9"/>
      <c r="R24" s="9"/>
      <c r="S24" s="109">
        <f t="shared" si="0"/>
        <v>900</v>
      </c>
      <c r="T24" s="18"/>
      <c r="U24" s="8"/>
      <c r="V24" s="8"/>
      <c r="W24" s="109"/>
      <c r="X24" s="40">
        <f t="shared" si="1"/>
        <v>900</v>
      </c>
      <c r="Y24" s="1"/>
      <c r="Z24" s="1"/>
    </row>
    <row r="25" spans="1:26" s="3" customFormat="1" ht="19.95" customHeight="1">
      <c r="A25" s="18">
        <v>34</v>
      </c>
      <c r="B25" s="55" t="s">
        <v>41</v>
      </c>
      <c r="C25" s="374" t="s">
        <v>527</v>
      </c>
      <c r="D25" s="374"/>
      <c r="E25" s="57" t="s">
        <v>41</v>
      </c>
      <c r="F25" s="19">
        <v>9158201428</v>
      </c>
      <c r="G25" s="29" t="s">
        <v>42</v>
      </c>
      <c r="H25" s="57" t="s">
        <v>43</v>
      </c>
      <c r="I25" s="56" t="s">
        <v>44</v>
      </c>
      <c r="J25" s="21" t="s">
        <v>12</v>
      </c>
      <c r="K25" s="18">
        <v>1500</v>
      </c>
      <c r="L25" s="43">
        <v>46006</v>
      </c>
      <c r="M25" s="79">
        <v>0.58333333333333337</v>
      </c>
      <c r="N25" s="55" t="s">
        <v>46</v>
      </c>
      <c r="O25" s="45" t="s">
        <v>148</v>
      </c>
      <c r="P25" s="23" t="s">
        <v>1</v>
      </c>
      <c r="Q25" s="77"/>
      <c r="R25" s="77"/>
      <c r="S25" s="109">
        <f t="shared" si="0"/>
        <v>1500</v>
      </c>
      <c r="T25" s="18"/>
      <c r="U25" s="8"/>
      <c r="V25" s="8"/>
      <c r="W25" s="109"/>
      <c r="X25" s="40">
        <f t="shared" si="1"/>
        <v>1500</v>
      </c>
      <c r="Y25" s="1"/>
      <c r="Z25" s="1"/>
    </row>
    <row r="26" spans="1:26" s="3" customFormat="1" ht="19.95" customHeight="1">
      <c r="A26" s="18">
        <v>35</v>
      </c>
      <c r="B26" s="68" t="s">
        <v>85</v>
      </c>
      <c r="C26" s="374" t="s">
        <v>538</v>
      </c>
      <c r="D26" s="374"/>
      <c r="E26" s="70" t="s">
        <v>85</v>
      </c>
      <c r="F26" s="19">
        <v>9819490219</v>
      </c>
      <c r="G26" s="5" t="s">
        <v>38</v>
      </c>
      <c r="H26" s="70" t="s">
        <v>39</v>
      </c>
      <c r="I26" s="73" t="s">
        <v>34</v>
      </c>
      <c r="J26" s="21" t="s">
        <v>12</v>
      </c>
      <c r="K26" s="18">
        <v>700</v>
      </c>
      <c r="L26" s="43">
        <v>46007</v>
      </c>
      <c r="M26" s="46">
        <v>0.45833333333333331</v>
      </c>
      <c r="N26" s="80" t="s">
        <v>104</v>
      </c>
      <c r="O26" s="15" t="s">
        <v>35</v>
      </c>
      <c r="P26" s="9" t="s">
        <v>19</v>
      </c>
      <c r="Q26" s="9"/>
      <c r="R26" s="9"/>
      <c r="S26" s="109">
        <f t="shared" si="0"/>
        <v>700</v>
      </c>
      <c r="T26" s="18"/>
      <c r="U26" s="8"/>
      <c r="V26" s="8"/>
      <c r="W26" s="109"/>
      <c r="X26" s="40">
        <f t="shared" si="1"/>
        <v>700</v>
      </c>
      <c r="Y26" s="1"/>
      <c r="Z26" s="1"/>
    </row>
    <row r="27" spans="1:26" s="3" customFormat="1" ht="19.95" customHeight="1">
      <c r="A27" s="18">
        <v>36</v>
      </c>
      <c r="B27" s="81" t="s">
        <v>87</v>
      </c>
      <c r="C27" s="374" t="s">
        <v>530</v>
      </c>
      <c r="D27" s="374"/>
      <c r="E27" s="83" t="s">
        <v>87</v>
      </c>
      <c r="F27" s="19">
        <v>8766719042</v>
      </c>
      <c r="G27" s="5" t="s">
        <v>38</v>
      </c>
      <c r="H27" s="83" t="s">
        <v>61</v>
      </c>
      <c r="I27" s="82" t="s">
        <v>34</v>
      </c>
      <c r="J27" s="21" t="s">
        <v>12</v>
      </c>
      <c r="K27" s="18">
        <v>800</v>
      </c>
      <c r="L27" s="43">
        <v>46009</v>
      </c>
      <c r="M27" s="46">
        <v>0.58333333333333337</v>
      </c>
      <c r="N27" s="80" t="s">
        <v>104</v>
      </c>
      <c r="O27" s="15" t="s">
        <v>198</v>
      </c>
      <c r="P27" s="9" t="s">
        <v>19</v>
      </c>
      <c r="Q27" s="9"/>
      <c r="R27" s="9"/>
      <c r="S27" s="109">
        <f t="shared" si="0"/>
        <v>800</v>
      </c>
      <c r="T27" s="18"/>
      <c r="U27" s="8"/>
      <c r="V27" s="8"/>
      <c r="W27" s="109"/>
      <c r="X27" s="40">
        <f t="shared" si="1"/>
        <v>800</v>
      </c>
      <c r="Y27" s="1"/>
      <c r="Z27" s="1"/>
    </row>
    <row r="28" spans="1:26" s="3" customFormat="1" ht="19.95" customHeight="1">
      <c r="A28" s="18">
        <v>37</v>
      </c>
      <c r="B28" s="81" t="s">
        <v>88</v>
      </c>
      <c r="C28" s="374" t="s">
        <v>531</v>
      </c>
      <c r="D28" s="374"/>
      <c r="E28" s="83" t="s">
        <v>88</v>
      </c>
      <c r="F28" s="19">
        <v>9029161570</v>
      </c>
      <c r="G28" s="5" t="s">
        <v>38</v>
      </c>
      <c r="H28" s="83" t="s">
        <v>39</v>
      </c>
      <c r="I28" s="82" t="s">
        <v>34</v>
      </c>
      <c r="J28" s="23" t="s">
        <v>94</v>
      </c>
      <c r="K28" s="18">
        <v>3500</v>
      </c>
      <c r="L28" s="43">
        <v>46011</v>
      </c>
      <c r="M28" s="84">
        <v>0.41666666666666669</v>
      </c>
      <c r="N28" s="85" t="s">
        <v>77</v>
      </c>
      <c r="O28" s="15" t="s">
        <v>197</v>
      </c>
      <c r="P28" s="9" t="s">
        <v>19</v>
      </c>
      <c r="Q28" s="9"/>
      <c r="R28" s="9"/>
      <c r="S28" s="109">
        <f t="shared" si="0"/>
        <v>3500</v>
      </c>
      <c r="T28" s="38" t="s">
        <v>22</v>
      </c>
      <c r="U28" s="722"/>
      <c r="V28" s="722"/>
      <c r="W28" s="109"/>
      <c r="X28" s="40">
        <f t="shared" si="1"/>
        <v>3500</v>
      </c>
      <c r="Y28" s="1"/>
      <c r="Z28" s="1"/>
    </row>
    <row r="29" spans="1:26" s="3" customFormat="1" ht="19.95" customHeight="1">
      <c r="A29" s="18">
        <v>38</v>
      </c>
      <c r="B29" s="85" t="s">
        <v>89</v>
      </c>
      <c r="C29" s="374" t="s">
        <v>539</v>
      </c>
      <c r="D29" s="374"/>
      <c r="E29" s="87" t="s">
        <v>89</v>
      </c>
      <c r="F29" s="19">
        <v>7715899341</v>
      </c>
      <c r="G29" s="5" t="s">
        <v>38</v>
      </c>
      <c r="H29" s="87" t="s">
        <v>39</v>
      </c>
      <c r="I29" s="86" t="s">
        <v>34</v>
      </c>
      <c r="J29" s="21" t="s">
        <v>12</v>
      </c>
      <c r="K29" s="18">
        <v>700</v>
      </c>
      <c r="L29" s="43">
        <v>46008</v>
      </c>
      <c r="M29" s="46">
        <v>0.41666666666666669</v>
      </c>
      <c r="N29" s="80" t="s">
        <v>104</v>
      </c>
      <c r="O29" s="15" t="s">
        <v>199</v>
      </c>
      <c r="P29" s="9" t="s">
        <v>19</v>
      </c>
      <c r="Q29" s="9"/>
      <c r="R29" s="9"/>
      <c r="S29" s="109">
        <f t="shared" si="0"/>
        <v>700</v>
      </c>
      <c r="T29" s="18"/>
      <c r="U29" s="8"/>
      <c r="V29" s="8"/>
      <c r="W29" s="109"/>
      <c r="X29" s="40">
        <f t="shared" si="1"/>
        <v>700</v>
      </c>
      <c r="Y29" s="1"/>
      <c r="Z29" s="1"/>
    </row>
    <row r="30" spans="1:26" s="3" customFormat="1" ht="19.95" customHeight="1">
      <c r="A30" s="18">
        <v>39</v>
      </c>
      <c r="B30" s="88" t="s">
        <v>90</v>
      </c>
      <c r="C30" s="374" t="s">
        <v>540</v>
      </c>
      <c r="D30" s="374"/>
      <c r="E30" s="90" t="s">
        <v>91</v>
      </c>
      <c r="F30" s="19">
        <v>9833491588</v>
      </c>
      <c r="G30" s="17" t="s">
        <v>75</v>
      </c>
      <c r="H30" s="90" t="s">
        <v>61</v>
      </c>
      <c r="I30" s="89" t="s">
        <v>34</v>
      </c>
      <c r="J30" s="28" t="s">
        <v>15</v>
      </c>
      <c r="K30" s="18">
        <v>3000</v>
      </c>
      <c r="L30" s="43">
        <v>46008</v>
      </c>
      <c r="M30" s="46">
        <v>0.58333333333333337</v>
      </c>
      <c r="N30" s="88" t="s">
        <v>77</v>
      </c>
      <c r="O30" s="90" t="s">
        <v>77</v>
      </c>
      <c r="P30" s="9" t="s">
        <v>19</v>
      </c>
      <c r="Q30" s="9"/>
      <c r="R30" s="9"/>
      <c r="S30" s="109">
        <f t="shared" si="0"/>
        <v>3000</v>
      </c>
      <c r="T30" s="18"/>
      <c r="U30" s="8"/>
      <c r="V30" s="8"/>
      <c r="W30" s="109"/>
      <c r="X30" s="40">
        <f t="shared" si="1"/>
        <v>3000</v>
      </c>
      <c r="Y30" s="1"/>
      <c r="Z30" s="1"/>
    </row>
    <row r="31" spans="1:26" s="3" customFormat="1" ht="19.95" customHeight="1">
      <c r="A31" s="18">
        <v>40</v>
      </c>
      <c r="B31" s="91" t="s">
        <v>92</v>
      </c>
      <c r="C31" s="374" t="s">
        <v>541</v>
      </c>
      <c r="D31" s="374"/>
      <c r="E31" s="93" t="s">
        <v>93</v>
      </c>
      <c r="F31" s="19">
        <v>9930404682</v>
      </c>
      <c r="G31" s="5" t="s">
        <v>38</v>
      </c>
      <c r="H31" s="93" t="s">
        <v>39</v>
      </c>
      <c r="I31" s="92" t="s">
        <v>34</v>
      </c>
      <c r="J31" s="93" t="s">
        <v>94</v>
      </c>
      <c r="K31" s="18">
        <v>3186</v>
      </c>
      <c r="L31" s="43">
        <v>46009</v>
      </c>
      <c r="M31" s="46">
        <v>0.625</v>
      </c>
      <c r="N31" s="91" t="s">
        <v>77</v>
      </c>
      <c r="O31" s="15" t="s">
        <v>197</v>
      </c>
      <c r="P31" s="9" t="s">
        <v>19</v>
      </c>
      <c r="Q31" s="9"/>
      <c r="R31" s="9"/>
      <c r="S31" s="109">
        <f t="shared" si="0"/>
        <v>3186</v>
      </c>
      <c r="T31" s="38" t="s">
        <v>127</v>
      </c>
      <c r="U31" s="722"/>
      <c r="V31" s="722"/>
      <c r="W31" s="109"/>
      <c r="X31" s="40">
        <f t="shared" si="1"/>
        <v>3186</v>
      </c>
      <c r="Y31" s="1"/>
      <c r="Z31" s="1"/>
    </row>
    <row r="32" spans="1:26" s="3" customFormat="1" ht="19.95" customHeight="1">
      <c r="A32" s="18">
        <v>41</v>
      </c>
      <c r="B32" s="94" t="s">
        <v>95</v>
      </c>
      <c r="C32" s="374" t="s">
        <v>542</v>
      </c>
      <c r="D32" s="374"/>
      <c r="E32" s="96" t="s">
        <v>95</v>
      </c>
      <c r="F32" s="19">
        <v>9820332551</v>
      </c>
      <c r="G32" s="5" t="s">
        <v>38</v>
      </c>
      <c r="H32" s="96" t="s">
        <v>39</v>
      </c>
      <c r="I32" s="95" t="s">
        <v>34</v>
      </c>
      <c r="J32" s="96" t="s">
        <v>94</v>
      </c>
      <c r="K32" s="18">
        <v>3186</v>
      </c>
      <c r="L32" s="43">
        <v>46009</v>
      </c>
      <c r="M32" s="46">
        <v>0.58333333333333337</v>
      </c>
      <c r="N32" s="91" t="s">
        <v>77</v>
      </c>
      <c r="O32" s="15" t="s">
        <v>197</v>
      </c>
      <c r="P32" s="9" t="s">
        <v>19</v>
      </c>
      <c r="Q32" s="9"/>
      <c r="R32" s="9"/>
      <c r="S32" s="109">
        <f t="shared" si="0"/>
        <v>3186</v>
      </c>
      <c r="T32" s="38" t="s">
        <v>128</v>
      </c>
      <c r="U32" s="722"/>
      <c r="V32" s="722"/>
      <c r="W32" s="109"/>
      <c r="X32" s="40">
        <f t="shared" si="1"/>
        <v>3186</v>
      </c>
      <c r="Y32" s="1"/>
      <c r="Z32" s="1"/>
    </row>
    <row r="33" spans="1:26" s="3" customFormat="1" ht="19.95" customHeight="1">
      <c r="A33" s="18">
        <v>42</v>
      </c>
      <c r="B33" s="94" t="s">
        <v>96</v>
      </c>
      <c r="C33" s="374" t="s">
        <v>532</v>
      </c>
      <c r="D33" s="374"/>
      <c r="E33" s="96" t="s">
        <v>97</v>
      </c>
      <c r="F33" s="19">
        <v>8390199575</v>
      </c>
      <c r="G33" s="29" t="s">
        <v>42</v>
      </c>
      <c r="H33" s="18"/>
      <c r="I33" s="77" t="s">
        <v>101</v>
      </c>
      <c r="J33" s="21" t="s">
        <v>12</v>
      </c>
      <c r="K33" s="18">
        <v>3000</v>
      </c>
      <c r="L33" s="43">
        <v>46009</v>
      </c>
      <c r="M33" s="97" t="s">
        <v>45</v>
      </c>
      <c r="N33" s="80" t="s">
        <v>104</v>
      </c>
      <c r="O33" s="45" t="s">
        <v>148</v>
      </c>
      <c r="P33" s="40" t="s">
        <v>18</v>
      </c>
      <c r="Q33" s="709"/>
      <c r="R33" s="709"/>
      <c r="S33" s="109">
        <f t="shared" si="0"/>
        <v>3000</v>
      </c>
      <c r="T33" s="39" t="s">
        <v>18</v>
      </c>
      <c r="U33" s="109"/>
      <c r="V33" s="109"/>
      <c r="W33" s="109"/>
      <c r="X33" s="40">
        <f t="shared" si="1"/>
        <v>3000</v>
      </c>
      <c r="Y33" s="1"/>
      <c r="Z33" s="1"/>
    </row>
    <row r="34" spans="1:26" s="3" customFormat="1" ht="19.95" customHeight="1">
      <c r="A34" s="18">
        <v>43</v>
      </c>
      <c r="B34" s="94" t="s">
        <v>98</v>
      </c>
      <c r="C34" s="374" t="s">
        <v>515</v>
      </c>
      <c r="D34" s="374"/>
      <c r="E34" s="261" t="s">
        <v>349</v>
      </c>
      <c r="F34" s="19">
        <v>7517241640</v>
      </c>
      <c r="G34" s="96" t="s">
        <v>99</v>
      </c>
      <c r="H34" s="96" t="s">
        <v>100</v>
      </c>
      <c r="I34" s="95" t="s">
        <v>101</v>
      </c>
      <c r="J34" s="21" t="s">
        <v>12</v>
      </c>
      <c r="K34" s="96">
        <v>2200</v>
      </c>
      <c r="L34" s="43">
        <v>46009</v>
      </c>
      <c r="M34" s="46">
        <v>0.66666666666666663</v>
      </c>
      <c r="N34" s="80" t="s">
        <v>104</v>
      </c>
      <c r="O34" s="45" t="s">
        <v>148</v>
      </c>
      <c r="P34" s="273" t="s">
        <v>417</v>
      </c>
      <c r="Q34" s="359"/>
      <c r="R34" s="359"/>
      <c r="S34" s="109">
        <f t="shared" si="0"/>
        <v>2200</v>
      </c>
      <c r="T34" s="40"/>
      <c r="U34" s="709"/>
      <c r="V34" s="709"/>
      <c r="W34" s="109"/>
      <c r="X34" s="40">
        <f t="shared" si="1"/>
        <v>2200</v>
      </c>
      <c r="Y34" s="1"/>
      <c r="Z34" s="1"/>
    </row>
    <row r="35" spans="1:26" s="3" customFormat="1" ht="19.95" customHeight="1">
      <c r="A35" s="18">
        <v>44</v>
      </c>
      <c r="B35" s="98" t="s">
        <v>102</v>
      </c>
      <c r="C35" s="374" t="s">
        <v>547</v>
      </c>
      <c r="D35" s="374"/>
      <c r="E35" s="23" t="s">
        <v>102</v>
      </c>
      <c r="F35" s="19">
        <v>9968282743</v>
      </c>
      <c r="G35" s="5" t="s">
        <v>38</v>
      </c>
      <c r="H35" s="23" t="s">
        <v>39</v>
      </c>
      <c r="I35" s="77" t="s">
        <v>34</v>
      </c>
      <c r="J35" s="23" t="s">
        <v>94</v>
      </c>
      <c r="K35" s="18">
        <v>2400</v>
      </c>
      <c r="L35" s="43">
        <v>46010</v>
      </c>
      <c r="M35" s="46">
        <v>0.41666666666666669</v>
      </c>
      <c r="N35" s="695" t="s">
        <v>852</v>
      </c>
      <c r="O35" s="45" t="s">
        <v>148</v>
      </c>
      <c r="P35" s="9" t="s">
        <v>19</v>
      </c>
      <c r="Q35" s="9"/>
      <c r="R35" s="9"/>
      <c r="S35" s="109">
        <f t="shared" si="0"/>
        <v>2400</v>
      </c>
      <c r="T35" s="38" t="s">
        <v>5</v>
      </c>
      <c r="U35" s="722"/>
      <c r="V35" s="722"/>
      <c r="W35" s="109"/>
      <c r="X35" s="40">
        <f t="shared" si="1"/>
        <v>2400</v>
      </c>
      <c r="Y35" s="1"/>
      <c r="Z35" s="1"/>
    </row>
    <row r="36" spans="1:26" s="3" customFormat="1" ht="19.95" customHeight="1">
      <c r="A36" s="18">
        <v>45</v>
      </c>
      <c r="B36" s="99" t="s">
        <v>103</v>
      </c>
      <c r="C36" s="374" t="s">
        <v>548</v>
      </c>
      <c r="D36" s="374"/>
      <c r="E36" s="101" t="s">
        <v>103</v>
      </c>
      <c r="F36" s="19">
        <v>7039275236</v>
      </c>
      <c r="G36" s="5" t="s">
        <v>38</v>
      </c>
      <c r="H36" s="101" t="s">
        <v>39</v>
      </c>
      <c r="I36" s="100" t="s">
        <v>34</v>
      </c>
      <c r="J36" s="21" t="s">
        <v>12</v>
      </c>
      <c r="K36" s="18">
        <v>800</v>
      </c>
      <c r="L36" s="43">
        <v>46011</v>
      </c>
      <c r="M36" s="46">
        <v>0.41666666666666669</v>
      </c>
      <c r="N36" s="80" t="s">
        <v>104</v>
      </c>
      <c r="O36" s="15" t="s">
        <v>35</v>
      </c>
      <c r="P36" s="9" t="s">
        <v>19</v>
      </c>
      <c r="Q36" s="9"/>
      <c r="R36" s="9"/>
      <c r="S36" s="109">
        <f t="shared" si="0"/>
        <v>800</v>
      </c>
      <c r="T36" s="18"/>
      <c r="U36" s="8"/>
      <c r="V36" s="8"/>
      <c r="W36" s="109"/>
      <c r="X36" s="40">
        <f t="shared" si="1"/>
        <v>800</v>
      </c>
      <c r="Y36" s="1"/>
      <c r="Z36" s="1"/>
    </row>
    <row r="37" spans="1:26" s="3" customFormat="1" ht="19.95" customHeight="1">
      <c r="A37" s="18">
        <v>46</v>
      </c>
      <c r="B37" s="102" t="s">
        <v>106</v>
      </c>
      <c r="C37" s="374" t="s">
        <v>549</v>
      </c>
      <c r="D37" s="374"/>
      <c r="E37" s="104" t="s">
        <v>107</v>
      </c>
      <c r="F37" s="19">
        <v>9769394778</v>
      </c>
      <c r="G37" s="5" t="s">
        <v>38</v>
      </c>
      <c r="H37" s="104" t="s">
        <v>55</v>
      </c>
      <c r="I37" s="103" t="s">
        <v>34</v>
      </c>
      <c r="J37" s="21" t="s">
        <v>12</v>
      </c>
      <c r="K37" s="18">
        <v>700</v>
      </c>
      <c r="L37" s="43">
        <v>46011</v>
      </c>
      <c r="M37" s="46">
        <v>0.45833333333333331</v>
      </c>
      <c r="N37" s="27" t="s">
        <v>108</v>
      </c>
      <c r="O37" s="45" t="s">
        <v>148</v>
      </c>
      <c r="P37" s="9" t="s">
        <v>19</v>
      </c>
      <c r="Q37" s="9"/>
      <c r="R37" s="9"/>
      <c r="S37" s="109">
        <f t="shared" si="0"/>
        <v>700</v>
      </c>
      <c r="T37" s="18"/>
      <c r="U37" s="8"/>
      <c r="V37" s="8"/>
      <c r="W37" s="109"/>
      <c r="X37" s="40">
        <f t="shared" si="1"/>
        <v>700</v>
      </c>
      <c r="Y37" s="1"/>
      <c r="Z37" s="1"/>
    </row>
    <row r="38" spans="1:26" s="3" customFormat="1" ht="19.95" customHeight="1">
      <c r="A38" s="18">
        <v>47</v>
      </c>
      <c r="B38" s="102" t="s">
        <v>109</v>
      </c>
      <c r="C38" s="374" t="s">
        <v>533</v>
      </c>
      <c r="D38" s="374"/>
      <c r="E38" s="104" t="s">
        <v>112</v>
      </c>
      <c r="F38" s="19">
        <v>7045199310</v>
      </c>
      <c r="G38" s="104" t="s">
        <v>110</v>
      </c>
      <c r="H38" s="104" t="s">
        <v>43</v>
      </c>
      <c r="I38" s="103" t="s">
        <v>111</v>
      </c>
      <c r="J38" s="21" t="s">
        <v>12</v>
      </c>
      <c r="K38" s="104">
        <v>170</v>
      </c>
      <c r="L38" s="43">
        <v>46011</v>
      </c>
      <c r="M38" s="46">
        <v>0.45833333333333331</v>
      </c>
      <c r="N38" s="26" t="s">
        <v>148</v>
      </c>
      <c r="O38" s="15" t="s">
        <v>35</v>
      </c>
      <c r="P38" s="273" t="s">
        <v>417</v>
      </c>
      <c r="Q38" s="359"/>
      <c r="R38" s="359"/>
      <c r="S38" s="109">
        <f t="shared" si="0"/>
        <v>170</v>
      </c>
      <c r="T38" s="40"/>
      <c r="U38" s="709"/>
      <c r="V38" s="709"/>
      <c r="W38" s="109"/>
      <c r="X38" s="40">
        <f t="shared" si="1"/>
        <v>170</v>
      </c>
      <c r="Y38" s="1"/>
      <c r="Z38" s="1"/>
    </row>
    <row r="39" spans="1:26" s="3" customFormat="1" ht="19.95" customHeight="1">
      <c r="A39" s="18">
        <v>48</v>
      </c>
      <c r="B39" s="99" t="s">
        <v>113</v>
      </c>
      <c r="C39" s="374" t="s">
        <v>534</v>
      </c>
      <c r="D39" s="374"/>
      <c r="E39" s="106" t="s">
        <v>113</v>
      </c>
      <c r="F39" s="19">
        <v>9320033228</v>
      </c>
      <c r="G39" s="5" t="s">
        <v>38</v>
      </c>
      <c r="H39" s="106" t="s">
        <v>39</v>
      </c>
      <c r="I39" s="105" t="s">
        <v>34</v>
      </c>
      <c r="J39" s="21" t="s">
        <v>12</v>
      </c>
      <c r="K39" s="18">
        <v>700</v>
      </c>
      <c r="L39" s="43">
        <v>46011</v>
      </c>
      <c r="M39" s="46">
        <v>0.625</v>
      </c>
      <c r="N39" s="25" t="s">
        <v>231</v>
      </c>
      <c r="O39" s="15" t="s">
        <v>35</v>
      </c>
      <c r="P39" s="9" t="s">
        <v>19</v>
      </c>
      <c r="Q39" s="9"/>
      <c r="R39" s="9"/>
      <c r="S39" s="109">
        <f t="shared" si="0"/>
        <v>700</v>
      </c>
      <c r="T39" s="18"/>
      <c r="U39" s="8"/>
      <c r="V39" s="8"/>
      <c r="W39" s="109"/>
      <c r="X39" s="40">
        <f t="shared" si="1"/>
        <v>700</v>
      </c>
      <c r="Y39" s="1"/>
      <c r="Z39" s="1"/>
    </row>
    <row r="40" spans="1:26" s="3" customFormat="1" ht="19.95" customHeight="1">
      <c r="A40" s="18">
        <v>49</v>
      </c>
      <c r="B40" s="99" t="s">
        <v>114</v>
      </c>
      <c r="C40" s="374" t="s">
        <v>535</v>
      </c>
      <c r="D40" s="374"/>
      <c r="E40" s="106" t="s">
        <v>114</v>
      </c>
      <c r="F40" s="19">
        <v>9767089400</v>
      </c>
      <c r="G40" s="37" t="s">
        <v>322</v>
      </c>
      <c r="H40" s="106" t="s">
        <v>39</v>
      </c>
      <c r="I40" s="105" t="s">
        <v>34</v>
      </c>
      <c r="J40" s="21" t="s">
        <v>12</v>
      </c>
      <c r="K40" s="18">
        <v>1500</v>
      </c>
      <c r="L40" s="43">
        <v>46011</v>
      </c>
      <c r="M40" s="107" t="s">
        <v>115</v>
      </c>
      <c r="N40" s="25" t="s">
        <v>231</v>
      </c>
      <c r="O40" s="15" t="s">
        <v>35</v>
      </c>
      <c r="P40" s="9" t="s">
        <v>19</v>
      </c>
      <c r="Q40" s="9"/>
      <c r="R40" s="9"/>
      <c r="S40" s="109">
        <f t="shared" si="0"/>
        <v>1500</v>
      </c>
      <c r="T40" s="18"/>
      <c r="U40" s="8"/>
      <c r="V40" s="8"/>
      <c r="W40" s="109"/>
      <c r="X40" s="40">
        <f t="shared" si="1"/>
        <v>1500</v>
      </c>
      <c r="Y40" s="1"/>
      <c r="Z40" s="1"/>
    </row>
    <row r="41" spans="1:26" s="3" customFormat="1" ht="19.95" customHeight="1">
      <c r="A41" s="18">
        <v>50</v>
      </c>
      <c r="B41" s="108" t="s">
        <v>120</v>
      </c>
      <c r="C41" s="374" t="s">
        <v>550</v>
      </c>
      <c r="D41" s="374"/>
      <c r="E41" s="39" t="s">
        <v>117</v>
      </c>
      <c r="F41" s="19">
        <v>9594883047</v>
      </c>
      <c r="G41" s="5" t="s">
        <v>38</v>
      </c>
      <c r="H41" s="110" t="s">
        <v>121</v>
      </c>
      <c r="I41" s="111" t="s">
        <v>122</v>
      </c>
      <c r="J41" s="21" t="s">
        <v>12</v>
      </c>
      <c r="K41" s="18">
        <v>1500</v>
      </c>
      <c r="L41" s="43">
        <v>46012</v>
      </c>
      <c r="M41" s="112" t="s">
        <v>45</v>
      </c>
      <c r="N41" s="25" t="s">
        <v>231</v>
      </c>
      <c r="O41" s="45" t="s">
        <v>148</v>
      </c>
      <c r="P41" s="113" t="s">
        <v>19</v>
      </c>
      <c r="Q41" s="200"/>
      <c r="R41" s="200"/>
      <c r="S41" s="109">
        <f t="shared" si="0"/>
        <v>1500</v>
      </c>
      <c r="T41" s="65"/>
      <c r="U41" s="67"/>
      <c r="V41" s="67"/>
      <c r="W41" s="109"/>
      <c r="X41" s="40">
        <f t="shared" si="1"/>
        <v>1500</v>
      </c>
      <c r="Y41" s="1"/>
      <c r="Z41" s="1"/>
    </row>
    <row r="42" spans="1:26" s="3" customFormat="1" ht="19.95" customHeight="1">
      <c r="A42" s="18">
        <v>51</v>
      </c>
      <c r="B42" s="114" t="s">
        <v>118</v>
      </c>
      <c r="C42" s="374" t="s">
        <v>551</v>
      </c>
      <c r="D42" s="374"/>
      <c r="E42" s="39" t="s">
        <v>118</v>
      </c>
      <c r="F42" s="19">
        <v>9136612169</v>
      </c>
      <c r="G42" s="5" t="s">
        <v>38</v>
      </c>
      <c r="H42" s="39" t="s">
        <v>55</v>
      </c>
      <c r="I42" s="109" t="s">
        <v>34</v>
      </c>
      <c r="J42" s="21" t="s">
        <v>12</v>
      </c>
      <c r="K42" s="18">
        <v>600</v>
      </c>
      <c r="L42" s="43">
        <v>46013</v>
      </c>
      <c r="M42" s="112" t="s">
        <v>119</v>
      </c>
      <c r="N42" s="115" t="s">
        <v>125</v>
      </c>
      <c r="O42" s="45" t="s">
        <v>148</v>
      </c>
      <c r="P42" s="9" t="s">
        <v>19</v>
      </c>
      <c r="Q42" s="9"/>
      <c r="R42" s="9"/>
      <c r="S42" s="109">
        <f t="shared" si="0"/>
        <v>600</v>
      </c>
      <c r="T42" s="38"/>
      <c r="U42" s="722"/>
      <c r="V42" s="722"/>
      <c r="W42" s="109"/>
      <c r="X42" s="40">
        <f t="shared" si="1"/>
        <v>600</v>
      </c>
      <c r="Y42" s="1"/>
      <c r="Z42" s="1"/>
    </row>
    <row r="43" spans="1:26" s="3" customFormat="1" ht="19.95" customHeight="1">
      <c r="A43" s="18">
        <v>52</v>
      </c>
      <c r="B43" s="116" t="s">
        <v>123</v>
      </c>
      <c r="C43" s="374" t="s">
        <v>552</v>
      </c>
      <c r="D43" s="374"/>
      <c r="E43" s="118" t="s">
        <v>123</v>
      </c>
      <c r="F43" s="19">
        <v>7666866982</v>
      </c>
      <c r="G43" s="17" t="s">
        <v>75</v>
      </c>
      <c r="H43" s="118" t="s">
        <v>61</v>
      </c>
      <c r="I43" s="117" t="s">
        <v>34</v>
      </c>
      <c r="J43" s="28" t="s">
        <v>15</v>
      </c>
      <c r="K43" s="18">
        <v>2000</v>
      </c>
      <c r="L43" s="43">
        <v>46012</v>
      </c>
      <c r="M43" s="119" t="s">
        <v>124</v>
      </c>
      <c r="N43" s="25" t="s">
        <v>231</v>
      </c>
      <c r="O43" s="15" t="s">
        <v>35</v>
      </c>
      <c r="P43" s="9" t="s">
        <v>19</v>
      </c>
      <c r="Q43" s="9"/>
      <c r="R43" s="9"/>
      <c r="S43" s="109">
        <f t="shared" si="0"/>
        <v>2000</v>
      </c>
      <c r="T43" s="38"/>
      <c r="U43" s="722"/>
      <c r="V43" s="722"/>
      <c r="W43" s="109"/>
      <c r="X43" s="40">
        <f t="shared" si="1"/>
        <v>2000</v>
      </c>
      <c r="Y43" s="487"/>
      <c r="Z43" s="1"/>
    </row>
    <row r="44" spans="1:26" s="3" customFormat="1" ht="19.95" customHeight="1">
      <c r="A44" s="18">
        <v>53</v>
      </c>
      <c r="B44" s="120" t="s">
        <v>129</v>
      </c>
      <c r="C44" s="374" t="s">
        <v>553</v>
      </c>
      <c r="D44" s="374"/>
      <c r="E44" s="121" t="s">
        <v>129</v>
      </c>
      <c r="F44" s="19">
        <v>9967970090</v>
      </c>
      <c r="G44" s="37" t="s">
        <v>322</v>
      </c>
      <c r="H44" s="122" t="s">
        <v>61</v>
      </c>
      <c r="I44" s="123" t="s">
        <v>34</v>
      </c>
      <c r="J44" s="122" t="s">
        <v>94</v>
      </c>
      <c r="K44" s="18">
        <v>2700</v>
      </c>
      <c r="L44" s="43">
        <v>46014</v>
      </c>
      <c r="M44" s="124">
        <v>0.70833333333333337</v>
      </c>
      <c r="N44" s="25" t="s">
        <v>231</v>
      </c>
      <c r="O44" s="15" t="s">
        <v>197</v>
      </c>
      <c r="P44" s="9" t="s">
        <v>19</v>
      </c>
      <c r="Q44" s="9"/>
      <c r="R44" s="9"/>
      <c r="S44" s="109">
        <f t="shared" si="0"/>
        <v>2700</v>
      </c>
      <c r="T44" s="45" t="s">
        <v>4</v>
      </c>
      <c r="U44" s="146"/>
      <c r="V44" s="146"/>
      <c r="W44" s="109"/>
      <c r="X44" s="40">
        <f t="shared" si="1"/>
        <v>2700</v>
      </c>
      <c r="Y44" s="1"/>
      <c r="Z44" s="1"/>
    </row>
    <row r="45" spans="1:26" s="3" customFormat="1" ht="19.95" customHeight="1">
      <c r="A45" s="18">
        <v>54</v>
      </c>
      <c r="B45" s="125" t="s">
        <v>130</v>
      </c>
      <c r="C45" s="374" t="s">
        <v>521</v>
      </c>
      <c r="D45" s="374"/>
      <c r="E45" s="127" t="s">
        <v>130</v>
      </c>
      <c r="F45" s="19">
        <v>9011585483</v>
      </c>
      <c r="G45" s="5" t="s">
        <v>38</v>
      </c>
      <c r="H45" s="127" t="s">
        <v>39</v>
      </c>
      <c r="I45" s="126" t="s">
        <v>34</v>
      </c>
      <c r="J45" s="21" t="s">
        <v>12</v>
      </c>
      <c r="K45" s="18">
        <v>700</v>
      </c>
      <c r="L45" s="43">
        <v>46015</v>
      </c>
      <c r="M45" s="46">
        <v>0.41666666666666669</v>
      </c>
      <c r="N45" s="25" t="s">
        <v>231</v>
      </c>
      <c r="O45" s="15" t="s">
        <v>35</v>
      </c>
      <c r="P45" s="9" t="s">
        <v>19</v>
      </c>
      <c r="Q45" s="9"/>
      <c r="R45" s="9"/>
      <c r="S45" s="109">
        <f t="shared" si="0"/>
        <v>700</v>
      </c>
      <c r="T45" s="18"/>
      <c r="U45" s="8"/>
      <c r="V45" s="8"/>
      <c r="W45" s="109"/>
      <c r="X45" s="40">
        <f t="shared" si="1"/>
        <v>700</v>
      </c>
      <c r="Y45" s="1"/>
      <c r="Z45" s="1"/>
    </row>
    <row r="46" spans="1:26" s="3" customFormat="1" ht="19.95" customHeight="1">
      <c r="A46" s="18">
        <v>55</v>
      </c>
      <c r="B46" s="128" t="s">
        <v>131</v>
      </c>
      <c r="C46" s="374" t="s">
        <v>520</v>
      </c>
      <c r="D46" s="374"/>
      <c r="E46" s="130" t="s">
        <v>131</v>
      </c>
      <c r="F46" s="19">
        <v>9082622712</v>
      </c>
      <c r="G46" s="5" t="s">
        <v>38</v>
      </c>
      <c r="H46" s="130" t="s">
        <v>39</v>
      </c>
      <c r="I46" s="129" t="s">
        <v>34</v>
      </c>
      <c r="J46" s="21" t="s">
        <v>12</v>
      </c>
      <c r="K46" s="18">
        <v>700</v>
      </c>
      <c r="L46" s="43">
        <v>46016</v>
      </c>
      <c r="M46" s="131" t="s">
        <v>119</v>
      </c>
      <c r="N46" s="25" t="s">
        <v>231</v>
      </c>
      <c r="O46" s="15" t="s">
        <v>35</v>
      </c>
      <c r="P46" s="9" t="s">
        <v>19</v>
      </c>
      <c r="Q46" s="9"/>
      <c r="R46" s="9"/>
      <c r="S46" s="109">
        <f t="shared" si="0"/>
        <v>700</v>
      </c>
      <c r="T46" s="18"/>
      <c r="U46" s="8"/>
      <c r="V46" s="8"/>
      <c r="W46" s="109"/>
      <c r="X46" s="40">
        <f t="shared" si="1"/>
        <v>700</v>
      </c>
      <c r="Y46" s="1"/>
      <c r="Z46" s="1"/>
    </row>
    <row r="47" spans="1:26" s="3" customFormat="1" ht="19.95" customHeight="1">
      <c r="A47" s="18">
        <v>56</v>
      </c>
      <c r="B47" s="132" t="s">
        <v>132</v>
      </c>
      <c r="C47" s="374" t="s">
        <v>519</v>
      </c>
      <c r="D47" s="374"/>
      <c r="E47" s="18"/>
      <c r="F47" s="19"/>
      <c r="G47" s="17" t="s">
        <v>75</v>
      </c>
      <c r="H47" s="28" t="s">
        <v>133</v>
      </c>
      <c r="I47" s="133" t="s">
        <v>34</v>
      </c>
      <c r="J47" s="28" t="s">
        <v>15</v>
      </c>
      <c r="K47" s="18">
        <v>4500</v>
      </c>
      <c r="L47" s="43">
        <v>46019</v>
      </c>
      <c r="M47" s="46">
        <v>0.45833333333333331</v>
      </c>
      <c r="N47" s="25" t="s">
        <v>231</v>
      </c>
      <c r="O47" s="45" t="s">
        <v>148</v>
      </c>
      <c r="P47" s="18"/>
      <c r="Q47" s="8"/>
      <c r="R47" s="8"/>
      <c r="S47" s="109">
        <f t="shared" si="0"/>
        <v>4500</v>
      </c>
      <c r="T47" s="40" t="s">
        <v>18</v>
      </c>
      <c r="U47" s="709"/>
      <c r="V47" s="709"/>
      <c r="W47" s="109"/>
      <c r="X47" s="40">
        <f t="shared" si="1"/>
        <v>4500</v>
      </c>
      <c r="Y47" s="1"/>
      <c r="Z47" s="1"/>
    </row>
    <row r="48" spans="1:26" s="3" customFormat="1" ht="19.95" customHeight="1">
      <c r="A48" s="18">
        <v>57</v>
      </c>
      <c r="B48" s="132" t="s">
        <v>134</v>
      </c>
      <c r="C48" s="374" t="s">
        <v>518</v>
      </c>
      <c r="D48" s="374"/>
      <c r="E48" s="28" t="s">
        <v>134</v>
      </c>
      <c r="F48" s="19">
        <v>9870775751</v>
      </c>
      <c r="G48" s="5" t="s">
        <v>38</v>
      </c>
      <c r="H48" s="28" t="s">
        <v>39</v>
      </c>
      <c r="I48" s="133" t="s">
        <v>34</v>
      </c>
      <c r="J48" s="21" t="s">
        <v>12</v>
      </c>
      <c r="K48" s="18">
        <v>0</v>
      </c>
      <c r="L48" s="43">
        <v>46017</v>
      </c>
      <c r="M48" s="46">
        <v>0.45833333333333331</v>
      </c>
      <c r="N48" s="30" t="s">
        <v>135</v>
      </c>
      <c r="O48" s="45" t="s">
        <v>148</v>
      </c>
      <c r="P48" s="45" t="s">
        <v>16</v>
      </c>
      <c r="Q48" s="146"/>
      <c r="R48" s="146"/>
      <c r="S48" s="109">
        <f t="shared" si="0"/>
        <v>0</v>
      </c>
      <c r="T48" s="18"/>
      <c r="U48" s="8"/>
      <c r="V48" s="8"/>
      <c r="W48" s="109"/>
      <c r="X48" s="40">
        <f t="shared" si="1"/>
        <v>0</v>
      </c>
      <c r="Y48" s="1"/>
      <c r="Z48" s="1"/>
    </row>
    <row r="49" spans="1:44" s="3" customFormat="1" ht="19.95" customHeight="1">
      <c r="A49" s="18">
        <v>58</v>
      </c>
      <c r="B49" s="134" t="s">
        <v>136</v>
      </c>
      <c r="C49" s="374" t="s">
        <v>517</v>
      </c>
      <c r="D49" s="374"/>
      <c r="E49" s="136" t="s">
        <v>136</v>
      </c>
      <c r="F49" s="19">
        <v>9321815267</v>
      </c>
      <c r="G49" s="5" t="s">
        <v>38</v>
      </c>
      <c r="H49" s="136" t="s">
        <v>39</v>
      </c>
      <c r="I49" s="135" t="s">
        <v>34</v>
      </c>
      <c r="J49" s="21" t="s">
        <v>12</v>
      </c>
      <c r="K49" s="18">
        <v>700</v>
      </c>
      <c r="L49" s="43">
        <v>46016</v>
      </c>
      <c r="M49" s="46">
        <v>0.625</v>
      </c>
      <c r="N49" s="25" t="s">
        <v>231</v>
      </c>
      <c r="O49" s="15" t="s">
        <v>35</v>
      </c>
      <c r="P49" s="9" t="s">
        <v>19</v>
      </c>
      <c r="Q49" s="9"/>
      <c r="R49" s="9"/>
      <c r="S49" s="109">
        <f t="shared" si="0"/>
        <v>700</v>
      </c>
      <c r="T49" s="18"/>
      <c r="U49" s="8"/>
      <c r="V49" s="8"/>
      <c r="W49" s="109"/>
      <c r="X49" s="40">
        <f t="shared" si="1"/>
        <v>700</v>
      </c>
      <c r="Y49" s="1"/>
      <c r="Z49" s="1"/>
    </row>
    <row r="50" spans="1:44" s="3" customFormat="1" ht="19.95" customHeight="1">
      <c r="A50" s="18">
        <v>59</v>
      </c>
      <c r="B50" s="20" t="s">
        <v>137</v>
      </c>
      <c r="C50" s="374" t="s">
        <v>516</v>
      </c>
      <c r="D50" s="374"/>
      <c r="E50" s="136" t="s">
        <v>138</v>
      </c>
      <c r="F50" s="19">
        <v>7498796141</v>
      </c>
      <c r="G50" s="37" t="s">
        <v>322</v>
      </c>
      <c r="H50" s="136" t="s">
        <v>39</v>
      </c>
      <c r="I50" s="135" t="s">
        <v>34</v>
      </c>
      <c r="J50" s="21" t="s">
        <v>12</v>
      </c>
      <c r="K50" s="18">
        <v>700</v>
      </c>
      <c r="L50" s="43">
        <v>46016</v>
      </c>
      <c r="M50" s="46">
        <v>0.70833333333333337</v>
      </c>
      <c r="N50" s="25" t="s">
        <v>231</v>
      </c>
      <c r="O50" s="15" t="s">
        <v>35</v>
      </c>
      <c r="P50" s="9" t="s">
        <v>19</v>
      </c>
      <c r="Q50" s="9"/>
      <c r="R50" s="9"/>
      <c r="S50" s="109">
        <f t="shared" si="0"/>
        <v>700</v>
      </c>
      <c r="T50" s="18"/>
      <c r="U50" s="8"/>
      <c r="V50" s="8"/>
      <c r="W50" s="109"/>
      <c r="X50" s="40">
        <f t="shared" si="1"/>
        <v>700</v>
      </c>
      <c r="Y50" s="1"/>
      <c r="Z50" s="1"/>
    </row>
    <row r="51" spans="1:44" s="3" customFormat="1" ht="19.95" customHeight="1">
      <c r="A51" s="18">
        <v>60</v>
      </c>
      <c r="B51" s="94" t="s">
        <v>98</v>
      </c>
      <c r="C51" s="374" t="s">
        <v>515</v>
      </c>
      <c r="D51" s="374"/>
      <c r="E51" s="261" t="s">
        <v>349</v>
      </c>
      <c r="F51" s="19">
        <v>7517241640</v>
      </c>
      <c r="G51" s="136" t="s">
        <v>139</v>
      </c>
      <c r="H51" s="96" t="s">
        <v>100</v>
      </c>
      <c r="I51" s="95" t="s">
        <v>101</v>
      </c>
      <c r="J51" s="21" t="s">
        <v>12</v>
      </c>
      <c r="K51" s="96">
        <v>1500</v>
      </c>
      <c r="L51" s="43">
        <v>46017</v>
      </c>
      <c r="M51" s="46">
        <v>0.66666666666666663</v>
      </c>
      <c r="N51" s="25" t="s">
        <v>231</v>
      </c>
      <c r="O51" s="45" t="s">
        <v>148</v>
      </c>
      <c r="P51" s="273" t="s">
        <v>417</v>
      </c>
      <c r="Q51" s="359"/>
      <c r="R51" s="359"/>
      <c r="S51" s="109">
        <f t="shared" si="0"/>
        <v>1500</v>
      </c>
      <c r="T51" s="40"/>
      <c r="U51" s="709"/>
      <c r="V51" s="709"/>
      <c r="W51" s="109"/>
      <c r="X51" s="40">
        <f t="shared" si="1"/>
        <v>1500</v>
      </c>
      <c r="Y51" s="1"/>
      <c r="Z51" s="1"/>
    </row>
    <row r="52" spans="1:44" s="3" customFormat="1" ht="19.95" customHeight="1">
      <c r="A52" s="18">
        <v>61</v>
      </c>
      <c r="B52" s="108" t="s">
        <v>149</v>
      </c>
      <c r="C52" s="375" t="s">
        <v>141</v>
      </c>
      <c r="D52" s="375"/>
      <c r="E52" s="137" t="s">
        <v>140</v>
      </c>
      <c r="F52" s="19">
        <v>7666695301</v>
      </c>
      <c r="G52" s="5" t="s">
        <v>38</v>
      </c>
      <c r="H52" s="137" t="s">
        <v>61</v>
      </c>
      <c r="I52" s="138" t="s">
        <v>34</v>
      </c>
      <c r="J52" s="137" t="s">
        <v>94</v>
      </c>
      <c r="K52" s="18">
        <v>3100</v>
      </c>
      <c r="L52" s="43">
        <v>46018</v>
      </c>
      <c r="M52" s="139" t="s">
        <v>56</v>
      </c>
      <c r="N52" s="25" t="s">
        <v>231</v>
      </c>
      <c r="O52" s="15" t="s">
        <v>197</v>
      </c>
      <c r="P52" s="45" t="s">
        <v>1</v>
      </c>
      <c r="Q52" s="146"/>
      <c r="R52" s="146"/>
      <c r="S52" s="109">
        <f t="shared" si="0"/>
        <v>3100</v>
      </c>
      <c r="T52" s="45" t="s">
        <v>152</v>
      </c>
      <c r="U52" s="146"/>
      <c r="V52" s="146"/>
      <c r="W52" s="109"/>
      <c r="X52" s="875" t="s">
        <v>995</v>
      </c>
      <c r="Y52" s="1"/>
      <c r="Z52" s="1"/>
    </row>
    <row r="53" spans="1:44" s="492" customFormat="1" ht="19.95" customHeight="1">
      <c r="A53" s="2">
        <v>62</v>
      </c>
      <c r="B53" s="140" t="s">
        <v>143</v>
      </c>
      <c r="C53" s="141" t="s">
        <v>142</v>
      </c>
      <c r="D53" s="141"/>
      <c r="E53" s="7" t="s">
        <v>143</v>
      </c>
      <c r="F53" s="6">
        <v>9167682081</v>
      </c>
      <c r="G53" s="17" t="s">
        <v>75</v>
      </c>
      <c r="H53" s="4" t="s">
        <v>39</v>
      </c>
      <c r="I53" s="13" t="s">
        <v>34</v>
      </c>
      <c r="J53" s="21" t="s">
        <v>12</v>
      </c>
      <c r="K53" s="4">
        <v>500</v>
      </c>
      <c r="L53" s="43">
        <v>46020</v>
      </c>
      <c r="M53" s="142" t="s">
        <v>144</v>
      </c>
      <c r="N53" s="80" t="s">
        <v>104</v>
      </c>
      <c r="O53" s="2" t="s">
        <v>198</v>
      </c>
      <c r="P53" s="9" t="s">
        <v>19</v>
      </c>
      <c r="Q53" s="9"/>
      <c r="R53" s="9"/>
      <c r="S53" s="109">
        <f t="shared" si="0"/>
        <v>500</v>
      </c>
      <c r="T53" s="16"/>
      <c r="U53" s="723"/>
      <c r="V53" s="723"/>
      <c r="W53" s="109"/>
      <c r="X53" s="40">
        <f t="shared" si="1"/>
        <v>500</v>
      </c>
      <c r="Y53" s="488"/>
      <c r="Z53" s="4"/>
      <c r="AA53" s="4"/>
      <c r="AB53" s="2"/>
      <c r="AC53" s="489"/>
      <c r="AD53" s="490"/>
      <c r="AE53" s="491"/>
      <c r="AF53" s="490"/>
      <c r="AG53" s="490"/>
      <c r="AH53" s="490"/>
      <c r="AI53" s="491"/>
      <c r="AJ53" s="490"/>
      <c r="AK53" s="490"/>
      <c r="AL53" s="490"/>
      <c r="AM53" s="490"/>
      <c r="AN53" s="490"/>
      <c r="AO53" s="490"/>
      <c r="AP53" s="490"/>
      <c r="AQ53" s="490"/>
      <c r="AR53" s="490"/>
    </row>
    <row r="54" spans="1:44" s="3" customFormat="1" ht="19.95" customHeight="1">
      <c r="A54" s="18">
        <v>63</v>
      </c>
      <c r="B54" s="143" t="s">
        <v>146</v>
      </c>
      <c r="C54" s="54" t="s">
        <v>147</v>
      </c>
      <c r="D54" s="54"/>
      <c r="E54" s="144" t="s">
        <v>146</v>
      </c>
      <c r="F54" s="19">
        <v>7021689991</v>
      </c>
      <c r="G54" s="5" t="s">
        <v>38</v>
      </c>
      <c r="H54" s="144" t="s">
        <v>55</v>
      </c>
      <c r="I54" s="145" t="s">
        <v>34</v>
      </c>
      <c r="J54" s="21" t="s">
        <v>12</v>
      </c>
      <c r="K54" s="18">
        <v>600</v>
      </c>
      <c r="L54" s="43">
        <v>46021</v>
      </c>
      <c r="M54" s="46">
        <v>0.45833333333333331</v>
      </c>
      <c r="N54" s="25" t="s">
        <v>231</v>
      </c>
      <c r="O54" s="45" t="s">
        <v>148</v>
      </c>
      <c r="P54" s="9" t="s">
        <v>19</v>
      </c>
      <c r="Q54" s="9"/>
      <c r="R54" s="9"/>
      <c r="S54" s="109">
        <f t="shared" si="0"/>
        <v>600</v>
      </c>
      <c r="T54" s="18"/>
      <c r="U54" s="8"/>
      <c r="V54" s="8"/>
      <c r="W54" s="109"/>
      <c r="X54" s="40">
        <f t="shared" si="1"/>
        <v>600</v>
      </c>
      <c r="Y54" s="1"/>
      <c r="Z54" s="1"/>
    </row>
    <row r="55" spans="1:44" s="3" customFormat="1" ht="19.95" customHeight="1">
      <c r="A55" s="18">
        <v>64</v>
      </c>
      <c r="B55" s="68" t="s">
        <v>78</v>
      </c>
      <c r="C55" s="374" t="s">
        <v>554</v>
      </c>
      <c r="D55" s="374"/>
      <c r="E55" s="70" t="s">
        <v>79</v>
      </c>
      <c r="F55" s="19">
        <v>9920039462</v>
      </c>
      <c r="G55" s="5" t="s">
        <v>38</v>
      </c>
      <c r="H55" s="70" t="s">
        <v>80</v>
      </c>
      <c r="I55" s="73" t="s">
        <v>34</v>
      </c>
      <c r="J55" s="21" t="s">
        <v>12</v>
      </c>
      <c r="K55" s="18">
        <v>2500</v>
      </c>
      <c r="L55" s="43">
        <v>46022</v>
      </c>
      <c r="M55" s="46">
        <v>0.58333333333333337</v>
      </c>
      <c r="N55" s="25" t="s">
        <v>231</v>
      </c>
      <c r="O55" s="15" t="s">
        <v>198</v>
      </c>
      <c r="P55" s="147" t="s">
        <v>19</v>
      </c>
      <c r="Q55" s="153"/>
      <c r="R55" s="153"/>
      <c r="S55" s="109">
        <f t="shared" si="0"/>
        <v>2500</v>
      </c>
      <c r="T55" s="40"/>
      <c r="U55" s="709"/>
      <c r="V55" s="709"/>
      <c r="W55" s="109"/>
      <c r="X55" s="40">
        <f t="shared" si="1"/>
        <v>2500</v>
      </c>
      <c r="Y55" s="1"/>
      <c r="Z55" s="1"/>
    </row>
    <row r="56" spans="1:44" s="3" customFormat="1" ht="19.95" customHeight="1">
      <c r="A56" s="18">
        <v>65</v>
      </c>
      <c r="B56" s="63" t="s">
        <v>150</v>
      </c>
      <c r="C56" s="268" t="s">
        <v>151</v>
      </c>
      <c r="D56" s="268"/>
      <c r="E56" s="45" t="s">
        <v>150</v>
      </c>
      <c r="F56" s="19">
        <v>9702059227</v>
      </c>
      <c r="G56" s="5" t="s">
        <v>38</v>
      </c>
      <c r="H56" s="45" t="s">
        <v>39</v>
      </c>
      <c r="I56" s="146" t="s">
        <v>34</v>
      </c>
      <c r="J56" s="21" t="s">
        <v>12</v>
      </c>
      <c r="K56" s="18">
        <v>900</v>
      </c>
      <c r="L56" s="43">
        <v>46021</v>
      </c>
      <c r="M56" s="46">
        <v>0.66666666666666663</v>
      </c>
      <c r="N56" s="25" t="s">
        <v>231</v>
      </c>
      <c r="O56" s="45" t="s">
        <v>148</v>
      </c>
      <c r="P56" s="148" t="s">
        <v>1</v>
      </c>
      <c r="Q56" s="710"/>
      <c r="R56" s="710"/>
      <c r="S56" s="109">
        <f t="shared" si="0"/>
        <v>900</v>
      </c>
      <c r="T56" s="40"/>
      <c r="U56" s="709"/>
      <c r="V56" s="709"/>
      <c r="W56" s="109"/>
      <c r="X56" s="40">
        <f t="shared" si="1"/>
        <v>900</v>
      </c>
      <c r="Y56" s="1"/>
      <c r="Z56" s="1"/>
    </row>
    <row r="57" spans="1:44" s="3" customFormat="1" ht="19.95" customHeight="1">
      <c r="A57" s="18">
        <v>66</v>
      </c>
      <c r="B57" s="51" t="s">
        <v>154</v>
      </c>
      <c r="C57" s="149" t="s">
        <v>163</v>
      </c>
      <c r="D57" s="149"/>
      <c r="E57" s="65" t="s">
        <v>154</v>
      </c>
      <c r="F57" s="19"/>
      <c r="G57" s="5" t="s">
        <v>38</v>
      </c>
      <c r="H57" s="18"/>
      <c r="I57" s="67" t="s">
        <v>34</v>
      </c>
      <c r="J57" s="65" t="s">
        <v>12</v>
      </c>
      <c r="K57" s="18">
        <v>600</v>
      </c>
      <c r="L57" s="43">
        <v>46014</v>
      </c>
      <c r="M57" s="14"/>
      <c r="N57" s="695" t="s">
        <v>852</v>
      </c>
      <c r="O57" s="15" t="s">
        <v>197</v>
      </c>
      <c r="P57" s="18"/>
      <c r="Q57" s="8"/>
      <c r="R57" s="8"/>
      <c r="S57" s="109">
        <f t="shared" si="0"/>
        <v>600</v>
      </c>
      <c r="T57" s="65" t="s">
        <v>153</v>
      </c>
      <c r="U57" s="67"/>
      <c r="V57" s="67"/>
      <c r="W57" s="109"/>
      <c r="X57" s="40">
        <f t="shared" si="1"/>
        <v>600</v>
      </c>
      <c r="Y57" s="1"/>
      <c r="Z57" s="1"/>
    </row>
    <row r="58" spans="1:44" s="3" customFormat="1" ht="19.95" customHeight="1">
      <c r="A58" s="18">
        <v>67</v>
      </c>
      <c r="B58" s="30" t="s">
        <v>158</v>
      </c>
      <c r="C58" s="149" t="s">
        <v>159</v>
      </c>
      <c r="D58" s="149"/>
      <c r="E58" s="150" t="s">
        <v>160</v>
      </c>
      <c r="F58" s="19">
        <v>9867727743</v>
      </c>
      <c r="G58" s="5" t="s">
        <v>38</v>
      </c>
      <c r="H58" s="150" t="s">
        <v>39</v>
      </c>
      <c r="I58" s="149" t="s">
        <v>34</v>
      </c>
      <c r="J58" s="150" t="s">
        <v>12</v>
      </c>
      <c r="K58" s="18">
        <v>500</v>
      </c>
      <c r="L58" s="43">
        <v>46023</v>
      </c>
      <c r="M58" s="46">
        <v>0.41666666666666669</v>
      </c>
      <c r="N58" s="151" t="s">
        <v>108</v>
      </c>
      <c r="O58" s="45" t="s">
        <v>148</v>
      </c>
      <c r="P58" s="148" t="s">
        <v>1</v>
      </c>
      <c r="Q58" s="710"/>
      <c r="R58" s="710"/>
      <c r="S58" s="109">
        <f t="shared" si="0"/>
        <v>500</v>
      </c>
      <c r="T58" s="18"/>
      <c r="U58" s="8"/>
      <c r="V58" s="8"/>
      <c r="W58" s="109"/>
      <c r="X58" s="40">
        <f t="shared" si="1"/>
        <v>500</v>
      </c>
      <c r="Y58" s="1"/>
      <c r="Z58" s="1"/>
    </row>
    <row r="59" spans="1:44" s="3" customFormat="1" ht="19.95" customHeight="1">
      <c r="A59" s="18">
        <v>68</v>
      </c>
      <c r="B59" s="30" t="s">
        <v>161</v>
      </c>
      <c r="C59" s="152" t="s">
        <v>162</v>
      </c>
      <c r="D59" s="152"/>
      <c r="E59" s="150" t="s">
        <v>161</v>
      </c>
      <c r="F59" s="19">
        <v>7870475300</v>
      </c>
      <c r="G59" s="5" t="s">
        <v>38</v>
      </c>
      <c r="H59" s="150" t="s">
        <v>39</v>
      </c>
      <c r="I59" s="149" t="s">
        <v>34</v>
      </c>
      <c r="J59" s="150" t="s">
        <v>12</v>
      </c>
      <c r="K59" s="18">
        <v>700</v>
      </c>
      <c r="L59" s="43">
        <v>46023</v>
      </c>
      <c r="M59" s="46">
        <v>0.45833333333333331</v>
      </c>
      <c r="N59" s="30" t="s">
        <v>135</v>
      </c>
      <c r="O59" s="15" t="s">
        <v>35</v>
      </c>
      <c r="P59" s="147" t="s">
        <v>1</v>
      </c>
      <c r="Q59" s="153"/>
      <c r="R59" s="153"/>
      <c r="S59" s="109">
        <f t="shared" si="0"/>
        <v>700</v>
      </c>
      <c r="T59" s="147"/>
      <c r="U59" s="153"/>
      <c r="V59" s="153"/>
      <c r="W59" s="109"/>
      <c r="X59" s="40">
        <f t="shared" si="1"/>
        <v>700</v>
      </c>
      <c r="Y59" s="1"/>
      <c r="Z59" s="1"/>
    </row>
    <row r="60" spans="1:44" s="3" customFormat="1" ht="19.95" customHeight="1">
      <c r="A60" s="18">
        <v>69</v>
      </c>
      <c r="B60" s="80" t="s">
        <v>167</v>
      </c>
      <c r="C60" s="8" t="s">
        <v>165</v>
      </c>
      <c r="D60" s="8"/>
      <c r="E60" s="18" t="s">
        <v>164</v>
      </c>
      <c r="F60" s="19" t="s">
        <v>166</v>
      </c>
      <c r="G60" s="5" t="s">
        <v>38</v>
      </c>
      <c r="H60" s="147" t="s">
        <v>55</v>
      </c>
      <c r="I60" s="153" t="s">
        <v>34</v>
      </c>
      <c r="J60" s="147" t="s">
        <v>12</v>
      </c>
      <c r="K60" s="18">
        <v>700</v>
      </c>
      <c r="L60" s="43">
        <v>46023</v>
      </c>
      <c r="M60" s="154" t="s">
        <v>56</v>
      </c>
      <c r="N60" s="80" t="s">
        <v>104</v>
      </c>
      <c r="O60" s="45" t="s">
        <v>148</v>
      </c>
      <c r="P60" s="148" t="s">
        <v>1</v>
      </c>
      <c r="Q60" s="710"/>
      <c r="R60" s="710"/>
      <c r="S60" s="109">
        <f t="shared" si="0"/>
        <v>700</v>
      </c>
      <c r="T60" s="18"/>
      <c r="U60" s="8"/>
      <c r="V60" s="8"/>
      <c r="W60" s="109"/>
      <c r="X60" s="40">
        <f t="shared" si="1"/>
        <v>700</v>
      </c>
      <c r="Y60" s="1"/>
      <c r="Z60" s="1"/>
    </row>
    <row r="61" spans="1:44" s="3" customFormat="1" ht="19.95" customHeight="1">
      <c r="A61" s="18">
        <v>70</v>
      </c>
      <c r="B61" s="63" t="s">
        <v>174</v>
      </c>
      <c r="C61" s="153" t="s">
        <v>170</v>
      </c>
      <c r="D61" s="153"/>
      <c r="E61" s="147" t="s">
        <v>171</v>
      </c>
      <c r="F61" s="19" t="s">
        <v>169</v>
      </c>
      <c r="G61" s="5" t="s">
        <v>38</v>
      </c>
      <c r="H61" s="147" t="s">
        <v>39</v>
      </c>
      <c r="I61" s="153" t="s">
        <v>34</v>
      </c>
      <c r="J61" s="147" t="s">
        <v>12</v>
      </c>
      <c r="K61" s="18">
        <v>700</v>
      </c>
      <c r="L61" s="43">
        <v>46024</v>
      </c>
      <c r="M61" s="46">
        <v>0.66666666666666663</v>
      </c>
      <c r="N61" s="63" t="s">
        <v>135</v>
      </c>
      <c r="O61" s="15" t="s">
        <v>35</v>
      </c>
      <c r="P61" s="155" t="s">
        <v>19</v>
      </c>
      <c r="Q61" s="159"/>
      <c r="R61" s="159"/>
      <c r="S61" s="109">
        <f t="shared" si="0"/>
        <v>700</v>
      </c>
      <c r="T61" s="18"/>
      <c r="U61" s="8"/>
      <c r="V61" s="8"/>
      <c r="W61" s="109"/>
      <c r="X61" s="40">
        <f t="shared" si="1"/>
        <v>700</v>
      </c>
      <c r="Y61" s="1"/>
      <c r="Z61" s="1"/>
    </row>
    <row r="62" spans="1:44" s="3" customFormat="1" ht="19.95" customHeight="1">
      <c r="A62" s="18">
        <v>71</v>
      </c>
      <c r="B62" s="63" t="s">
        <v>173</v>
      </c>
      <c r="C62" s="153" t="s">
        <v>168</v>
      </c>
      <c r="D62" s="153"/>
      <c r="E62" s="155" t="s">
        <v>172</v>
      </c>
      <c r="F62" s="19" t="s">
        <v>169</v>
      </c>
      <c r="G62" s="5" t="s">
        <v>38</v>
      </c>
      <c r="H62" s="147" t="s">
        <v>39</v>
      </c>
      <c r="I62" s="153" t="s">
        <v>34</v>
      </c>
      <c r="J62" s="147" t="s">
        <v>12</v>
      </c>
      <c r="K62" s="18">
        <v>700</v>
      </c>
      <c r="L62" s="43">
        <v>46024</v>
      </c>
      <c r="M62" s="156">
        <v>0.70833333333333337</v>
      </c>
      <c r="N62" s="63" t="s">
        <v>135</v>
      </c>
      <c r="O62" s="15" t="s">
        <v>35</v>
      </c>
      <c r="P62" s="155" t="s">
        <v>19</v>
      </c>
      <c r="Q62" s="159"/>
      <c r="R62" s="159"/>
      <c r="S62" s="109">
        <f t="shared" si="0"/>
        <v>700</v>
      </c>
      <c r="T62" s="18"/>
      <c r="U62" s="8"/>
      <c r="V62" s="8"/>
      <c r="W62" s="109"/>
      <c r="X62" s="40">
        <f t="shared" si="1"/>
        <v>700</v>
      </c>
      <c r="Y62" s="1"/>
      <c r="Z62" s="1"/>
    </row>
    <row r="63" spans="1:44" s="3" customFormat="1" ht="19.95" customHeight="1">
      <c r="A63" s="18">
        <v>72</v>
      </c>
      <c r="B63" s="157" t="s">
        <v>176</v>
      </c>
      <c r="C63" s="158" t="s">
        <v>177</v>
      </c>
      <c r="D63" s="158"/>
      <c r="E63" s="155" t="s">
        <v>179</v>
      </c>
      <c r="F63" s="19">
        <v>9137675450</v>
      </c>
      <c r="G63" s="17" t="s">
        <v>75</v>
      </c>
      <c r="H63" s="155" t="s">
        <v>178</v>
      </c>
      <c r="I63" s="159" t="s">
        <v>34</v>
      </c>
      <c r="J63" s="155" t="s">
        <v>12</v>
      </c>
      <c r="K63" s="18">
        <v>3000</v>
      </c>
      <c r="L63" s="43">
        <v>46025</v>
      </c>
      <c r="M63" s="46">
        <v>0.54166666666666663</v>
      </c>
      <c r="N63" s="25" t="s">
        <v>231</v>
      </c>
      <c r="O63" s="15" t="s">
        <v>35</v>
      </c>
      <c r="P63" s="160" t="s">
        <v>1</v>
      </c>
      <c r="Q63" s="54"/>
      <c r="R63" s="54"/>
      <c r="S63" s="109">
        <f t="shared" si="0"/>
        <v>3000</v>
      </c>
      <c r="T63" s="18"/>
      <c r="U63" s="8"/>
      <c r="V63" s="8"/>
      <c r="W63" s="109"/>
      <c r="X63" s="40">
        <f t="shared" si="1"/>
        <v>3000</v>
      </c>
      <c r="Y63" s="1"/>
      <c r="Z63" s="1"/>
    </row>
    <row r="64" spans="1:44" s="3" customFormat="1" ht="19.95" customHeight="1">
      <c r="A64" s="18">
        <v>73</v>
      </c>
      <c r="B64" s="161" t="s">
        <v>180</v>
      </c>
      <c r="C64" s="158" t="s">
        <v>181</v>
      </c>
      <c r="D64" s="158"/>
      <c r="E64" s="162" t="s">
        <v>182</v>
      </c>
      <c r="F64" s="19">
        <v>8097405100</v>
      </c>
      <c r="G64" s="5" t="s">
        <v>38</v>
      </c>
      <c r="H64" s="162" t="s">
        <v>39</v>
      </c>
      <c r="I64" s="32" t="s">
        <v>34</v>
      </c>
      <c r="J64" s="162" t="s">
        <v>12</v>
      </c>
      <c r="K64" s="18">
        <v>700</v>
      </c>
      <c r="L64" s="43">
        <v>46025</v>
      </c>
      <c r="M64" s="46">
        <v>0.45833333333333331</v>
      </c>
      <c r="N64" s="161" t="s">
        <v>108</v>
      </c>
      <c r="O64" s="15" t="s">
        <v>35</v>
      </c>
      <c r="P64" s="160" t="s">
        <v>1</v>
      </c>
      <c r="Q64" s="54"/>
      <c r="R64" s="54"/>
      <c r="S64" s="109">
        <f t="shared" si="0"/>
        <v>700</v>
      </c>
      <c r="T64" s="18"/>
      <c r="U64" s="8"/>
      <c r="V64" s="8"/>
      <c r="W64" s="109"/>
      <c r="X64" s="40">
        <f t="shared" si="1"/>
        <v>700</v>
      </c>
      <c r="Y64" s="1"/>
      <c r="Z64" s="1"/>
    </row>
    <row r="65" spans="1:26" s="3" customFormat="1" ht="19.95" customHeight="1">
      <c r="A65" s="18">
        <v>74</v>
      </c>
      <c r="B65" s="163" t="s">
        <v>219</v>
      </c>
      <c r="C65" s="164" t="s">
        <v>183</v>
      </c>
      <c r="D65" s="926"/>
      <c r="E65" s="165" t="s">
        <v>184</v>
      </c>
      <c r="F65" s="19">
        <v>9833375072</v>
      </c>
      <c r="G65" s="5" t="s">
        <v>38</v>
      </c>
      <c r="H65" s="166" t="s">
        <v>100</v>
      </c>
      <c r="I65" s="167" t="s">
        <v>209</v>
      </c>
      <c r="J65" s="96" t="s">
        <v>94</v>
      </c>
      <c r="K65" s="702">
        <v>7000</v>
      </c>
      <c r="L65" s="43">
        <v>46032</v>
      </c>
      <c r="M65" s="46">
        <v>0.66666666666666663</v>
      </c>
      <c r="N65" s="25" t="s">
        <v>231</v>
      </c>
      <c r="O65" s="45" t="s">
        <v>148</v>
      </c>
      <c r="P65" s="64" t="s">
        <v>19</v>
      </c>
      <c r="Q65" s="164"/>
      <c r="R65" s="164"/>
      <c r="S65" s="109">
        <f t="shared" si="0"/>
        <v>7000</v>
      </c>
      <c r="T65" s="52" t="s">
        <v>3</v>
      </c>
      <c r="U65" s="254"/>
      <c r="V65" s="254"/>
      <c r="W65" s="109"/>
      <c r="X65" s="40">
        <f t="shared" si="1"/>
        <v>7000</v>
      </c>
      <c r="Y65" s="188" t="s">
        <v>328</v>
      </c>
      <c r="Z65" s="1"/>
    </row>
    <row r="66" spans="1:26" s="3" customFormat="1" ht="19.95" customHeight="1">
      <c r="A66" s="18">
        <v>75</v>
      </c>
      <c r="B66" s="168" t="s">
        <v>185</v>
      </c>
      <c r="C66" s="54" t="s">
        <v>186</v>
      </c>
      <c r="D66" s="168"/>
      <c r="E66" s="168" t="s">
        <v>187</v>
      </c>
      <c r="F66" s="19">
        <v>8793677291</v>
      </c>
      <c r="G66" s="5" t="s">
        <v>38</v>
      </c>
      <c r="H66" s="160" t="s">
        <v>55</v>
      </c>
      <c r="I66" s="54" t="s">
        <v>34</v>
      </c>
      <c r="J66" s="160" t="s">
        <v>12</v>
      </c>
      <c r="K66" s="18">
        <v>500</v>
      </c>
      <c r="L66" s="43">
        <v>46026</v>
      </c>
      <c r="M66" s="46">
        <v>0.66666666666666663</v>
      </c>
      <c r="N66" s="168" t="s">
        <v>104</v>
      </c>
      <c r="O66" s="45" t="s">
        <v>148</v>
      </c>
      <c r="P66" s="169" t="s">
        <v>1</v>
      </c>
      <c r="Q66" s="180"/>
      <c r="R66" s="180"/>
      <c r="S66" s="109">
        <f t="shared" si="0"/>
        <v>500</v>
      </c>
      <c r="T66" s="18"/>
      <c r="U66" s="8"/>
      <c r="V66" s="8"/>
      <c r="W66" s="109"/>
      <c r="X66" s="40">
        <f t="shared" si="1"/>
        <v>500</v>
      </c>
      <c r="Y66" s="1"/>
      <c r="Z66" s="1"/>
    </row>
    <row r="67" spans="1:26" s="3" customFormat="1" ht="19.95" customHeight="1">
      <c r="A67" s="18">
        <v>76</v>
      </c>
      <c r="B67" s="168" t="s">
        <v>189</v>
      </c>
      <c r="C67" s="54" t="s">
        <v>188</v>
      </c>
      <c r="D67" s="168"/>
      <c r="E67" s="168" t="s">
        <v>190</v>
      </c>
      <c r="F67" s="19">
        <v>9321464236</v>
      </c>
      <c r="G67" s="17" t="s">
        <v>75</v>
      </c>
      <c r="H67" s="160" t="s">
        <v>39</v>
      </c>
      <c r="I67" s="54" t="s">
        <v>34</v>
      </c>
      <c r="J67" s="160" t="s">
        <v>15</v>
      </c>
      <c r="K67" s="18">
        <v>2000</v>
      </c>
      <c r="L67" s="43">
        <v>46027</v>
      </c>
      <c r="M67" s="46">
        <v>0.41666666666666669</v>
      </c>
      <c r="N67" s="168" t="s">
        <v>104</v>
      </c>
      <c r="O67" s="15" t="s">
        <v>35</v>
      </c>
      <c r="P67" s="169" t="s">
        <v>1</v>
      </c>
      <c r="Q67" s="180"/>
      <c r="R67" s="180"/>
      <c r="S67" s="109">
        <f t="shared" ref="S67:S130" si="2">K67-R67</f>
        <v>2000</v>
      </c>
      <c r="T67" s="18"/>
      <c r="U67" s="8"/>
      <c r="V67" s="8"/>
      <c r="W67" s="109"/>
      <c r="X67" s="40">
        <f t="shared" ref="X67:X130" si="3">S67-W67</f>
        <v>2000</v>
      </c>
      <c r="Y67" s="1"/>
      <c r="Z67" s="1"/>
    </row>
    <row r="68" spans="1:26" s="3" customFormat="1" ht="19.95" customHeight="1">
      <c r="A68" s="18">
        <v>77</v>
      </c>
      <c r="B68" s="168" t="s">
        <v>191</v>
      </c>
      <c r="C68" s="170" t="s">
        <v>193</v>
      </c>
      <c r="D68" s="927"/>
      <c r="E68" s="168" t="s">
        <v>192</v>
      </c>
      <c r="F68" s="19">
        <v>8793503879</v>
      </c>
      <c r="G68" s="17" t="s">
        <v>75</v>
      </c>
      <c r="H68" s="160" t="s">
        <v>39</v>
      </c>
      <c r="I68" s="54" t="s">
        <v>34</v>
      </c>
      <c r="J68" s="160" t="s">
        <v>15</v>
      </c>
      <c r="K68" s="18">
        <v>1500</v>
      </c>
      <c r="L68" s="43">
        <v>46027</v>
      </c>
      <c r="M68" s="46">
        <v>0.375</v>
      </c>
      <c r="N68" s="168" t="s">
        <v>104</v>
      </c>
      <c r="O68" s="15" t="s">
        <v>35</v>
      </c>
      <c r="P68" s="273" t="s">
        <v>1</v>
      </c>
      <c r="Q68" s="359"/>
      <c r="R68" s="359"/>
      <c r="S68" s="109">
        <f t="shared" si="2"/>
        <v>1500</v>
      </c>
      <c r="T68" s="169"/>
      <c r="U68" s="180"/>
      <c r="V68" s="180"/>
      <c r="W68" s="109"/>
      <c r="X68" s="40">
        <f t="shared" si="3"/>
        <v>1500</v>
      </c>
      <c r="Y68" s="1"/>
      <c r="Z68" s="1"/>
    </row>
    <row r="69" spans="1:26" s="3" customFormat="1" ht="19.95" customHeight="1">
      <c r="A69" s="18">
        <v>78</v>
      </c>
      <c r="B69" s="171" t="s">
        <v>194</v>
      </c>
      <c r="C69" s="172" t="s">
        <v>195</v>
      </c>
      <c r="D69" s="171"/>
      <c r="E69" s="171" t="s">
        <v>196</v>
      </c>
      <c r="F69" s="19">
        <v>6899212562</v>
      </c>
      <c r="G69" s="5" t="s">
        <v>38</v>
      </c>
      <c r="H69" s="15" t="s">
        <v>39</v>
      </c>
      <c r="I69" s="172" t="s">
        <v>34</v>
      </c>
      <c r="J69" s="15" t="s">
        <v>12</v>
      </c>
      <c r="K69" s="18">
        <v>1000</v>
      </c>
      <c r="L69" s="43">
        <v>46028</v>
      </c>
      <c r="M69" s="46">
        <v>0.58333333333333337</v>
      </c>
      <c r="N69" s="27" t="s">
        <v>108</v>
      </c>
      <c r="O69" s="15" t="s">
        <v>197</v>
      </c>
      <c r="P69" s="113" t="s">
        <v>1</v>
      </c>
      <c r="Q69" s="200"/>
      <c r="R69" s="200"/>
      <c r="S69" s="109">
        <f t="shared" si="2"/>
        <v>1000</v>
      </c>
      <c r="T69" s="18"/>
      <c r="U69" s="8"/>
      <c r="V69" s="8"/>
      <c r="W69" s="109"/>
      <c r="X69" s="40">
        <f t="shared" si="3"/>
        <v>1000</v>
      </c>
      <c r="Y69" s="1"/>
      <c r="Z69" s="1"/>
    </row>
    <row r="70" spans="1:26" s="3" customFormat="1" ht="19.95" customHeight="1">
      <c r="A70" s="18">
        <v>79</v>
      </c>
      <c r="B70" s="27" t="s">
        <v>200</v>
      </c>
      <c r="C70" s="173" t="s">
        <v>201</v>
      </c>
      <c r="D70" s="27"/>
      <c r="E70" s="27" t="s">
        <v>202</v>
      </c>
      <c r="F70" s="19">
        <v>9130552286</v>
      </c>
      <c r="G70" s="5" t="s">
        <v>38</v>
      </c>
      <c r="H70" s="174" t="s">
        <v>39</v>
      </c>
      <c r="I70" s="173" t="s">
        <v>34</v>
      </c>
      <c r="J70" s="175" t="s">
        <v>12</v>
      </c>
      <c r="K70" s="18">
        <v>0</v>
      </c>
      <c r="L70" s="43">
        <v>46028</v>
      </c>
      <c r="M70" s="46">
        <v>0.45833333333333331</v>
      </c>
      <c r="N70" s="27" t="s">
        <v>104</v>
      </c>
      <c r="O70" s="174" t="s">
        <v>198</v>
      </c>
      <c r="P70" s="169" t="s">
        <v>16</v>
      </c>
      <c r="Q70" s="180"/>
      <c r="R70" s="180"/>
      <c r="S70" s="109">
        <f t="shared" si="2"/>
        <v>0</v>
      </c>
      <c r="T70" s="18"/>
      <c r="U70" s="8"/>
      <c r="V70" s="8"/>
      <c r="W70" s="109"/>
      <c r="X70" s="40">
        <f t="shared" si="3"/>
        <v>0</v>
      </c>
      <c r="Y70" s="1"/>
      <c r="Z70" s="1"/>
    </row>
    <row r="71" spans="1:26" s="3" customFormat="1" ht="19.95" customHeight="1">
      <c r="A71" s="18">
        <v>80</v>
      </c>
      <c r="B71" s="176" t="s">
        <v>203</v>
      </c>
      <c r="C71" s="177" t="s">
        <v>204</v>
      </c>
      <c r="D71" s="176"/>
      <c r="E71" s="176" t="s">
        <v>205</v>
      </c>
      <c r="F71" s="19">
        <v>9586901341</v>
      </c>
      <c r="G71" s="5" t="s">
        <v>38</v>
      </c>
      <c r="H71" s="178" t="s">
        <v>39</v>
      </c>
      <c r="I71" s="177" t="s">
        <v>34</v>
      </c>
      <c r="J71" s="178" t="s">
        <v>12</v>
      </c>
      <c r="K71" s="18">
        <v>800</v>
      </c>
      <c r="L71" s="43">
        <v>46029</v>
      </c>
      <c r="M71" s="46">
        <v>0.41666666666666669</v>
      </c>
      <c r="N71" s="27" t="s">
        <v>104</v>
      </c>
      <c r="O71" s="178" t="s">
        <v>198</v>
      </c>
      <c r="P71" s="169" t="s">
        <v>19</v>
      </c>
      <c r="Q71" s="180"/>
      <c r="R71" s="180"/>
      <c r="S71" s="109">
        <f t="shared" si="2"/>
        <v>800</v>
      </c>
      <c r="T71" s="18"/>
      <c r="U71" s="8"/>
      <c r="V71" s="8"/>
      <c r="W71" s="109"/>
      <c r="X71" s="40">
        <f t="shared" si="3"/>
        <v>800</v>
      </c>
      <c r="Y71" s="1"/>
      <c r="Z71" s="1"/>
    </row>
    <row r="72" spans="1:26" s="3" customFormat="1" ht="19.95" customHeight="1">
      <c r="A72" s="18">
        <v>81</v>
      </c>
      <c r="B72" s="179" t="s">
        <v>206</v>
      </c>
      <c r="C72" s="180" t="s">
        <v>208</v>
      </c>
      <c r="D72" s="180"/>
      <c r="E72" s="169" t="s">
        <v>207</v>
      </c>
      <c r="F72" s="19">
        <v>9821810784</v>
      </c>
      <c r="G72" s="5" t="s">
        <v>38</v>
      </c>
      <c r="H72" s="169" t="s">
        <v>39</v>
      </c>
      <c r="I72" s="180" t="s">
        <v>34</v>
      </c>
      <c r="J72" s="169" t="s">
        <v>12</v>
      </c>
      <c r="K72" s="18">
        <v>700</v>
      </c>
      <c r="L72" s="43">
        <v>46030</v>
      </c>
      <c r="M72" s="46">
        <v>0.45833333333333298</v>
      </c>
      <c r="N72" s="25" t="s">
        <v>231</v>
      </c>
      <c r="O72" s="169" t="s">
        <v>148</v>
      </c>
      <c r="P72" s="113" t="s">
        <v>1</v>
      </c>
      <c r="Q72" s="200"/>
      <c r="R72" s="200"/>
      <c r="S72" s="109">
        <f t="shared" si="2"/>
        <v>700</v>
      </c>
      <c r="T72" s="18"/>
      <c r="U72" s="8"/>
      <c r="V72" s="8"/>
      <c r="W72" s="109"/>
      <c r="X72" s="40">
        <f t="shared" si="3"/>
        <v>700</v>
      </c>
      <c r="Y72" s="1"/>
      <c r="Z72" s="1"/>
    </row>
    <row r="73" spans="1:26" s="3" customFormat="1" ht="19.95" customHeight="1">
      <c r="A73" s="18">
        <v>82</v>
      </c>
      <c r="B73" s="181" t="s">
        <v>210</v>
      </c>
      <c r="C73" s="182" t="s">
        <v>211</v>
      </c>
      <c r="D73" s="181"/>
      <c r="E73" s="181" t="s">
        <v>212</v>
      </c>
      <c r="F73" s="19">
        <v>8482892966</v>
      </c>
      <c r="G73" s="17" t="s">
        <v>75</v>
      </c>
      <c r="H73" s="183" t="s">
        <v>55</v>
      </c>
      <c r="I73" s="182" t="s">
        <v>34</v>
      </c>
      <c r="J73" s="183" t="s">
        <v>15</v>
      </c>
      <c r="K73" s="18">
        <v>2000</v>
      </c>
      <c r="L73" s="43">
        <v>46031</v>
      </c>
      <c r="M73" s="184" t="s">
        <v>213</v>
      </c>
      <c r="N73" s="27" t="s">
        <v>104</v>
      </c>
      <c r="O73" s="183" t="s">
        <v>35</v>
      </c>
      <c r="P73" s="113" t="s">
        <v>1</v>
      </c>
      <c r="Q73" s="200"/>
      <c r="R73" s="200"/>
      <c r="S73" s="109">
        <f t="shared" si="2"/>
        <v>2000</v>
      </c>
      <c r="T73" s="18"/>
      <c r="U73" s="8"/>
      <c r="V73" s="8"/>
      <c r="W73" s="109"/>
      <c r="X73" s="40">
        <f t="shared" si="3"/>
        <v>2000</v>
      </c>
      <c r="Y73" s="1"/>
      <c r="Z73" s="1"/>
    </row>
    <row r="74" spans="1:26" s="3" customFormat="1" ht="19.95" customHeight="1">
      <c r="A74" s="18">
        <v>83</v>
      </c>
      <c r="B74" s="181" t="s">
        <v>214</v>
      </c>
      <c r="C74" s="183" t="s">
        <v>215</v>
      </c>
      <c r="D74" s="181"/>
      <c r="E74" s="181" t="s">
        <v>216</v>
      </c>
      <c r="F74" s="19">
        <v>9867620033</v>
      </c>
      <c r="G74" s="5" t="s">
        <v>38</v>
      </c>
      <c r="H74" s="183" t="s">
        <v>61</v>
      </c>
      <c r="I74" s="182" t="s">
        <v>34</v>
      </c>
      <c r="J74" s="183" t="s">
        <v>12</v>
      </c>
      <c r="K74" s="18">
        <v>1000</v>
      </c>
      <c r="L74" s="43">
        <v>46033</v>
      </c>
      <c r="M74" s="184" t="s">
        <v>124</v>
      </c>
      <c r="N74" s="181" t="s">
        <v>135</v>
      </c>
      <c r="O74" s="183" t="s">
        <v>197</v>
      </c>
      <c r="P74" s="185" t="s">
        <v>1</v>
      </c>
      <c r="Q74" s="211"/>
      <c r="R74" s="211"/>
      <c r="S74" s="109">
        <f t="shared" si="2"/>
        <v>1000</v>
      </c>
      <c r="T74" s="52"/>
      <c r="U74" s="254"/>
      <c r="V74" s="254"/>
      <c r="W74" s="109"/>
      <c r="X74" s="40">
        <f t="shared" si="3"/>
        <v>1000</v>
      </c>
      <c r="Y74" s="1"/>
      <c r="Z74" s="1"/>
    </row>
    <row r="75" spans="1:26" s="3" customFormat="1" ht="19.95" customHeight="1">
      <c r="A75" s="18">
        <v>84</v>
      </c>
      <c r="B75" s="163" t="s">
        <v>217</v>
      </c>
      <c r="C75" s="186" t="s">
        <v>218</v>
      </c>
      <c r="D75" s="163"/>
      <c r="E75" s="163" t="s">
        <v>217</v>
      </c>
      <c r="F75" s="19">
        <v>9892952555</v>
      </c>
      <c r="G75" s="5" t="s">
        <v>38</v>
      </c>
      <c r="H75" s="187" t="s">
        <v>61</v>
      </c>
      <c r="I75" s="186" t="s">
        <v>34</v>
      </c>
      <c r="J75" s="187" t="s">
        <v>94</v>
      </c>
      <c r="K75" s="18">
        <v>4500</v>
      </c>
      <c r="L75" s="43">
        <v>46033</v>
      </c>
      <c r="M75" s="46">
        <v>0.45833333333333331</v>
      </c>
      <c r="N75" s="163" t="s">
        <v>108</v>
      </c>
      <c r="O75" s="187" t="s">
        <v>198</v>
      </c>
      <c r="P75" s="18"/>
      <c r="Q75" s="1"/>
      <c r="R75" s="1"/>
      <c r="S75" s="109">
        <f t="shared" si="2"/>
        <v>4500</v>
      </c>
      <c r="T75" s="188" t="s">
        <v>343</v>
      </c>
      <c r="U75" s="188"/>
      <c r="V75" s="188"/>
      <c r="W75" s="721"/>
      <c r="X75" s="40">
        <f t="shared" si="3"/>
        <v>4500</v>
      </c>
      <c r="Y75" s="188" t="s">
        <v>344</v>
      </c>
      <c r="Z75" s="1"/>
    </row>
    <row r="76" spans="1:26" s="3" customFormat="1" ht="19.95" customHeight="1">
      <c r="A76" s="18">
        <v>85</v>
      </c>
      <c r="B76" s="189" t="s">
        <v>220</v>
      </c>
      <c r="C76" s="190" t="s">
        <v>222</v>
      </c>
      <c r="D76" s="189"/>
      <c r="E76" s="189" t="s">
        <v>221</v>
      </c>
      <c r="F76" s="19">
        <v>8983515098</v>
      </c>
      <c r="G76" s="17" t="s">
        <v>75</v>
      </c>
      <c r="H76" s="191" t="s">
        <v>55</v>
      </c>
      <c r="I76" s="190" t="s">
        <v>34</v>
      </c>
      <c r="J76" s="191" t="s">
        <v>12</v>
      </c>
      <c r="K76" s="18">
        <v>900</v>
      </c>
      <c r="L76" s="43">
        <v>46032</v>
      </c>
      <c r="M76" s="46">
        <v>0.58333333333333337</v>
      </c>
      <c r="N76" s="189" t="s">
        <v>104</v>
      </c>
      <c r="O76" s="191" t="s">
        <v>148</v>
      </c>
      <c r="P76" s="192" t="s">
        <v>1</v>
      </c>
      <c r="Q76" s="249"/>
      <c r="R76" s="249"/>
      <c r="S76" s="109">
        <f t="shared" si="2"/>
        <v>900</v>
      </c>
      <c r="T76" s="52"/>
      <c r="U76" s="254"/>
      <c r="V76" s="254"/>
      <c r="W76" s="109"/>
      <c r="X76" s="40">
        <f t="shared" si="3"/>
        <v>900</v>
      </c>
      <c r="Y76" s="1"/>
      <c r="Z76" s="1"/>
    </row>
    <row r="77" spans="1:26" s="3" customFormat="1" ht="19.95" customHeight="1">
      <c r="A77" s="18">
        <v>86</v>
      </c>
      <c r="B77" s="193" t="s">
        <v>228</v>
      </c>
      <c r="C77" s="194" t="s">
        <v>229</v>
      </c>
      <c r="D77" s="193"/>
      <c r="E77" s="193" t="s">
        <v>230</v>
      </c>
      <c r="F77" s="19">
        <v>9326770245</v>
      </c>
      <c r="G77" s="5" t="s">
        <v>38</v>
      </c>
      <c r="H77" s="191" t="s">
        <v>39</v>
      </c>
      <c r="I77" s="190" t="s">
        <v>34</v>
      </c>
      <c r="J77" s="191" t="s">
        <v>12</v>
      </c>
      <c r="K77" s="18">
        <v>500</v>
      </c>
      <c r="L77" s="43">
        <v>46032</v>
      </c>
      <c r="M77" s="46">
        <v>0.41666666666666669</v>
      </c>
      <c r="N77" s="189" t="s">
        <v>104</v>
      </c>
      <c r="O77" s="191" t="s">
        <v>198</v>
      </c>
      <c r="P77" s="113" t="s">
        <v>19</v>
      </c>
      <c r="Q77" s="200"/>
      <c r="R77" s="200"/>
      <c r="S77" s="109">
        <f t="shared" si="2"/>
        <v>500</v>
      </c>
      <c r="T77" s="18"/>
      <c r="U77" s="8"/>
      <c r="V77" s="8"/>
      <c r="W77" s="109"/>
      <c r="X77" s="40">
        <f t="shared" si="3"/>
        <v>500</v>
      </c>
      <c r="Y77" s="1"/>
      <c r="Z77" s="1"/>
    </row>
    <row r="78" spans="1:26" s="3" customFormat="1" ht="19.95" customHeight="1">
      <c r="A78" s="18">
        <v>87</v>
      </c>
      <c r="B78" s="189" t="s">
        <v>223</v>
      </c>
      <c r="C78" s="190" t="s">
        <v>224</v>
      </c>
      <c r="D78" s="189"/>
      <c r="E78" s="189" t="s">
        <v>225</v>
      </c>
      <c r="F78" s="19">
        <v>9921151664</v>
      </c>
      <c r="G78" s="191" t="s">
        <v>226</v>
      </c>
      <c r="H78" s="191" t="s">
        <v>227</v>
      </c>
      <c r="I78" s="190" t="s">
        <v>34</v>
      </c>
      <c r="J78" s="191" t="s">
        <v>12</v>
      </c>
      <c r="K78" s="18">
        <v>5000</v>
      </c>
      <c r="L78" s="43">
        <v>46033</v>
      </c>
      <c r="M78" s="46">
        <v>0.41666666666666669</v>
      </c>
      <c r="N78" s="25" t="s">
        <v>231</v>
      </c>
      <c r="O78" s="191" t="s">
        <v>35</v>
      </c>
      <c r="P78" s="273" t="s">
        <v>1</v>
      </c>
      <c r="Q78" s="359"/>
      <c r="R78" s="359"/>
      <c r="S78" s="109">
        <f t="shared" si="2"/>
        <v>5000</v>
      </c>
      <c r="T78" s="273" t="s">
        <v>325</v>
      </c>
      <c r="U78" s="359"/>
      <c r="V78" s="359"/>
      <c r="W78" s="109"/>
      <c r="X78" s="40">
        <f t="shared" si="3"/>
        <v>5000</v>
      </c>
      <c r="Y78" s="1"/>
      <c r="Z78" s="1"/>
    </row>
    <row r="79" spans="1:26" s="3" customFormat="1" ht="19.95" customHeight="1">
      <c r="A79" s="18">
        <v>88</v>
      </c>
      <c r="B79" s="195" t="s">
        <v>232</v>
      </c>
      <c r="C79" s="196" t="s">
        <v>234</v>
      </c>
      <c r="D79" s="195"/>
      <c r="E79" s="195" t="s">
        <v>233</v>
      </c>
      <c r="F79" s="19">
        <v>9870307641</v>
      </c>
      <c r="G79" s="5" t="s">
        <v>38</v>
      </c>
      <c r="H79" s="197" t="s">
        <v>61</v>
      </c>
      <c r="I79" s="196" t="s">
        <v>34</v>
      </c>
      <c r="J79" s="197" t="s">
        <v>94</v>
      </c>
      <c r="K79" s="18">
        <v>3500</v>
      </c>
      <c r="L79" s="43">
        <v>46032</v>
      </c>
      <c r="M79" s="46">
        <v>0.70833333333333337</v>
      </c>
      <c r="N79" s="695" t="s">
        <v>852</v>
      </c>
      <c r="O79" s="197" t="s">
        <v>198</v>
      </c>
      <c r="P79" s="175" t="s">
        <v>19</v>
      </c>
      <c r="Q79" s="711"/>
      <c r="R79" s="711"/>
      <c r="S79" s="109">
        <f t="shared" si="2"/>
        <v>3500</v>
      </c>
      <c r="T79" s="52" t="s">
        <v>2</v>
      </c>
      <c r="U79" s="254"/>
      <c r="V79" s="254"/>
      <c r="W79" s="109"/>
      <c r="X79" s="40">
        <f t="shared" si="3"/>
        <v>3500</v>
      </c>
      <c r="Y79" s="1"/>
      <c r="Z79" s="1"/>
    </row>
    <row r="80" spans="1:26" s="3" customFormat="1" ht="19.95" customHeight="1">
      <c r="A80" s="18">
        <v>89</v>
      </c>
      <c r="B80" s="195" t="s">
        <v>237</v>
      </c>
      <c r="C80" s="196" t="s">
        <v>235</v>
      </c>
      <c r="D80" s="195"/>
      <c r="E80" s="195" t="s">
        <v>236</v>
      </c>
      <c r="F80" s="19">
        <v>8097562458</v>
      </c>
      <c r="G80" s="5" t="s">
        <v>38</v>
      </c>
      <c r="H80" s="197" t="s">
        <v>39</v>
      </c>
      <c r="I80" s="196" t="s">
        <v>34</v>
      </c>
      <c r="J80" s="197" t="s">
        <v>12</v>
      </c>
      <c r="K80" s="18">
        <v>900</v>
      </c>
      <c r="L80" s="43">
        <v>46032</v>
      </c>
      <c r="M80" s="198" t="s">
        <v>119</v>
      </c>
      <c r="N80" s="195" t="s">
        <v>104</v>
      </c>
      <c r="O80" s="197" t="s">
        <v>35</v>
      </c>
      <c r="P80" s="185" t="s">
        <v>19</v>
      </c>
      <c r="Q80" s="211"/>
      <c r="R80" s="211"/>
      <c r="S80" s="109">
        <f t="shared" si="2"/>
        <v>900</v>
      </c>
      <c r="T80" s="18"/>
      <c r="U80" s="8"/>
      <c r="V80" s="8"/>
      <c r="W80" s="109"/>
      <c r="X80" s="40">
        <f t="shared" si="3"/>
        <v>900</v>
      </c>
      <c r="Y80" s="1"/>
      <c r="Z80" s="1"/>
    </row>
    <row r="81" spans="1:26" s="3" customFormat="1" ht="19.95" customHeight="1">
      <c r="A81" s="18">
        <v>90</v>
      </c>
      <c r="B81" s="199" t="s">
        <v>262</v>
      </c>
      <c r="C81" s="200" t="s">
        <v>238</v>
      </c>
      <c r="D81" s="201"/>
      <c r="E81" s="201" t="s">
        <v>242</v>
      </c>
      <c r="F81" s="19">
        <v>9324886479</v>
      </c>
      <c r="G81" s="5" t="s">
        <v>38</v>
      </c>
      <c r="H81" s="166" t="s">
        <v>100</v>
      </c>
      <c r="I81" s="167" t="s">
        <v>209</v>
      </c>
      <c r="J81" s="113" t="s">
        <v>12</v>
      </c>
      <c r="K81" s="18">
        <v>700</v>
      </c>
      <c r="L81" s="43">
        <v>46033</v>
      </c>
      <c r="M81" s="46">
        <v>0.375</v>
      </c>
      <c r="N81" s="25" t="s">
        <v>231</v>
      </c>
      <c r="O81" s="113" t="s">
        <v>198</v>
      </c>
      <c r="P81" s="202" t="s">
        <v>19</v>
      </c>
      <c r="Q81" s="712"/>
      <c r="R81" s="712"/>
      <c r="S81" s="109">
        <f t="shared" si="2"/>
        <v>700</v>
      </c>
      <c r="T81" s="18"/>
      <c r="U81" s="8"/>
      <c r="V81" s="8"/>
      <c r="W81" s="109"/>
      <c r="X81" s="40">
        <f t="shared" si="3"/>
        <v>700</v>
      </c>
      <c r="Y81" s="1"/>
      <c r="Z81" s="1"/>
    </row>
    <row r="82" spans="1:26" s="3" customFormat="1" ht="19.95" customHeight="1">
      <c r="A82" s="18">
        <v>91</v>
      </c>
      <c r="B82" s="201" t="s">
        <v>239</v>
      </c>
      <c r="C82" s="200" t="s">
        <v>240</v>
      </c>
      <c r="D82" s="201"/>
      <c r="E82" s="201" t="s">
        <v>241</v>
      </c>
      <c r="F82" s="19">
        <v>9665512270</v>
      </c>
      <c r="G82" s="37" t="s">
        <v>322</v>
      </c>
      <c r="H82" s="113" t="s">
        <v>39</v>
      </c>
      <c r="I82" s="200" t="s">
        <v>34</v>
      </c>
      <c r="J82" s="113" t="s">
        <v>94</v>
      </c>
      <c r="K82" s="18">
        <v>3500</v>
      </c>
      <c r="L82" s="43">
        <v>46035</v>
      </c>
      <c r="M82" s="46">
        <v>0.41666666666666669</v>
      </c>
      <c r="N82" s="20"/>
      <c r="O82" s="113" t="s">
        <v>148</v>
      </c>
      <c r="P82" s="185" t="s">
        <v>19</v>
      </c>
      <c r="Q82" s="211"/>
      <c r="R82" s="211"/>
      <c r="S82" s="109">
        <f t="shared" si="2"/>
        <v>3500</v>
      </c>
      <c r="T82" s="52" t="s">
        <v>340</v>
      </c>
      <c r="U82" s="254"/>
      <c r="V82" s="254"/>
      <c r="W82" s="109"/>
      <c r="X82" s="40">
        <f t="shared" si="3"/>
        <v>3500</v>
      </c>
      <c r="Y82" s="1"/>
      <c r="Z82" s="1"/>
    </row>
    <row r="83" spans="1:26" s="3" customFormat="1" ht="19.95" customHeight="1">
      <c r="A83" s="18">
        <v>92</v>
      </c>
      <c r="B83" s="203" t="s">
        <v>243</v>
      </c>
      <c r="C83" s="204" t="s">
        <v>245</v>
      </c>
      <c r="D83" s="203"/>
      <c r="E83" s="199" t="s">
        <v>244</v>
      </c>
      <c r="F83" s="19">
        <v>7977186977</v>
      </c>
      <c r="G83" s="5" t="s">
        <v>38</v>
      </c>
      <c r="H83" s="205" t="s">
        <v>39</v>
      </c>
      <c r="I83" s="204" t="s">
        <v>34</v>
      </c>
      <c r="J83" s="205" t="s">
        <v>12</v>
      </c>
      <c r="K83" s="18">
        <v>800</v>
      </c>
      <c r="L83" s="43">
        <v>46033</v>
      </c>
      <c r="M83" s="46">
        <v>0.66666666666666663</v>
      </c>
      <c r="N83" s="25" t="s">
        <v>231</v>
      </c>
      <c r="O83" s="205" t="s">
        <v>35</v>
      </c>
      <c r="P83" s="206" t="s">
        <v>18</v>
      </c>
      <c r="Q83" s="207"/>
      <c r="R83" s="207"/>
      <c r="S83" s="109">
        <f t="shared" si="2"/>
        <v>800</v>
      </c>
      <c r="T83" s="18"/>
      <c r="U83" s="8"/>
      <c r="V83" s="8"/>
      <c r="W83" s="109"/>
      <c r="X83" s="40">
        <f t="shared" si="3"/>
        <v>800</v>
      </c>
      <c r="Y83" s="1"/>
      <c r="Z83" s="1"/>
    </row>
    <row r="84" spans="1:26" s="3" customFormat="1" ht="19.95" customHeight="1">
      <c r="A84" s="18">
        <v>93</v>
      </c>
      <c r="B84" s="199" t="s">
        <v>255</v>
      </c>
      <c r="C84" s="207" t="s">
        <v>246</v>
      </c>
      <c r="D84" s="928"/>
      <c r="E84" s="199" t="s">
        <v>255</v>
      </c>
      <c r="F84" s="19">
        <v>9967883422</v>
      </c>
      <c r="G84" s="5" t="s">
        <v>38</v>
      </c>
      <c r="H84" s="206" t="s">
        <v>39</v>
      </c>
      <c r="I84" s="207" t="s">
        <v>34</v>
      </c>
      <c r="J84" s="206" t="s">
        <v>12</v>
      </c>
      <c r="K84" s="18">
        <v>700</v>
      </c>
      <c r="L84" s="43">
        <v>46035</v>
      </c>
      <c r="M84" s="208" t="s">
        <v>247</v>
      </c>
      <c r="N84" s="25" t="s">
        <v>231</v>
      </c>
      <c r="O84" s="206" t="s">
        <v>148</v>
      </c>
      <c r="P84" s="185" t="s">
        <v>19</v>
      </c>
      <c r="Q84" s="211"/>
      <c r="R84" s="211"/>
      <c r="S84" s="109">
        <f t="shared" si="2"/>
        <v>700</v>
      </c>
      <c r="T84" s="18"/>
      <c r="U84" s="8"/>
      <c r="V84" s="8"/>
      <c r="W84" s="109"/>
      <c r="X84" s="40">
        <f t="shared" si="3"/>
        <v>700</v>
      </c>
      <c r="Y84" s="1"/>
      <c r="Z84" s="1"/>
    </row>
    <row r="85" spans="1:26" s="3" customFormat="1" ht="19.95" customHeight="1">
      <c r="A85" s="879">
        <v>94</v>
      </c>
      <c r="B85" s="880" t="s">
        <v>248</v>
      </c>
      <c r="C85" s="881" t="s">
        <v>250</v>
      </c>
      <c r="D85" s="880"/>
      <c r="E85" s="880" t="s">
        <v>249</v>
      </c>
      <c r="F85" s="882">
        <v>9418025958</v>
      </c>
      <c r="G85" s="883" t="s">
        <v>38</v>
      </c>
      <c r="H85" s="881" t="s">
        <v>39</v>
      </c>
      <c r="I85" s="881" t="s">
        <v>34</v>
      </c>
      <c r="J85" s="881" t="s">
        <v>12</v>
      </c>
      <c r="K85" s="879">
        <v>600</v>
      </c>
      <c r="L85" s="884">
        <v>46035</v>
      </c>
      <c r="M85" s="885">
        <v>0.54166666666666663</v>
      </c>
      <c r="N85" s="886" t="s">
        <v>231</v>
      </c>
      <c r="O85" s="881" t="s">
        <v>198</v>
      </c>
      <c r="P85" s="887" t="s">
        <v>1</v>
      </c>
      <c r="Q85" s="887"/>
      <c r="R85" s="887"/>
      <c r="S85" s="888">
        <f t="shared" si="2"/>
        <v>600</v>
      </c>
      <c r="T85" s="879"/>
      <c r="U85" s="879"/>
      <c r="V85" s="879"/>
      <c r="W85" s="888"/>
      <c r="X85" s="889">
        <f t="shared" si="3"/>
        <v>600</v>
      </c>
      <c r="Y85" s="1"/>
      <c r="Z85" s="1"/>
    </row>
    <row r="86" spans="1:26" s="9" customFormat="1" ht="19.95" customHeight="1">
      <c r="A86" s="8">
        <v>95</v>
      </c>
      <c r="B86" s="209" t="s">
        <v>251</v>
      </c>
      <c r="C86" s="209" t="s">
        <v>252</v>
      </c>
      <c r="D86" s="209"/>
      <c r="E86" s="209" t="s">
        <v>253</v>
      </c>
      <c r="F86" s="14">
        <v>9979928210</v>
      </c>
      <c r="G86" s="907" t="s">
        <v>38</v>
      </c>
      <c r="H86" s="209" t="s">
        <v>55</v>
      </c>
      <c r="I86" s="209" t="s">
        <v>34</v>
      </c>
      <c r="J86" s="209" t="s">
        <v>94</v>
      </c>
      <c r="K86" s="8">
        <v>2000</v>
      </c>
      <c r="L86" s="43">
        <v>46036</v>
      </c>
      <c r="M86" s="210" t="s">
        <v>45</v>
      </c>
      <c r="N86" s="242" t="s">
        <v>231</v>
      </c>
      <c r="O86" s="209" t="s">
        <v>148</v>
      </c>
      <c r="P86" s="211" t="s">
        <v>1</v>
      </c>
      <c r="Q86" s="211"/>
      <c r="R86" s="211"/>
      <c r="S86" s="109">
        <f t="shared" si="2"/>
        <v>2000</v>
      </c>
      <c r="T86" s="254" t="s">
        <v>339</v>
      </c>
      <c r="U86" s="254"/>
      <c r="V86" s="254"/>
      <c r="W86" s="109"/>
      <c r="X86" s="709">
        <f t="shared" si="3"/>
        <v>2000</v>
      </c>
      <c r="Y86" s="254"/>
      <c r="Z86" s="8"/>
    </row>
    <row r="87" spans="1:26" s="3" customFormat="1" ht="19.95" customHeight="1">
      <c r="A87" s="893">
        <v>96</v>
      </c>
      <c r="B87" s="894" t="s">
        <v>254</v>
      </c>
      <c r="C87" s="895" t="s">
        <v>256</v>
      </c>
      <c r="D87" s="894"/>
      <c r="E87" s="894" t="s">
        <v>257</v>
      </c>
      <c r="F87" s="896">
        <v>9867700606</v>
      </c>
      <c r="G87" s="897" t="s">
        <v>38</v>
      </c>
      <c r="H87" s="895" t="s">
        <v>39</v>
      </c>
      <c r="I87" s="895" t="s">
        <v>34</v>
      </c>
      <c r="J87" s="895" t="s">
        <v>12</v>
      </c>
      <c r="K87" s="893">
        <v>700</v>
      </c>
      <c r="L87" s="898">
        <v>46039</v>
      </c>
      <c r="M87" s="899" t="s">
        <v>258</v>
      </c>
      <c r="N87" s="900" t="s">
        <v>148</v>
      </c>
      <c r="O87" s="895" t="s">
        <v>35</v>
      </c>
      <c r="P87" s="895" t="s">
        <v>1</v>
      </c>
      <c r="Q87" s="713"/>
      <c r="R87" s="713"/>
      <c r="S87" s="901">
        <f t="shared" si="2"/>
        <v>700</v>
      </c>
      <c r="T87" s="188" t="s">
        <v>341</v>
      </c>
      <c r="U87" s="188"/>
      <c r="V87" s="188"/>
      <c r="W87" s="721"/>
      <c r="X87" s="902">
        <f t="shared" si="3"/>
        <v>700</v>
      </c>
      <c r="Y87" s="1"/>
      <c r="Z87" s="1"/>
    </row>
    <row r="88" spans="1:26" s="3" customFormat="1" ht="19.95" customHeight="1">
      <c r="A88" s="18">
        <v>97</v>
      </c>
      <c r="B88" s="199" t="s">
        <v>260</v>
      </c>
      <c r="C88" s="211" t="s">
        <v>259</v>
      </c>
      <c r="D88" s="199"/>
      <c r="E88" s="199" t="s">
        <v>261</v>
      </c>
      <c r="F88" s="19">
        <v>9869385762</v>
      </c>
      <c r="G88" s="5" t="s">
        <v>38</v>
      </c>
      <c r="H88" s="185" t="s">
        <v>39</v>
      </c>
      <c r="I88" s="211" t="s">
        <v>34</v>
      </c>
      <c r="J88" s="185" t="s">
        <v>12</v>
      </c>
      <c r="K88" s="18">
        <v>800</v>
      </c>
      <c r="L88" s="43">
        <v>46040</v>
      </c>
      <c r="M88" s="212" t="s">
        <v>56</v>
      </c>
      <c r="N88" s="25" t="s">
        <v>231</v>
      </c>
      <c r="O88" s="185" t="s">
        <v>148</v>
      </c>
      <c r="P88" s="175" t="s">
        <v>19</v>
      </c>
      <c r="Q88" s="711"/>
      <c r="R88" s="711"/>
      <c r="S88" s="109">
        <f t="shared" si="2"/>
        <v>800</v>
      </c>
      <c r="T88" s="18"/>
      <c r="U88" s="8"/>
      <c r="V88" s="8"/>
      <c r="W88" s="109"/>
      <c r="X88" s="40">
        <f t="shared" si="3"/>
        <v>800</v>
      </c>
      <c r="Y88" s="1"/>
      <c r="Z88" s="1"/>
    </row>
    <row r="89" spans="1:26" s="3" customFormat="1" ht="19.95" customHeight="1">
      <c r="A89" s="18">
        <v>98</v>
      </c>
      <c r="B89" s="213" t="s">
        <v>264</v>
      </c>
      <c r="C89" s="152" t="s">
        <v>263</v>
      </c>
      <c r="D89" s="213"/>
      <c r="E89" s="213" t="s">
        <v>265</v>
      </c>
      <c r="F89" s="19">
        <v>8779092043</v>
      </c>
      <c r="G89" s="5" t="s">
        <v>38</v>
      </c>
      <c r="H89" s="214" t="s">
        <v>55</v>
      </c>
      <c r="I89" s="152" t="s">
        <v>34</v>
      </c>
      <c r="J89" s="214" t="s">
        <v>12</v>
      </c>
      <c r="K89" s="18">
        <v>500</v>
      </c>
      <c r="L89" s="43">
        <v>46040</v>
      </c>
      <c r="M89" s="215" t="s">
        <v>266</v>
      </c>
      <c r="N89" s="213" t="s">
        <v>135</v>
      </c>
      <c r="O89" s="17" t="s">
        <v>198</v>
      </c>
      <c r="P89" s="175" t="s">
        <v>1</v>
      </c>
      <c r="Q89" s="711"/>
      <c r="R89" s="711"/>
      <c r="S89" s="109">
        <f t="shared" si="2"/>
        <v>500</v>
      </c>
      <c r="T89" s="52"/>
      <c r="U89" s="254"/>
      <c r="V89" s="254"/>
      <c r="W89" s="109"/>
      <c r="X89" s="40">
        <f t="shared" si="3"/>
        <v>500</v>
      </c>
      <c r="Y89" s="1"/>
      <c r="Z89" s="1"/>
    </row>
    <row r="90" spans="1:26" s="3" customFormat="1" ht="19.95" customHeight="1">
      <c r="A90" s="18">
        <v>99</v>
      </c>
      <c r="B90" s="216" t="s">
        <v>268</v>
      </c>
      <c r="C90" s="35" t="s">
        <v>269</v>
      </c>
      <c r="D90" s="216"/>
      <c r="E90" s="216" t="s">
        <v>268</v>
      </c>
      <c r="F90" s="19">
        <v>9637644290</v>
      </c>
      <c r="G90" s="5" t="s">
        <v>38</v>
      </c>
      <c r="H90" s="17" t="s">
        <v>39</v>
      </c>
      <c r="I90" s="35" t="s">
        <v>34</v>
      </c>
      <c r="J90" s="175" t="s">
        <v>12</v>
      </c>
      <c r="K90" s="18">
        <v>900</v>
      </c>
      <c r="L90" s="43">
        <v>46041</v>
      </c>
      <c r="M90" s="217" t="s">
        <v>124</v>
      </c>
      <c r="N90" s="216" t="s">
        <v>104</v>
      </c>
      <c r="O90" s="17" t="s">
        <v>199</v>
      </c>
      <c r="P90" s="175" t="s">
        <v>19</v>
      </c>
      <c r="Q90" s="711"/>
      <c r="R90" s="711"/>
      <c r="S90" s="109">
        <f t="shared" si="2"/>
        <v>900</v>
      </c>
      <c r="T90" s="18"/>
      <c r="U90" s="8"/>
      <c r="V90" s="8"/>
      <c r="W90" s="109"/>
      <c r="X90" s="40">
        <f t="shared" si="3"/>
        <v>900</v>
      </c>
      <c r="Y90" s="1"/>
      <c r="Z90" s="1"/>
    </row>
    <row r="91" spans="1:26" s="3" customFormat="1" ht="19.95" customHeight="1">
      <c r="A91" s="18">
        <v>100</v>
      </c>
      <c r="B91" s="216" t="s">
        <v>271</v>
      </c>
      <c r="C91" s="10" t="s">
        <v>270</v>
      </c>
      <c r="D91" s="10"/>
      <c r="E91" s="17" t="s">
        <v>272</v>
      </c>
      <c r="F91" s="19">
        <v>9892952555</v>
      </c>
      <c r="G91" s="17" t="s">
        <v>75</v>
      </c>
      <c r="H91" s="17" t="s">
        <v>39</v>
      </c>
      <c r="I91" s="35" t="s">
        <v>34</v>
      </c>
      <c r="J91" s="17" t="s">
        <v>15</v>
      </c>
      <c r="K91" s="18">
        <v>1800</v>
      </c>
      <c r="L91" s="43">
        <v>46042</v>
      </c>
      <c r="M91" s="46">
        <v>0.45833333333333331</v>
      </c>
      <c r="N91" s="25" t="s">
        <v>231</v>
      </c>
      <c r="O91" s="17" t="s">
        <v>198</v>
      </c>
      <c r="P91" s="273" t="s">
        <v>417</v>
      </c>
      <c r="Q91" s="359"/>
      <c r="R91" s="359"/>
      <c r="S91" s="109">
        <f t="shared" si="2"/>
        <v>1800</v>
      </c>
      <c r="T91" s="52"/>
      <c r="U91" s="254"/>
      <c r="V91" s="254"/>
      <c r="W91" s="109"/>
      <c r="X91" s="40">
        <f t="shared" si="3"/>
        <v>1800</v>
      </c>
      <c r="Y91" s="1"/>
      <c r="Z91" s="1"/>
    </row>
    <row r="92" spans="1:26" s="3" customFormat="1" ht="19.95" customHeight="1">
      <c r="A92" s="18">
        <v>101</v>
      </c>
      <c r="B92" s="218" t="s">
        <v>274</v>
      </c>
      <c r="C92" s="219" t="s">
        <v>275</v>
      </c>
      <c r="D92" s="218"/>
      <c r="E92" s="218" t="s">
        <v>274</v>
      </c>
      <c r="F92" s="19">
        <v>8956697395</v>
      </c>
      <c r="G92" s="17" t="s">
        <v>75</v>
      </c>
      <c r="H92" s="220" t="s">
        <v>55</v>
      </c>
      <c r="I92" s="35" t="s">
        <v>34</v>
      </c>
      <c r="J92" s="220" t="s">
        <v>15</v>
      </c>
      <c r="K92" s="18">
        <v>1500</v>
      </c>
      <c r="L92" s="43">
        <v>46043</v>
      </c>
      <c r="M92" s="46">
        <v>0.41666666666666669</v>
      </c>
      <c r="N92" s="25" t="s">
        <v>231</v>
      </c>
      <c r="O92" s="220" t="s">
        <v>35</v>
      </c>
      <c r="P92" s="52" t="s">
        <v>1</v>
      </c>
      <c r="Q92" s="254"/>
      <c r="R92" s="254"/>
      <c r="S92" s="109">
        <f t="shared" si="2"/>
        <v>1500</v>
      </c>
      <c r="T92" s="202"/>
      <c r="U92" s="712"/>
      <c r="V92" s="712"/>
      <c r="W92" s="109"/>
      <c r="X92" s="40">
        <f t="shared" si="3"/>
        <v>1500</v>
      </c>
      <c r="Y92" s="1"/>
      <c r="Z92" s="1"/>
    </row>
    <row r="93" spans="1:26" s="3" customFormat="1" ht="19.95" customHeight="1">
      <c r="A93" s="18">
        <v>102</v>
      </c>
      <c r="B93" s="216" t="s">
        <v>267</v>
      </c>
      <c r="C93" s="35" t="s">
        <v>273</v>
      </c>
      <c r="D93" s="216"/>
      <c r="E93" s="216" t="s">
        <v>267</v>
      </c>
      <c r="F93" s="19">
        <v>8999358979</v>
      </c>
      <c r="G93" s="17" t="s">
        <v>75</v>
      </c>
      <c r="H93" s="17" t="s">
        <v>39</v>
      </c>
      <c r="I93" s="35" t="s">
        <v>34</v>
      </c>
      <c r="J93" s="220" t="s">
        <v>12</v>
      </c>
      <c r="K93" s="18">
        <v>600</v>
      </c>
      <c r="L93" s="43">
        <v>46043</v>
      </c>
      <c r="M93" s="46">
        <v>0.54166666666666663</v>
      </c>
      <c r="N93" s="25" t="s">
        <v>231</v>
      </c>
      <c r="O93" s="220" t="s">
        <v>35</v>
      </c>
      <c r="P93" s="175" t="s">
        <v>19</v>
      </c>
      <c r="Q93" s="711"/>
      <c r="R93" s="711"/>
      <c r="S93" s="109">
        <f t="shared" si="2"/>
        <v>600</v>
      </c>
      <c r="T93" s="18"/>
      <c r="U93" s="8"/>
      <c r="V93" s="8"/>
      <c r="W93" s="109"/>
      <c r="X93" s="40">
        <f t="shared" si="3"/>
        <v>600</v>
      </c>
      <c r="Y93" s="1"/>
      <c r="Z93" s="1"/>
    </row>
    <row r="94" spans="1:26" s="3" customFormat="1" ht="19.95" customHeight="1">
      <c r="A94" s="18">
        <v>103</v>
      </c>
      <c r="B94" s="221" t="s">
        <v>280</v>
      </c>
      <c r="C94" s="373" t="s">
        <v>276</v>
      </c>
      <c r="D94" s="513"/>
      <c r="E94" s="221" t="s">
        <v>280</v>
      </c>
      <c r="F94" s="19">
        <v>9869480260</v>
      </c>
      <c r="G94" s="223" t="s">
        <v>38</v>
      </c>
      <c r="H94" s="223" t="s">
        <v>61</v>
      </c>
      <c r="I94" s="222" t="s">
        <v>34</v>
      </c>
      <c r="J94" s="223" t="s">
        <v>12</v>
      </c>
      <c r="K94" s="18">
        <v>700</v>
      </c>
      <c r="L94" s="43">
        <v>46043</v>
      </c>
      <c r="M94" s="224" t="s">
        <v>277</v>
      </c>
      <c r="N94" s="25" t="s">
        <v>231</v>
      </c>
      <c r="O94" s="223" t="s">
        <v>35</v>
      </c>
      <c r="P94" s="202" t="s">
        <v>1</v>
      </c>
      <c r="Q94" s="712"/>
      <c r="R94" s="712"/>
      <c r="S94" s="109">
        <f t="shared" si="2"/>
        <v>700</v>
      </c>
      <c r="T94" s="18"/>
      <c r="U94" s="8"/>
      <c r="V94" s="8"/>
      <c r="W94" s="109"/>
      <c r="X94" s="40">
        <f t="shared" si="3"/>
        <v>700</v>
      </c>
      <c r="Y94" s="1"/>
      <c r="Z94" s="1"/>
    </row>
    <row r="95" spans="1:26" s="3" customFormat="1" ht="19.95" customHeight="1">
      <c r="A95" s="18">
        <v>104</v>
      </c>
      <c r="B95" s="221" t="s">
        <v>278</v>
      </c>
      <c r="C95" s="222" t="s">
        <v>279</v>
      </c>
      <c r="D95" s="221"/>
      <c r="E95" s="221" t="s">
        <v>278</v>
      </c>
      <c r="F95" s="19">
        <v>9970271355</v>
      </c>
      <c r="G95" s="223" t="s">
        <v>38</v>
      </c>
      <c r="H95" s="223" t="s">
        <v>61</v>
      </c>
      <c r="I95" s="222" t="s">
        <v>34</v>
      </c>
      <c r="J95" s="223" t="s">
        <v>12</v>
      </c>
      <c r="K95" s="18">
        <v>1000</v>
      </c>
      <c r="L95" s="43">
        <v>46043</v>
      </c>
      <c r="M95" s="46">
        <v>0.70833333333333337</v>
      </c>
      <c r="N95" s="25" t="s">
        <v>231</v>
      </c>
      <c r="O95" s="223" t="s">
        <v>35</v>
      </c>
      <c r="P95" s="202" t="s">
        <v>19</v>
      </c>
      <c r="Q95" s="712"/>
      <c r="R95" s="712"/>
      <c r="S95" s="109">
        <f t="shared" si="2"/>
        <v>1000</v>
      </c>
      <c r="T95" s="18"/>
      <c r="U95" s="8"/>
      <c r="V95" s="8"/>
      <c r="W95" s="109"/>
      <c r="X95" s="40">
        <f t="shared" si="3"/>
        <v>1000</v>
      </c>
      <c r="Y95" s="1"/>
      <c r="Z95" s="1"/>
    </row>
    <row r="96" spans="1:26" s="3" customFormat="1" ht="19.95" customHeight="1">
      <c r="A96" s="18">
        <v>105</v>
      </c>
      <c r="B96" s="225" t="s">
        <v>284</v>
      </c>
      <c r="C96" s="226" t="s">
        <v>285</v>
      </c>
      <c r="D96" s="226"/>
      <c r="E96" s="227" t="s">
        <v>290</v>
      </c>
      <c r="F96" s="19">
        <v>7021606540</v>
      </c>
      <c r="G96" s="228" t="s">
        <v>286</v>
      </c>
      <c r="H96" s="227" t="s">
        <v>291</v>
      </c>
      <c r="I96" s="229" t="s">
        <v>292</v>
      </c>
      <c r="J96" s="228" t="s">
        <v>12</v>
      </c>
      <c r="K96" s="18">
        <v>3000</v>
      </c>
      <c r="L96" s="43">
        <v>46044</v>
      </c>
      <c r="M96" s="46">
        <v>0.45833333333333331</v>
      </c>
      <c r="N96" s="225" t="s">
        <v>287</v>
      </c>
      <c r="O96" s="230" t="s">
        <v>148</v>
      </c>
      <c r="P96" s="273" t="s">
        <v>19</v>
      </c>
      <c r="Q96" s="359"/>
      <c r="R96" s="359"/>
      <c r="S96" s="109">
        <f t="shared" si="2"/>
        <v>3000</v>
      </c>
      <c r="T96" s="52"/>
      <c r="U96" s="254"/>
      <c r="V96" s="254"/>
      <c r="W96" s="109"/>
      <c r="X96" s="40">
        <f t="shared" si="3"/>
        <v>3000</v>
      </c>
      <c r="Y96" s="1"/>
      <c r="Z96" s="1"/>
    </row>
    <row r="97" spans="1:26" s="3" customFormat="1" ht="19.95" customHeight="1">
      <c r="A97" s="879">
        <v>106</v>
      </c>
      <c r="B97" s="890" t="s">
        <v>288</v>
      </c>
      <c r="C97" s="891" t="s">
        <v>289</v>
      </c>
      <c r="D97" s="890"/>
      <c r="E97" s="890" t="s">
        <v>288</v>
      </c>
      <c r="F97" s="882">
        <v>9867336061</v>
      </c>
      <c r="G97" s="891" t="s">
        <v>75</v>
      </c>
      <c r="H97" s="891" t="s">
        <v>39</v>
      </c>
      <c r="I97" s="891" t="s">
        <v>34</v>
      </c>
      <c r="J97" s="891" t="s">
        <v>15</v>
      </c>
      <c r="K97" s="879">
        <v>2000</v>
      </c>
      <c r="L97" s="884">
        <v>46045</v>
      </c>
      <c r="M97" s="885">
        <v>0.58333333333333337</v>
      </c>
      <c r="N97" s="886" t="s">
        <v>231</v>
      </c>
      <c r="O97" s="891" t="s">
        <v>199</v>
      </c>
      <c r="P97" s="892" t="s">
        <v>19</v>
      </c>
      <c r="Q97" s="892"/>
      <c r="R97" s="892"/>
      <c r="S97" s="888">
        <f t="shared" si="2"/>
        <v>2000</v>
      </c>
      <c r="T97" s="892" t="s">
        <v>325</v>
      </c>
      <c r="U97" s="892"/>
      <c r="V97" s="892"/>
      <c r="W97" s="888"/>
      <c r="X97" s="889">
        <f t="shared" si="3"/>
        <v>2000</v>
      </c>
      <c r="Y97" s="1"/>
      <c r="Z97" s="1"/>
    </row>
    <row r="98" spans="1:26" s="9" customFormat="1" ht="19.95" customHeight="1">
      <c r="A98" s="8">
        <v>107</v>
      </c>
      <c r="B98" s="231" t="s">
        <v>293</v>
      </c>
      <c r="C98" s="231" t="s">
        <v>294</v>
      </c>
      <c r="D98" s="231"/>
      <c r="E98" s="231" t="s">
        <v>293</v>
      </c>
      <c r="F98" s="14">
        <v>9699722239</v>
      </c>
      <c r="G98" s="231" t="s">
        <v>38</v>
      </c>
      <c r="H98" s="231" t="s">
        <v>61</v>
      </c>
      <c r="I98" s="231" t="s">
        <v>34</v>
      </c>
      <c r="J98" s="714" t="s">
        <v>94</v>
      </c>
      <c r="K98" s="8">
        <v>2700</v>
      </c>
      <c r="L98" s="43">
        <v>46046</v>
      </c>
      <c r="M98" s="46">
        <v>0.70833333333333337</v>
      </c>
      <c r="N98" s="908" t="s">
        <v>108</v>
      </c>
      <c r="O98" s="231" t="s">
        <v>198</v>
      </c>
      <c r="P98" s="249" t="s">
        <v>1</v>
      </c>
      <c r="Q98" s="249"/>
      <c r="R98" s="249"/>
      <c r="S98" s="109">
        <f t="shared" si="2"/>
        <v>2700</v>
      </c>
      <c r="T98" s="254" t="s">
        <v>341</v>
      </c>
      <c r="U98" s="254"/>
      <c r="V98" s="254"/>
      <c r="W98" s="109"/>
      <c r="X98" s="709">
        <f t="shared" si="3"/>
        <v>2700</v>
      </c>
      <c r="Y98" s="254"/>
      <c r="Z98" s="8"/>
    </row>
    <row r="99" spans="1:26" s="3" customFormat="1" ht="19.95" customHeight="1">
      <c r="A99" s="893">
        <v>108</v>
      </c>
      <c r="B99" s="900" t="s">
        <v>297</v>
      </c>
      <c r="C99" s="903" t="s">
        <v>298</v>
      </c>
      <c r="D99" s="900"/>
      <c r="E99" s="904" t="s">
        <v>297</v>
      </c>
      <c r="F99" s="896">
        <v>9511224349</v>
      </c>
      <c r="G99" s="903" t="s">
        <v>38</v>
      </c>
      <c r="H99" s="903" t="s">
        <v>39</v>
      </c>
      <c r="I99" s="903" t="s">
        <v>34</v>
      </c>
      <c r="J99" s="903" t="s">
        <v>12</v>
      </c>
      <c r="K99" s="893">
        <v>700</v>
      </c>
      <c r="L99" s="898">
        <v>46045</v>
      </c>
      <c r="M99" s="905">
        <v>0.625</v>
      </c>
      <c r="N99" s="900" t="s">
        <v>148</v>
      </c>
      <c r="O99" s="903" t="s">
        <v>35</v>
      </c>
      <c r="P99" s="906" t="s">
        <v>19</v>
      </c>
      <c r="Q99" s="906"/>
      <c r="R99" s="906"/>
      <c r="S99" s="901">
        <f t="shared" si="2"/>
        <v>700</v>
      </c>
      <c r="T99" s="893"/>
      <c r="U99" s="893"/>
      <c r="V99" s="893"/>
      <c r="W99" s="901"/>
      <c r="X99" s="902">
        <f t="shared" si="3"/>
        <v>700</v>
      </c>
      <c r="Y99" s="1"/>
      <c r="Z99" s="1"/>
    </row>
    <row r="100" spans="1:26" s="3" customFormat="1" ht="19.95" customHeight="1">
      <c r="A100" s="18">
        <v>109</v>
      </c>
      <c r="B100" s="26" t="s">
        <v>299</v>
      </c>
      <c r="C100" s="233" t="s">
        <v>300</v>
      </c>
      <c r="D100" s="26"/>
      <c r="E100" s="26" t="s">
        <v>299</v>
      </c>
      <c r="F100" s="19">
        <v>8888444330</v>
      </c>
      <c r="G100" s="235" t="s">
        <v>38</v>
      </c>
      <c r="H100" s="235" t="s">
        <v>55</v>
      </c>
      <c r="I100" s="233" t="s">
        <v>34</v>
      </c>
      <c r="J100" s="235" t="s">
        <v>12</v>
      </c>
      <c r="K100" s="18">
        <v>500</v>
      </c>
      <c r="L100" s="43">
        <v>46046</v>
      </c>
      <c r="M100" s="46">
        <v>0.41666666666666669</v>
      </c>
      <c r="N100" s="26" t="s">
        <v>108</v>
      </c>
      <c r="O100" s="235" t="s">
        <v>148</v>
      </c>
      <c r="P100" s="192" t="s">
        <v>1</v>
      </c>
      <c r="Q100" s="249"/>
      <c r="R100" s="249"/>
      <c r="S100" s="109">
        <f t="shared" si="2"/>
        <v>500</v>
      </c>
      <c r="T100" s="18"/>
      <c r="U100" s="8"/>
      <c r="V100" s="8"/>
      <c r="W100" s="109"/>
      <c r="X100" s="40">
        <f t="shared" si="3"/>
        <v>500</v>
      </c>
      <c r="Y100" s="1"/>
      <c r="Z100" s="1"/>
    </row>
    <row r="101" spans="1:26" s="3" customFormat="1" ht="19.95" customHeight="1">
      <c r="A101" s="18">
        <v>110</v>
      </c>
      <c r="B101" s="26" t="s">
        <v>301</v>
      </c>
      <c r="C101" s="233" t="s">
        <v>302</v>
      </c>
      <c r="D101" s="233"/>
      <c r="E101" s="235" t="s">
        <v>303</v>
      </c>
      <c r="F101" s="19">
        <v>9322210528</v>
      </c>
      <c r="G101" s="235" t="s">
        <v>38</v>
      </c>
      <c r="H101" s="235" t="s">
        <v>65</v>
      </c>
      <c r="I101" s="167" t="s">
        <v>209</v>
      </c>
      <c r="J101" s="235" t="s">
        <v>12</v>
      </c>
      <c r="K101" s="236">
        <v>1500</v>
      </c>
      <c r="L101" s="43">
        <v>46046</v>
      </c>
      <c r="M101" s="46">
        <v>0.66666666666666663</v>
      </c>
      <c r="N101" s="25" t="s">
        <v>231</v>
      </c>
      <c r="O101" s="235" t="s">
        <v>148</v>
      </c>
      <c r="P101" s="284" t="s">
        <v>417</v>
      </c>
      <c r="Q101" s="286"/>
      <c r="R101" s="286"/>
      <c r="S101" s="109">
        <f t="shared" si="2"/>
        <v>1500</v>
      </c>
      <c r="T101" s="52"/>
      <c r="U101" s="254"/>
      <c r="V101" s="254"/>
      <c r="W101" s="109"/>
      <c r="X101" s="40">
        <f t="shared" si="3"/>
        <v>1500</v>
      </c>
      <c r="Y101" s="192" t="s">
        <v>328</v>
      </c>
      <c r="Z101" s="1"/>
    </row>
    <row r="102" spans="1:26" s="3" customFormat="1" ht="19.95" customHeight="1">
      <c r="A102" s="18">
        <v>111</v>
      </c>
      <c r="B102" s="234" t="s">
        <v>306</v>
      </c>
      <c r="C102" s="237" t="s">
        <v>304</v>
      </c>
      <c r="D102" s="234"/>
      <c r="E102" s="234" t="s">
        <v>306</v>
      </c>
      <c r="F102" s="19">
        <v>8788087354</v>
      </c>
      <c r="G102" s="238" t="s">
        <v>305</v>
      </c>
      <c r="H102" s="238" t="s">
        <v>39</v>
      </c>
      <c r="I102" s="237" t="s">
        <v>34</v>
      </c>
      <c r="J102" s="238" t="s">
        <v>12</v>
      </c>
      <c r="K102" s="18">
        <v>1200</v>
      </c>
      <c r="L102" s="43">
        <v>46046</v>
      </c>
      <c r="M102" s="46">
        <v>0.45833333333333331</v>
      </c>
      <c r="N102" s="234" t="s">
        <v>148</v>
      </c>
      <c r="O102" s="238" t="s">
        <v>35</v>
      </c>
      <c r="P102" s="192" t="s">
        <v>1</v>
      </c>
      <c r="Q102" s="249"/>
      <c r="R102" s="249"/>
      <c r="S102" s="109">
        <f t="shared" si="2"/>
        <v>1200</v>
      </c>
      <c r="T102" s="52"/>
      <c r="U102" s="254"/>
      <c r="V102" s="254"/>
      <c r="W102" s="109"/>
      <c r="X102" s="40">
        <f t="shared" si="3"/>
        <v>1200</v>
      </c>
      <c r="Y102" s="1"/>
      <c r="Z102" s="1"/>
    </row>
    <row r="103" spans="1:26" s="3" customFormat="1" ht="19.95" customHeight="1">
      <c r="A103" s="18">
        <v>112</v>
      </c>
      <c r="B103" s="239" t="s">
        <v>307</v>
      </c>
      <c r="C103" s="240" t="s">
        <v>308</v>
      </c>
      <c r="D103" s="929"/>
      <c r="E103" s="239" t="s">
        <v>309</v>
      </c>
      <c r="F103" s="19">
        <v>9892441367</v>
      </c>
      <c r="G103" s="37" t="s">
        <v>322</v>
      </c>
      <c r="H103" s="236" t="s">
        <v>39</v>
      </c>
      <c r="I103" s="241" t="s">
        <v>34</v>
      </c>
      <c r="J103" s="236" t="s">
        <v>12</v>
      </c>
      <c r="K103" s="18">
        <v>4000</v>
      </c>
      <c r="L103" s="43">
        <v>46046</v>
      </c>
      <c r="M103" s="46">
        <v>0.58333333333333337</v>
      </c>
      <c r="N103" s="25" t="s">
        <v>231</v>
      </c>
      <c r="O103" s="295" t="s">
        <v>148</v>
      </c>
      <c r="P103" s="192" t="s">
        <v>18</v>
      </c>
      <c r="Q103" s="249"/>
      <c r="R103" s="249"/>
      <c r="S103" s="109">
        <f t="shared" si="2"/>
        <v>4000</v>
      </c>
      <c r="T103" s="18"/>
      <c r="U103" s="8"/>
      <c r="V103" s="8"/>
      <c r="W103" s="109"/>
      <c r="X103" s="40">
        <f t="shared" si="3"/>
        <v>4000</v>
      </c>
      <c r="Y103" s="1"/>
      <c r="Z103" s="1"/>
    </row>
    <row r="104" spans="1:26" s="3" customFormat="1" ht="19.95" customHeight="1">
      <c r="A104" s="18">
        <v>113</v>
      </c>
      <c r="B104" s="25" t="s">
        <v>283</v>
      </c>
      <c r="C104" s="242" t="s">
        <v>281</v>
      </c>
      <c r="D104" s="242"/>
      <c r="E104" s="230" t="s">
        <v>282</v>
      </c>
      <c r="F104" s="19">
        <v>9820743395</v>
      </c>
      <c r="G104" s="230" t="s">
        <v>38</v>
      </c>
      <c r="H104" s="166" t="s">
        <v>100</v>
      </c>
      <c r="I104" s="167" t="s">
        <v>209</v>
      </c>
      <c r="J104" s="230" t="s">
        <v>94</v>
      </c>
      <c r="K104" s="18">
        <v>6000</v>
      </c>
      <c r="L104" s="43">
        <v>46047</v>
      </c>
      <c r="M104" s="46">
        <v>0.45833333333333331</v>
      </c>
      <c r="N104" s="25" t="s">
        <v>231</v>
      </c>
      <c r="O104" s="230" t="s">
        <v>148</v>
      </c>
      <c r="P104" s="192" t="s">
        <v>19</v>
      </c>
      <c r="Q104" s="249"/>
      <c r="R104" s="249"/>
      <c r="S104" s="109">
        <f t="shared" si="2"/>
        <v>6000</v>
      </c>
      <c r="T104" s="52" t="s">
        <v>342</v>
      </c>
      <c r="U104" s="254"/>
      <c r="V104" s="254"/>
      <c r="W104" s="109"/>
      <c r="X104" s="40">
        <f t="shared" si="3"/>
        <v>6000</v>
      </c>
      <c r="Y104" s="493" t="s">
        <v>328</v>
      </c>
      <c r="Z104" s="1"/>
    </row>
    <row r="105" spans="1:26" s="3" customFormat="1" ht="19.95" customHeight="1">
      <c r="A105" s="18">
        <v>114</v>
      </c>
      <c r="B105" s="293" t="s">
        <v>295</v>
      </c>
      <c r="C105" s="292" t="s">
        <v>296</v>
      </c>
      <c r="D105" s="292"/>
      <c r="E105" s="236" t="s">
        <v>310</v>
      </c>
      <c r="F105" s="19">
        <v>9763074203</v>
      </c>
      <c r="G105" s="232" t="s">
        <v>38</v>
      </c>
      <c r="H105" s="232" t="s">
        <v>100</v>
      </c>
      <c r="I105" s="231" t="s">
        <v>209</v>
      </c>
      <c r="J105" s="232" t="s">
        <v>12</v>
      </c>
      <c r="K105" s="18"/>
      <c r="L105" s="43">
        <v>46047</v>
      </c>
      <c r="M105" s="46">
        <v>0.45833333333333331</v>
      </c>
      <c r="N105" s="239" t="s">
        <v>108</v>
      </c>
      <c r="O105" s="236" t="s">
        <v>198</v>
      </c>
      <c r="P105" s="18"/>
      <c r="Q105" s="8"/>
      <c r="R105" s="8"/>
      <c r="S105" s="109">
        <f t="shared" si="2"/>
        <v>0</v>
      </c>
      <c r="T105" s="52" t="s">
        <v>153</v>
      </c>
      <c r="U105" s="254"/>
      <c r="V105" s="254"/>
      <c r="W105" s="109"/>
      <c r="X105" s="40">
        <f t="shared" si="3"/>
        <v>0</v>
      </c>
      <c r="Y105" s="1"/>
      <c r="Z105" s="1"/>
    </row>
    <row r="106" spans="1:26" s="3" customFormat="1" ht="19.95" customHeight="1">
      <c r="A106" s="18">
        <v>115</v>
      </c>
      <c r="B106" s="239" t="s">
        <v>311</v>
      </c>
      <c r="C106" s="241" t="s">
        <v>312</v>
      </c>
      <c r="D106" s="239"/>
      <c r="E106" s="239" t="s">
        <v>311</v>
      </c>
      <c r="F106" s="19">
        <v>9833412035</v>
      </c>
      <c r="G106" s="236" t="s">
        <v>38</v>
      </c>
      <c r="H106" s="236" t="s">
        <v>61</v>
      </c>
      <c r="I106" s="241" t="s">
        <v>34</v>
      </c>
      <c r="J106" s="236" t="s">
        <v>313</v>
      </c>
      <c r="K106" s="18">
        <v>5000</v>
      </c>
      <c r="L106" s="43">
        <v>46047</v>
      </c>
      <c r="M106" s="46">
        <v>0.66666666666666663</v>
      </c>
      <c r="N106" s="25" t="s">
        <v>231</v>
      </c>
      <c r="O106" s="236" t="s">
        <v>148</v>
      </c>
      <c r="P106" s="18"/>
      <c r="Q106" s="1"/>
      <c r="R106" s="1"/>
      <c r="S106" s="109">
        <f t="shared" si="2"/>
        <v>5000</v>
      </c>
      <c r="T106" s="614" t="s">
        <v>338</v>
      </c>
      <c r="U106" s="614"/>
      <c r="V106" s="614"/>
      <c r="W106" s="721"/>
      <c r="X106" s="40">
        <f t="shared" si="3"/>
        <v>5000</v>
      </c>
      <c r="Y106" s="188"/>
      <c r="Z106" s="1"/>
    </row>
    <row r="107" spans="1:26" s="751" customFormat="1" ht="19.95" customHeight="1">
      <c r="A107" s="748">
        <v>116</v>
      </c>
      <c r="B107" s="746" t="s">
        <v>314</v>
      </c>
      <c r="C107" s="745" t="s">
        <v>315</v>
      </c>
      <c r="D107" s="746"/>
      <c r="E107" s="746" t="s">
        <v>314</v>
      </c>
      <c r="F107" s="747">
        <v>9004855502</v>
      </c>
      <c r="G107" s="748" t="s">
        <v>38</v>
      </c>
      <c r="H107" s="748" t="s">
        <v>61</v>
      </c>
      <c r="I107" s="745" t="s">
        <v>34</v>
      </c>
      <c r="J107" s="748" t="s">
        <v>94</v>
      </c>
      <c r="K107" s="748">
        <v>2200</v>
      </c>
      <c r="L107" s="749">
        <v>46047</v>
      </c>
      <c r="M107" s="750">
        <v>0.66666666666666663</v>
      </c>
      <c r="N107" s="746" t="s">
        <v>108</v>
      </c>
      <c r="O107" s="748" t="s">
        <v>148</v>
      </c>
      <c r="P107" s="748" t="s">
        <v>18</v>
      </c>
      <c r="Q107" s="745"/>
      <c r="R107" s="745"/>
      <c r="S107" s="745">
        <f t="shared" si="2"/>
        <v>2200</v>
      </c>
      <c r="T107" s="748"/>
      <c r="U107" s="745"/>
      <c r="V107" s="745"/>
      <c r="W107" s="745"/>
      <c r="X107" s="748">
        <f t="shared" si="3"/>
        <v>2200</v>
      </c>
    </row>
    <row r="108" spans="1:26" s="3" customFormat="1" ht="19.95" customHeight="1">
      <c r="A108" s="18">
        <v>117</v>
      </c>
      <c r="B108" s="243" t="s">
        <v>316</v>
      </c>
      <c r="C108" s="190" t="s">
        <v>224</v>
      </c>
      <c r="D108" s="189"/>
      <c r="E108" s="243" t="s">
        <v>316</v>
      </c>
      <c r="F108" s="19"/>
      <c r="G108" s="191" t="s">
        <v>226</v>
      </c>
      <c r="H108" s="191" t="s">
        <v>227</v>
      </c>
      <c r="I108" s="190" t="s">
        <v>34</v>
      </c>
      <c r="J108" s="191" t="s">
        <v>12</v>
      </c>
      <c r="K108" s="18">
        <v>2500</v>
      </c>
      <c r="L108" s="43">
        <v>46051</v>
      </c>
      <c r="M108" s="46">
        <v>0.41666666666666669</v>
      </c>
      <c r="N108" s="25" t="s">
        <v>231</v>
      </c>
      <c r="O108" s="191" t="s">
        <v>35</v>
      </c>
      <c r="P108" s="37" t="s">
        <v>18</v>
      </c>
      <c r="Q108" s="245"/>
      <c r="R108" s="245"/>
      <c r="S108" s="109">
        <f t="shared" si="2"/>
        <v>2500</v>
      </c>
      <c r="T108" s="18"/>
      <c r="U108" s="8"/>
      <c r="V108" s="8"/>
      <c r="W108" s="109"/>
      <c r="X108" s="40">
        <f t="shared" si="3"/>
        <v>2500</v>
      </c>
      <c r="Y108" s="1"/>
      <c r="Z108" s="1"/>
    </row>
    <row r="109" spans="1:26" s="3" customFormat="1" ht="19.95" customHeight="1">
      <c r="A109" s="18">
        <v>118</v>
      </c>
      <c r="B109" s="244" t="s">
        <v>317</v>
      </c>
      <c r="C109" s="245" t="s">
        <v>318</v>
      </c>
      <c r="D109" s="244"/>
      <c r="E109" s="244" t="s">
        <v>317</v>
      </c>
      <c r="F109" s="19">
        <v>9631204591</v>
      </c>
      <c r="G109" s="37" t="s">
        <v>42</v>
      </c>
      <c r="H109" s="37" t="s">
        <v>323</v>
      </c>
      <c r="I109" s="245" t="s">
        <v>324</v>
      </c>
      <c r="J109" s="191" t="s">
        <v>12</v>
      </c>
      <c r="K109" s="18">
        <v>1500</v>
      </c>
      <c r="L109" s="43">
        <v>46050</v>
      </c>
      <c r="M109" s="246" t="s">
        <v>56</v>
      </c>
      <c r="N109" s="25" t="s">
        <v>231</v>
      </c>
      <c r="O109" s="37" t="s">
        <v>148</v>
      </c>
      <c r="P109" s="192" t="s">
        <v>18</v>
      </c>
      <c r="Q109" s="249"/>
      <c r="R109" s="249"/>
      <c r="S109" s="109">
        <f t="shared" si="2"/>
        <v>1500</v>
      </c>
      <c r="T109" s="18"/>
      <c r="U109" s="8"/>
      <c r="V109" s="8"/>
      <c r="W109" s="109"/>
      <c r="X109" s="40">
        <f t="shared" si="3"/>
        <v>1500</v>
      </c>
      <c r="Y109" s="1"/>
      <c r="Z109" s="1"/>
    </row>
    <row r="110" spans="1:26" s="3" customFormat="1" ht="19.95" customHeight="1">
      <c r="A110" s="18">
        <v>119</v>
      </c>
      <c r="B110" s="244" t="s">
        <v>319</v>
      </c>
      <c r="C110" s="245" t="s">
        <v>320</v>
      </c>
      <c r="D110" s="245"/>
      <c r="E110" s="37" t="s">
        <v>321</v>
      </c>
      <c r="F110" s="19">
        <v>9322908756</v>
      </c>
      <c r="G110" s="37" t="s">
        <v>322</v>
      </c>
      <c r="H110" s="37" t="s">
        <v>65</v>
      </c>
      <c r="I110" s="231" t="s">
        <v>209</v>
      </c>
      <c r="J110" s="191" t="s">
        <v>12</v>
      </c>
      <c r="K110" s="18">
        <v>800</v>
      </c>
      <c r="L110" s="43">
        <v>46050</v>
      </c>
      <c r="M110" s="46">
        <v>0.54166666666666663</v>
      </c>
      <c r="N110" s="25" t="s">
        <v>231</v>
      </c>
      <c r="O110" s="37" t="s">
        <v>148</v>
      </c>
      <c r="P110" s="192" t="s">
        <v>1</v>
      </c>
      <c r="Q110" s="249"/>
      <c r="R110" s="249"/>
      <c r="S110" s="109">
        <f t="shared" si="2"/>
        <v>800</v>
      </c>
      <c r="T110" s="18"/>
      <c r="U110" s="8"/>
      <c r="V110" s="8"/>
      <c r="W110" s="109"/>
      <c r="X110" s="40">
        <f t="shared" si="3"/>
        <v>800</v>
      </c>
      <c r="Y110" s="1"/>
      <c r="Z110" s="1"/>
    </row>
    <row r="111" spans="1:26" s="3" customFormat="1" ht="19.95" customHeight="1">
      <c r="A111" s="18">
        <v>120</v>
      </c>
      <c r="B111" s="247" t="s">
        <v>326</v>
      </c>
      <c r="C111" s="248" t="s">
        <v>327</v>
      </c>
      <c r="D111" s="248"/>
      <c r="E111" s="192" t="s">
        <v>330</v>
      </c>
      <c r="F111" s="19">
        <v>9892058854</v>
      </c>
      <c r="G111" s="192" t="s">
        <v>329</v>
      </c>
      <c r="H111" s="192" t="s">
        <v>323</v>
      </c>
      <c r="I111" s="249" t="s">
        <v>331</v>
      </c>
      <c r="J111" s="378" t="s">
        <v>12</v>
      </c>
      <c r="K111" s="18">
        <v>2000</v>
      </c>
      <c r="L111" s="264">
        <v>46050</v>
      </c>
      <c r="M111" s="46">
        <v>0.625</v>
      </c>
      <c r="N111" s="25" t="s">
        <v>231</v>
      </c>
      <c r="O111" s="378" t="s">
        <v>148</v>
      </c>
      <c r="P111" s="18"/>
      <c r="Q111" s="8"/>
      <c r="R111" s="8"/>
      <c r="S111" s="109">
        <f t="shared" si="2"/>
        <v>2000</v>
      </c>
      <c r="T111" s="18"/>
      <c r="U111" s="8"/>
      <c r="V111" s="8"/>
      <c r="W111" s="109"/>
      <c r="X111" s="40">
        <f t="shared" si="3"/>
        <v>2000</v>
      </c>
      <c r="Y111" s="1"/>
      <c r="Z111" s="1"/>
    </row>
    <row r="112" spans="1:26" s="3" customFormat="1" ht="19.95" customHeight="1">
      <c r="A112" s="18">
        <v>121</v>
      </c>
      <c r="B112" s="250" t="s">
        <v>332</v>
      </c>
      <c r="C112" s="251" t="s">
        <v>333</v>
      </c>
      <c r="D112" s="250"/>
      <c r="E112" s="250"/>
      <c r="F112" s="19">
        <v>9029406243</v>
      </c>
      <c r="G112" s="252" t="s">
        <v>322</v>
      </c>
      <c r="H112" s="252" t="s">
        <v>55</v>
      </c>
      <c r="I112" s="251" t="s">
        <v>34</v>
      </c>
      <c r="J112" s="252" t="s">
        <v>12</v>
      </c>
      <c r="K112" s="18">
        <v>1500</v>
      </c>
      <c r="L112" s="43">
        <v>46052</v>
      </c>
      <c r="M112" s="46">
        <v>0.54166666666666663</v>
      </c>
      <c r="N112" s="25" t="s">
        <v>231</v>
      </c>
      <c r="O112" s="252" t="s">
        <v>198</v>
      </c>
      <c r="P112" s="52" t="s">
        <v>1</v>
      </c>
      <c r="Q112" s="254"/>
      <c r="R112" s="254"/>
      <c r="S112" s="109">
        <f t="shared" si="2"/>
        <v>1500</v>
      </c>
      <c r="T112" s="18"/>
      <c r="U112" s="8"/>
      <c r="V112" s="8"/>
      <c r="W112" s="109"/>
      <c r="X112" s="40">
        <f t="shared" si="3"/>
        <v>1500</v>
      </c>
      <c r="Y112" s="1"/>
      <c r="Z112" s="1"/>
    </row>
    <row r="113" spans="1:26" s="3" customFormat="1" ht="19.95" customHeight="1">
      <c r="A113" s="18">
        <v>122</v>
      </c>
      <c r="B113" s="253" t="s">
        <v>334</v>
      </c>
      <c r="C113" s="254" t="s">
        <v>335</v>
      </c>
      <c r="D113" s="253"/>
      <c r="E113" s="253" t="s">
        <v>334</v>
      </c>
      <c r="F113" s="19"/>
      <c r="G113" s="52" t="s">
        <v>38</v>
      </c>
      <c r="H113" s="52" t="s">
        <v>55</v>
      </c>
      <c r="I113" s="254" t="s">
        <v>34</v>
      </c>
      <c r="J113" s="52" t="s">
        <v>12</v>
      </c>
      <c r="K113" s="18">
        <v>500</v>
      </c>
      <c r="L113" s="43">
        <v>46047</v>
      </c>
      <c r="M113" s="14"/>
      <c r="N113" s="25" t="s">
        <v>231</v>
      </c>
      <c r="O113" s="52" t="s">
        <v>148</v>
      </c>
      <c r="P113" s="52" t="s">
        <v>1</v>
      </c>
      <c r="Q113" s="254"/>
      <c r="R113" s="254"/>
      <c r="S113" s="109">
        <f t="shared" si="2"/>
        <v>500</v>
      </c>
      <c r="T113" s="52"/>
      <c r="U113" s="254"/>
      <c r="V113" s="254"/>
      <c r="W113" s="109"/>
      <c r="X113" s="40">
        <f t="shared" si="3"/>
        <v>500</v>
      </c>
      <c r="Y113" s="1"/>
      <c r="Z113" s="1"/>
    </row>
    <row r="114" spans="1:26" s="3" customFormat="1" ht="19.95" customHeight="1">
      <c r="A114" s="18">
        <v>123</v>
      </c>
      <c r="B114" s="253" t="s">
        <v>336</v>
      </c>
      <c r="C114" s="254" t="s">
        <v>337</v>
      </c>
      <c r="D114" s="253"/>
      <c r="E114" s="253" t="s">
        <v>336</v>
      </c>
      <c r="F114" s="19"/>
      <c r="G114" s="52" t="s">
        <v>38</v>
      </c>
      <c r="H114" s="52" t="s">
        <v>39</v>
      </c>
      <c r="I114" s="254" t="s">
        <v>34</v>
      </c>
      <c r="J114" s="52" t="s">
        <v>12</v>
      </c>
      <c r="K114" s="18">
        <v>1200</v>
      </c>
      <c r="L114" s="43">
        <v>46050</v>
      </c>
      <c r="M114" s="14"/>
      <c r="N114" s="253" t="s">
        <v>108</v>
      </c>
      <c r="O114" s="52" t="s">
        <v>148</v>
      </c>
      <c r="P114" s="18"/>
      <c r="Q114" s="8"/>
      <c r="R114" s="8"/>
      <c r="S114" s="109">
        <f t="shared" si="2"/>
        <v>1200</v>
      </c>
      <c r="T114" s="52" t="s">
        <v>153</v>
      </c>
      <c r="U114" s="254"/>
      <c r="V114" s="254"/>
      <c r="W114" s="109"/>
      <c r="X114" s="40">
        <f t="shared" si="3"/>
        <v>1200</v>
      </c>
      <c r="Y114" s="1"/>
      <c r="Z114" s="1"/>
    </row>
    <row r="115" spans="1:26" s="3" customFormat="1" ht="19.95" customHeight="1">
      <c r="A115" s="18">
        <v>124</v>
      </c>
      <c r="B115" s="298" t="s">
        <v>345</v>
      </c>
      <c r="C115" s="299" t="s">
        <v>346</v>
      </c>
      <c r="D115" s="930"/>
      <c r="E115" s="298" t="s">
        <v>345</v>
      </c>
      <c r="F115" s="19">
        <v>9970458528</v>
      </c>
      <c r="G115" s="300" t="s">
        <v>38</v>
      </c>
      <c r="H115" s="300" t="s">
        <v>61</v>
      </c>
      <c r="I115" s="301" t="s">
        <v>34</v>
      </c>
      <c r="J115" s="300" t="s">
        <v>12</v>
      </c>
      <c r="K115" s="18">
        <v>900</v>
      </c>
      <c r="L115" s="43">
        <v>46055</v>
      </c>
      <c r="M115" s="46">
        <v>0.58333333333333337</v>
      </c>
      <c r="N115" s="298" t="s">
        <v>104</v>
      </c>
      <c r="O115" s="300" t="s">
        <v>35</v>
      </c>
      <c r="P115" s="262" t="s">
        <v>1</v>
      </c>
      <c r="Q115" s="714"/>
      <c r="R115" s="714"/>
      <c r="S115" s="109">
        <f t="shared" si="2"/>
        <v>900</v>
      </c>
      <c r="T115" s="18"/>
      <c r="U115" s="8"/>
      <c r="V115" s="8"/>
      <c r="W115" s="109"/>
      <c r="X115" s="40">
        <f t="shared" si="3"/>
        <v>900</v>
      </c>
      <c r="Y115" s="1"/>
      <c r="Z115" s="1"/>
    </row>
    <row r="116" spans="1:26" s="3" customFormat="1" ht="19.95" customHeight="1">
      <c r="A116" s="18">
        <v>125</v>
      </c>
      <c r="B116" s="302" t="s">
        <v>347</v>
      </c>
      <c r="C116" s="303" t="s">
        <v>348</v>
      </c>
      <c r="D116" s="302"/>
      <c r="E116" s="302" t="s">
        <v>347</v>
      </c>
      <c r="F116" s="19">
        <v>9545276793</v>
      </c>
      <c r="G116" s="304" t="s">
        <v>75</v>
      </c>
      <c r="H116" s="304" t="s">
        <v>55</v>
      </c>
      <c r="I116" s="303" t="s">
        <v>34</v>
      </c>
      <c r="J116" s="304" t="s">
        <v>15</v>
      </c>
      <c r="K116" s="18">
        <v>1800</v>
      </c>
      <c r="L116" s="43">
        <v>46055</v>
      </c>
      <c r="M116" s="46">
        <v>0.45833333333333331</v>
      </c>
      <c r="N116" s="302" t="s">
        <v>104</v>
      </c>
      <c r="O116" s="304" t="s">
        <v>35</v>
      </c>
      <c r="P116" s="262" t="s">
        <v>1</v>
      </c>
      <c r="Q116" s="714"/>
      <c r="R116" s="714"/>
      <c r="S116" s="109">
        <f t="shared" si="2"/>
        <v>1800</v>
      </c>
      <c r="T116" s="18"/>
      <c r="U116" s="8"/>
      <c r="V116" s="8"/>
      <c r="W116" s="109"/>
      <c r="X116" s="40">
        <f t="shared" si="3"/>
        <v>1800</v>
      </c>
      <c r="Y116" s="1"/>
      <c r="Z116" s="1"/>
    </row>
    <row r="117" spans="1:26" s="3" customFormat="1" ht="19.95" customHeight="1">
      <c r="A117" s="18">
        <v>126</v>
      </c>
      <c r="B117" s="305" t="s">
        <v>350</v>
      </c>
      <c r="C117" s="306" t="s">
        <v>351</v>
      </c>
      <c r="D117" s="305"/>
      <c r="E117" s="305" t="s">
        <v>350</v>
      </c>
      <c r="F117" s="19">
        <v>9834082255</v>
      </c>
      <c r="G117" s="261" t="s">
        <v>38</v>
      </c>
      <c r="H117" s="261" t="s">
        <v>61</v>
      </c>
      <c r="I117" s="307" t="s">
        <v>34</v>
      </c>
      <c r="J117" s="308" t="s">
        <v>12</v>
      </c>
      <c r="K117" s="18">
        <v>900</v>
      </c>
      <c r="L117" s="43">
        <v>46056</v>
      </c>
      <c r="M117" s="46">
        <v>0.41666666666666669</v>
      </c>
      <c r="N117" s="25" t="s">
        <v>231</v>
      </c>
      <c r="O117" s="261" t="s">
        <v>35</v>
      </c>
      <c r="P117" s="262" t="s">
        <v>1</v>
      </c>
      <c r="Q117" s="714"/>
      <c r="R117" s="714"/>
      <c r="S117" s="109">
        <f t="shared" si="2"/>
        <v>900</v>
      </c>
      <c r="T117" s="18"/>
      <c r="U117" s="8"/>
      <c r="V117" s="8"/>
      <c r="W117" s="109"/>
      <c r="X117" s="40">
        <f t="shared" si="3"/>
        <v>900</v>
      </c>
      <c r="Y117" s="1"/>
      <c r="Z117" s="1"/>
    </row>
    <row r="118" spans="1:26" s="3" customFormat="1" ht="19.95" customHeight="1">
      <c r="A118" s="18">
        <v>127</v>
      </c>
      <c r="B118" s="94" t="s">
        <v>98</v>
      </c>
      <c r="C118" s="374" t="s">
        <v>515</v>
      </c>
      <c r="D118" s="374"/>
      <c r="E118" s="261" t="s">
        <v>349</v>
      </c>
      <c r="F118" s="19">
        <v>7517241640</v>
      </c>
      <c r="G118" s="261" t="s">
        <v>286</v>
      </c>
      <c r="H118" s="96" t="s">
        <v>100</v>
      </c>
      <c r="I118" s="95" t="s">
        <v>101</v>
      </c>
      <c r="J118" s="21" t="s">
        <v>12</v>
      </c>
      <c r="K118" s="96">
        <v>1500</v>
      </c>
      <c r="L118" s="43">
        <v>46057</v>
      </c>
      <c r="M118" s="46">
        <v>0.66666666666666663</v>
      </c>
      <c r="N118" s="25" t="s">
        <v>231</v>
      </c>
      <c r="O118" s="45" t="s">
        <v>148</v>
      </c>
      <c r="P118" s="39"/>
      <c r="Q118" s="109"/>
      <c r="R118" s="109"/>
      <c r="S118" s="109">
        <f t="shared" si="2"/>
        <v>1500</v>
      </c>
      <c r="T118" s="262" t="s">
        <v>153</v>
      </c>
      <c r="U118" s="714"/>
      <c r="V118" s="714"/>
      <c r="W118" s="109"/>
      <c r="X118" s="40">
        <f t="shared" si="3"/>
        <v>1500</v>
      </c>
      <c r="Y118" s="1"/>
      <c r="Z118" s="1"/>
    </row>
    <row r="119" spans="1:26" s="3" customFormat="1" ht="19.95" customHeight="1">
      <c r="A119" s="18">
        <v>128</v>
      </c>
      <c r="B119" s="309" t="s">
        <v>352</v>
      </c>
      <c r="C119" s="310" t="s">
        <v>353</v>
      </c>
      <c r="D119" s="309"/>
      <c r="E119" s="309" t="s">
        <v>352</v>
      </c>
      <c r="F119" s="19">
        <v>9689686194</v>
      </c>
      <c r="G119" s="311" t="s">
        <v>75</v>
      </c>
      <c r="H119" s="311" t="s">
        <v>55</v>
      </c>
      <c r="I119" s="310" t="s">
        <v>34</v>
      </c>
      <c r="J119" s="311" t="s">
        <v>15</v>
      </c>
      <c r="K119" s="18">
        <v>1500</v>
      </c>
      <c r="L119" s="43">
        <v>46057</v>
      </c>
      <c r="M119" s="46">
        <v>0.41666666666666669</v>
      </c>
      <c r="N119" s="25" t="s">
        <v>231</v>
      </c>
      <c r="O119" s="311" t="s">
        <v>35</v>
      </c>
      <c r="P119" s="262" t="s">
        <v>19</v>
      </c>
      <c r="Q119" s="714"/>
      <c r="R119" s="714"/>
      <c r="S119" s="109">
        <f t="shared" si="2"/>
        <v>1500</v>
      </c>
      <c r="T119" s="18"/>
      <c r="U119" s="8"/>
      <c r="V119" s="8"/>
      <c r="W119" s="109"/>
      <c r="X119" s="40">
        <f t="shared" si="3"/>
        <v>1500</v>
      </c>
      <c r="Y119" s="1"/>
      <c r="Z119" s="1"/>
    </row>
    <row r="120" spans="1:26" s="3" customFormat="1" ht="19.95" customHeight="1">
      <c r="A120" s="18">
        <v>129</v>
      </c>
      <c r="B120" s="312" t="s">
        <v>354</v>
      </c>
      <c r="C120" s="313" t="s">
        <v>359</v>
      </c>
      <c r="D120" s="312"/>
      <c r="E120" s="314" t="s">
        <v>354</v>
      </c>
      <c r="F120" s="19">
        <v>9833998312</v>
      </c>
      <c r="G120" s="315" t="s">
        <v>38</v>
      </c>
      <c r="H120" s="315" t="s">
        <v>61</v>
      </c>
      <c r="I120" s="316" t="s">
        <v>34</v>
      </c>
      <c r="J120" s="236" t="s">
        <v>94</v>
      </c>
      <c r="K120" s="18">
        <v>3000</v>
      </c>
      <c r="L120" s="43">
        <v>46056</v>
      </c>
      <c r="M120" s="46">
        <v>0.54166666666666663</v>
      </c>
      <c r="N120" s="314" t="s">
        <v>108</v>
      </c>
      <c r="O120" s="315" t="s">
        <v>197</v>
      </c>
      <c r="P120" s="315" t="s">
        <v>19</v>
      </c>
      <c r="Q120" s="316"/>
      <c r="R120" s="316"/>
      <c r="S120" s="109">
        <f t="shared" si="2"/>
        <v>3000</v>
      </c>
      <c r="T120" s="262" t="s">
        <v>21</v>
      </c>
      <c r="U120" s="714"/>
      <c r="V120" s="714"/>
      <c r="W120" s="109"/>
      <c r="X120" s="40">
        <f t="shared" si="3"/>
        <v>3000</v>
      </c>
      <c r="Y120" s="1"/>
      <c r="Z120" s="1"/>
    </row>
    <row r="121" spans="1:26" s="3" customFormat="1" ht="19.95" customHeight="1">
      <c r="A121" s="18">
        <v>130</v>
      </c>
      <c r="B121" s="317" t="s">
        <v>357</v>
      </c>
      <c r="C121" s="316" t="s">
        <v>355</v>
      </c>
      <c r="D121" s="314"/>
      <c r="E121" s="318" t="s">
        <v>357</v>
      </c>
      <c r="F121" s="19">
        <v>7350497743</v>
      </c>
      <c r="G121" s="315" t="s">
        <v>75</v>
      </c>
      <c r="H121" s="315" t="s">
        <v>55</v>
      </c>
      <c r="I121" s="316" t="s">
        <v>34</v>
      </c>
      <c r="J121" s="320" t="s">
        <v>15</v>
      </c>
      <c r="K121" s="18">
        <v>1500</v>
      </c>
      <c r="L121" s="43">
        <v>46061</v>
      </c>
      <c r="M121" s="319" t="s">
        <v>356</v>
      </c>
      <c r="N121" s="25" t="s">
        <v>231</v>
      </c>
      <c r="O121" s="320" t="s">
        <v>35</v>
      </c>
      <c r="P121" s="273" t="s">
        <v>19</v>
      </c>
      <c r="Q121" s="359"/>
      <c r="R121" s="359"/>
      <c r="S121" s="109">
        <f t="shared" si="2"/>
        <v>1500</v>
      </c>
      <c r="T121" s="18"/>
      <c r="U121" s="8"/>
      <c r="V121" s="8"/>
      <c r="W121" s="109"/>
      <c r="X121" s="40">
        <f t="shared" si="3"/>
        <v>1500</v>
      </c>
      <c r="Y121" s="1"/>
      <c r="Z121" s="1"/>
    </row>
    <row r="122" spans="1:26" s="3" customFormat="1" ht="19.95" customHeight="1">
      <c r="A122" s="18">
        <v>131</v>
      </c>
      <c r="B122" s="321" t="s">
        <v>360</v>
      </c>
      <c r="C122" s="322" t="s">
        <v>361</v>
      </c>
      <c r="D122" s="322"/>
      <c r="E122" s="263" t="s">
        <v>362</v>
      </c>
      <c r="F122" s="19">
        <v>7700959503</v>
      </c>
      <c r="G122" s="263" t="s">
        <v>75</v>
      </c>
      <c r="H122" s="263" t="s">
        <v>323</v>
      </c>
      <c r="I122" s="322" t="s">
        <v>363</v>
      </c>
      <c r="J122" s="263" t="s">
        <v>15</v>
      </c>
      <c r="K122" s="18">
        <v>2600</v>
      </c>
      <c r="L122" s="43">
        <v>46060</v>
      </c>
      <c r="M122" s="46">
        <v>0.66666666666666663</v>
      </c>
      <c r="N122" s="321" t="s">
        <v>108</v>
      </c>
      <c r="O122" s="263" t="s">
        <v>148</v>
      </c>
      <c r="P122" s="18"/>
      <c r="Q122" s="8"/>
      <c r="R122" s="8"/>
      <c r="S122" s="109">
        <f t="shared" si="2"/>
        <v>2600</v>
      </c>
      <c r="T122" s="323" t="s">
        <v>116</v>
      </c>
      <c r="U122" s="371"/>
      <c r="V122" s="371"/>
      <c r="W122" s="109"/>
      <c r="X122" s="40">
        <f t="shared" si="3"/>
        <v>2600</v>
      </c>
      <c r="Y122" s="1"/>
      <c r="Z122" s="1"/>
    </row>
    <row r="123" spans="1:26" s="3" customFormat="1" ht="19.95" customHeight="1">
      <c r="A123" s="18">
        <v>132</v>
      </c>
      <c r="B123" s="321" t="s">
        <v>364</v>
      </c>
      <c r="C123" s="322" t="s">
        <v>365</v>
      </c>
      <c r="D123" s="321"/>
      <c r="E123" s="321" t="s">
        <v>364</v>
      </c>
      <c r="F123" s="19">
        <v>9769358637</v>
      </c>
      <c r="G123" s="263" t="s">
        <v>38</v>
      </c>
      <c r="H123" s="263" t="s">
        <v>61</v>
      </c>
      <c r="I123" s="322" t="s">
        <v>34</v>
      </c>
      <c r="J123" s="263" t="s">
        <v>12</v>
      </c>
      <c r="K123" s="18">
        <v>1000</v>
      </c>
      <c r="L123" s="43">
        <v>46060</v>
      </c>
      <c r="M123" s="46">
        <v>0.45833333333333331</v>
      </c>
      <c r="N123" s="321" t="s">
        <v>104</v>
      </c>
      <c r="O123" s="263" t="s">
        <v>35</v>
      </c>
      <c r="P123" s="273" t="s">
        <v>1</v>
      </c>
      <c r="Q123" s="359"/>
      <c r="R123" s="359"/>
      <c r="S123" s="109">
        <f t="shared" si="2"/>
        <v>1000</v>
      </c>
      <c r="T123" s="18"/>
      <c r="U123" s="8"/>
      <c r="V123" s="8"/>
      <c r="W123" s="109"/>
      <c r="X123" s="40">
        <f t="shared" si="3"/>
        <v>1000</v>
      </c>
      <c r="Y123" s="1"/>
      <c r="Z123" s="1"/>
    </row>
    <row r="124" spans="1:26" s="3" customFormat="1" ht="19.95" customHeight="1">
      <c r="A124" s="18">
        <v>133</v>
      </c>
      <c r="B124" s="324" t="s">
        <v>366</v>
      </c>
      <c r="C124" s="325" t="s">
        <v>368</v>
      </c>
      <c r="D124" s="325"/>
      <c r="E124" s="326" t="s">
        <v>367</v>
      </c>
      <c r="F124" s="19">
        <v>9021040752</v>
      </c>
      <c r="G124" s="326" t="s">
        <v>75</v>
      </c>
      <c r="H124" s="326" t="s">
        <v>323</v>
      </c>
      <c r="I124" s="325" t="s">
        <v>209</v>
      </c>
      <c r="J124" s="326" t="s">
        <v>12</v>
      </c>
      <c r="K124" s="18">
        <v>1500</v>
      </c>
      <c r="L124" s="43">
        <v>46060</v>
      </c>
      <c r="M124" s="46">
        <v>0.54166666666666663</v>
      </c>
      <c r="N124" s="324" t="s">
        <v>135</v>
      </c>
      <c r="O124" s="326" t="s">
        <v>148</v>
      </c>
      <c r="P124" s="273" t="s">
        <v>19</v>
      </c>
      <c r="Q124" s="359"/>
      <c r="R124" s="359"/>
      <c r="S124" s="109">
        <f t="shared" si="2"/>
        <v>1500</v>
      </c>
      <c r="T124" s="18"/>
      <c r="U124" s="8"/>
      <c r="V124" s="8"/>
      <c r="W124" s="109"/>
      <c r="X124" s="40">
        <f t="shared" si="3"/>
        <v>1500</v>
      </c>
      <c r="Y124" s="1"/>
      <c r="Z124" s="1"/>
    </row>
    <row r="125" spans="1:26" s="3" customFormat="1" ht="19.95" customHeight="1">
      <c r="A125" s="18">
        <v>134</v>
      </c>
      <c r="B125" s="327" t="s">
        <v>372</v>
      </c>
      <c r="C125" s="328" t="s">
        <v>369</v>
      </c>
      <c r="D125" s="331"/>
      <c r="E125" s="327" t="s">
        <v>372</v>
      </c>
      <c r="F125" s="19">
        <v>7798015009</v>
      </c>
      <c r="G125" s="329" t="s">
        <v>38</v>
      </c>
      <c r="H125" s="329" t="s">
        <v>39</v>
      </c>
      <c r="I125" s="328" t="s">
        <v>34</v>
      </c>
      <c r="J125" s="329" t="s">
        <v>12</v>
      </c>
      <c r="K125" s="18">
        <v>700</v>
      </c>
      <c r="L125" s="43">
        <v>46061</v>
      </c>
      <c r="M125" s="330" t="s">
        <v>371</v>
      </c>
      <c r="N125" s="331" t="s">
        <v>148</v>
      </c>
      <c r="O125" s="329" t="s">
        <v>35</v>
      </c>
      <c r="P125" s="273" t="s">
        <v>19</v>
      </c>
      <c r="Q125" s="359"/>
      <c r="R125" s="359"/>
      <c r="S125" s="109">
        <f t="shared" si="2"/>
        <v>700</v>
      </c>
      <c r="T125" s="18"/>
      <c r="U125" s="8"/>
      <c r="V125" s="8"/>
      <c r="W125" s="109"/>
      <c r="X125" s="40">
        <f t="shared" si="3"/>
        <v>700</v>
      </c>
      <c r="Y125" s="1"/>
      <c r="Z125" s="1"/>
    </row>
    <row r="126" spans="1:26" s="3" customFormat="1" ht="19.95" customHeight="1">
      <c r="A126" s="18">
        <v>135</v>
      </c>
      <c r="B126" s="331" t="s">
        <v>370</v>
      </c>
      <c r="C126" s="332" t="s">
        <v>373</v>
      </c>
      <c r="D126" s="931"/>
      <c r="E126" s="331" t="s">
        <v>370</v>
      </c>
      <c r="F126" s="19">
        <v>9960494234</v>
      </c>
      <c r="G126" s="329" t="s">
        <v>38</v>
      </c>
      <c r="H126" s="329" t="s">
        <v>61</v>
      </c>
      <c r="I126" s="328" t="s">
        <v>34</v>
      </c>
      <c r="J126" s="329" t="s">
        <v>12</v>
      </c>
      <c r="K126" s="18">
        <v>900</v>
      </c>
      <c r="L126" s="43">
        <v>46061</v>
      </c>
      <c r="M126" s="46">
        <v>0.625</v>
      </c>
      <c r="N126" s="331" t="s">
        <v>148</v>
      </c>
      <c r="O126" s="329" t="s">
        <v>35</v>
      </c>
      <c r="P126" s="273" t="s">
        <v>19</v>
      </c>
      <c r="Q126" s="359"/>
      <c r="R126" s="359"/>
      <c r="S126" s="109">
        <f t="shared" si="2"/>
        <v>900</v>
      </c>
      <c r="T126" s="18"/>
      <c r="U126" s="8"/>
      <c r="V126" s="8"/>
      <c r="W126" s="109"/>
      <c r="X126" s="40">
        <f t="shared" si="3"/>
        <v>900</v>
      </c>
      <c r="Y126" s="1"/>
      <c r="Z126" s="1"/>
    </row>
    <row r="127" spans="1:26" s="3" customFormat="1" ht="19.95" customHeight="1">
      <c r="A127" s="18">
        <v>136</v>
      </c>
      <c r="B127" s="333" t="s">
        <v>376</v>
      </c>
      <c r="C127" s="334" t="s">
        <v>374</v>
      </c>
      <c r="D127" s="932"/>
      <c r="E127" s="333" t="s">
        <v>376</v>
      </c>
      <c r="F127" s="19">
        <v>9421620330</v>
      </c>
      <c r="G127" s="335" t="s">
        <v>375</v>
      </c>
      <c r="H127" s="335" t="s">
        <v>39</v>
      </c>
      <c r="I127" s="334" t="s">
        <v>34</v>
      </c>
      <c r="J127" s="335" t="s">
        <v>94</v>
      </c>
      <c r="K127" s="18">
        <v>3000</v>
      </c>
      <c r="L127" s="43">
        <v>46065</v>
      </c>
      <c r="M127" s="46">
        <v>0.375</v>
      </c>
      <c r="N127" s="25" t="s">
        <v>231</v>
      </c>
      <c r="O127" s="335" t="s">
        <v>35</v>
      </c>
      <c r="P127" s="336" t="s">
        <v>19</v>
      </c>
      <c r="Q127" s="339"/>
      <c r="R127" s="339"/>
      <c r="S127" s="109">
        <f t="shared" si="2"/>
        <v>3000</v>
      </c>
      <c r="T127" s="337" t="s">
        <v>384</v>
      </c>
      <c r="U127" s="724"/>
      <c r="V127" s="724"/>
      <c r="W127" s="109"/>
      <c r="X127" s="40">
        <f t="shared" si="3"/>
        <v>3000</v>
      </c>
      <c r="Y127" s="1"/>
      <c r="Z127" s="1"/>
    </row>
    <row r="128" spans="1:26" s="3" customFormat="1" ht="19.95" customHeight="1">
      <c r="A128" s="18">
        <v>137</v>
      </c>
      <c r="B128" s="338" t="s">
        <v>377</v>
      </c>
      <c r="C128" s="374" t="s">
        <v>555</v>
      </c>
      <c r="D128" s="933"/>
      <c r="E128" s="338" t="s">
        <v>377</v>
      </c>
      <c r="F128" s="19">
        <v>8425004910</v>
      </c>
      <c r="G128" s="336" t="s">
        <v>75</v>
      </c>
      <c r="H128" s="336" t="s">
        <v>39</v>
      </c>
      <c r="I128" s="339" t="s">
        <v>34</v>
      </c>
      <c r="J128" s="336" t="s">
        <v>15</v>
      </c>
      <c r="K128" s="18">
        <v>2000</v>
      </c>
      <c r="L128" s="43">
        <v>46066</v>
      </c>
      <c r="M128" s="46">
        <v>0.41666666666666669</v>
      </c>
      <c r="N128" s="338" t="s">
        <v>104</v>
      </c>
      <c r="O128" s="336" t="s">
        <v>35</v>
      </c>
      <c r="P128" s="273" t="s">
        <v>19</v>
      </c>
      <c r="Q128" s="359"/>
      <c r="R128" s="359"/>
      <c r="S128" s="109">
        <f t="shared" si="2"/>
        <v>2000</v>
      </c>
      <c r="T128" s="18"/>
      <c r="U128" s="8"/>
      <c r="V128" s="8"/>
      <c r="W128" s="109"/>
      <c r="X128" s="40">
        <f t="shared" si="3"/>
        <v>2000</v>
      </c>
      <c r="Y128" s="1"/>
      <c r="Z128" s="1"/>
    </row>
    <row r="129" spans="1:26" s="3" customFormat="1" ht="19.95" customHeight="1">
      <c r="A129" s="18">
        <v>138</v>
      </c>
      <c r="B129" s="338" t="s">
        <v>378</v>
      </c>
      <c r="C129" s="339" t="s">
        <v>379</v>
      </c>
      <c r="D129" s="338"/>
      <c r="E129" s="338" t="s">
        <v>378</v>
      </c>
      <c r="F129" s="19">
        <v>9820037701</v>
      </c>
      <c r="G129" s="336" t="s">
        <v>38</v>
      </c>
      <c r="H129" s="336" t="s">
        <v>380</v>
      </c>
      <c r="I129" s="339" t="s">
        <v>34</v>
      </c>
      <c r="J129" s="336" t="s">
        <v>94</v>
      </c>
      <c r="K129" s="18">
        <v>7500</v>
      </c>
      <c r="L129" s="43">
        <v>46066</v>
      </c>
      <c r="M129" s="46">
        <v>0.54166666666666663</v>
      </c>
      <c r="N129" s="25" t="s">
        <v>231</v>
      </c>
      <c r="O129" s="336" t="s">
        <v>381</v>
      </c>
      <c r="P129" s="273" t="s">
        <v>1</v>
      </c>
      <c r="Q129" s="359"/>
      <c r="R129" s="359"/>
      <c r="S129" s="109">
        <f t="shared" si="2"/>
        <v>7500</v>
      </c>
      <c r="T129" s="323" t="s">
        <v>8</v>
      </c>
      <c r="U129" s="371"/>
      <c r="V129" s="371"/>
      <c r="W129" s="109"/>
      <c r="X129" s="40">
        <f t="shared" si="3"/>
        <v>7500</v>
      </c>
      <c r="Y129" s="1"/>
      <c r="Z129" s="1"/>
    </row>
    <row r="130" spans="1:26" s="3" customFormat="1" ht="19.95" customHeight="1">
      <c r="A130" s="18">
        <v>139</v>
      </c>
      <c r="B130" s="338" t="s">
        <v>378</v>
      </c>
      <c r="C130" s="339" t="s">
        <v>382</v>
      </c>
      <c r="D130" s="338"/>
      <c r="E130" s="338" t="s">
        <v>378</v>
      </c>
      <c r="F130" s="19">
        <v>9820037701</v>
      </c>
      <c r="G130" s="336" t="s">
        <v>38</v>
      </c>
      <c r="H130" s="336" t="s">
        <v>383</v>
      </c>
      <c r="I130" s="339" t="s">
        <v>34</v>
      </c>
      <c r="J130" s="336" t="s">
        <v>94</v>
      </c>
      <c r="K130" s="18">
        <v>3200</v>
      </c>
      <c r="L130" s="43">
        <v>46067</v>
      </c>
      <c r="M130" s="46">
        <v>0.45833333333333331</v>
      </c>
      <c r="N130" s="25" t="s">
        <v>231</v>
      </c>
      <c r="O130" s="336" t="s">
        <v>381</v>
      </c>
      <c r="P130" s="273" t="s">
        <v>1</v>
      </c>
      <c r="Q130" s="359"/>
      <c r="R130" s="359"/>
      <c r="S130" s="109">
        <f t="shared" si="2"/>
        <v>3200</v>
      </c>
      <c r="T130" s="323" t="s">
        <v>491</v>
      </c>
      <c r="U130" s="371"/>
      <c r="V130" s="371"/>
      <c r="W130" s="109"/>
      <c r="X130" s="40">
        <f t="shared" si="3"/>
        <v>3200</v>
      </c>
      <c r="Y130" s="1"/>
      <c r="Z130" s="1"/>
    </row>
    <row r="131" spans="1:26" s="3" customFormat="1" ht="19.95" customHeight="1">
      <c r="A131" s="18">
        <v>140</v>
      </c>
      <c r="B131" s="340" t="s">
        <v>386</v>
      </c>
      <c r="C131" s="341" t="s">
        <v>385</v>
      </c>
      <c r="D131" s="340"/>
      <c r="E131" s="340" t="s">
        <v>386</v>
      </c>
      <c r="F131" s="19">
        <v>9309790552</v>
      </c>
      <c r="G131" s="335" t="s">
        <v>375</v>
      </c>
      <c r="H131" s="342" t="s">
        <v>387</v>
      </c>
      <c r="I131" s="341" t="s">
        <v>388</v>
      </c>
      <c r="J131" s="342" t="s">
        <v>94</v>
      </c>
      <c r="K131" s="18">
        <v>3200</v>
      </c>
      <c r="L131" s="43">
        <v>46069</v>
      </c>
      <c r="M131" s="46">
        <v>0.54166666666666663</v>
      </c>
      <c r="N131" s="340" t="s">
        <v>108</v>
      </c>
      <c r="O131" s="342" t="s">
        <v>35</v>
      </c>
      <c r="P131" s="273" t="s">
        <v>19</v>
      </c>
      <c r="Q131" s="359"/>
      <c r="R131" s="359"/>
      <c r="S131" s="109">
        <f t="shared" ref="S131:S194" si="4">K131-R131</f>
        <v>3200</v>
      </c>
      <c r="T131" s="323" t="s">
        <v>6</v>
      </c>
      <c r="U131" s="371"/>
      <c r="V131" s="371"/>
      <c r="W131" s="109"/>
      <c r="X131" s="40">
        <f t="shared" ref="X131:X194" si="5">S131-W131</f>
        <v>3200</v>
      </c>
      <c r="Y131" s="1"/>
      <c r="Z131" s="1"/>
    </row>
    <row r="132" spans="1:26" s="3" customFormat="1" ht="19.95" customHeight="1">
      <c r="A132" s="18">
        <v>141</v>
      </c>
      <c r="B132" s="343" t="s">
        <v>389</v>
      </c>
      <c r="C132" s="344" t="s">
        <v>390</v>
      </c>
      <c r="D132" s="343"/>
      <c r="E132" s="343" t="s">
        <v>389</v>
      </c>
      <c r="F132" s="19">
        <v>9930553312</v>
      </c>
      <c r="G132" s="345" t="s">
        <v>38</v>
      </c>
      <c r="H132" s="345" t="s">
        <v>61</v>
      </c>
      <c r="I132" s="344" t="s">
        <v>34</v>
      </c>
      <c r="J132" s="345" t="s">
        <v>12</v>
      </c>
      <c r="K132" s="18">
        <v>900</v>
      </c>
      <c r="L132" s="43">
        <v>46068</v>
      </c>
      <c r="M132" s="46">
        <v>0.45833333333333331</v>
      </c>
      <c r="N132" s="25" t="s">
        <v>231</v>
      </c>
      <c r="O132" s="345" t="s">
        <v>35</v>
      </c>
      <c r="P132" s="273" t="s">
        <v>19</v>
      </c>
      <c r="Q132" s="359"/>
      <c r="R132" s="359"/>
      <c r="S132" s="109">
        <f t="shared" si="4"/>
        <v>900</v>
      </c>
      <c r="T132" s="18"/>
      <c r="U132" s="8"/>
      <c r="V132" s="8"/>
      <c r="W132" s="109"/>
      <c r="X132" s="40">
        <f t="shared" si="5"/>
        <v>900</v>
      </c>
      <c r="Y132" s="1"/>
      <c r="Z132" s="1"/>
    </row>
    <row r="133" spans="1:26" s="3" customFormat="1" ht="19.95" customHeight="1">
      <c r="A133" s="18">
        <v>142</v>
      </c>
      <c r="B133" s="346" t="s">
        <v>391</v>
      </c>
      <c r="C133" s="347" t="s">
        <v>392</v>
      </c>
      <c r="D133" s="346"/>
      <c r="E133" s="346" t="s">
        <v>391</v>
      </c>
      <c r="F133" s="19">
        <v>9820676697</v>
      </c>
      <c r="G133" s="348" t="s">
        <v>38</v>
      </c>
      <c r="H133" s="348" t="s">
        <v>55</v>
      </c>
      <c r="I133" s="347" t="s">
        <v>34</v>
      </c>
      <c r="J133" s="345" t="s">
        <v>12</v>
      </c>
      <c r="K133" s="18">
        <v>700</v>
      </c>
      <c r="L133" s="43">
        <v>46068</v>
      </c>
      <c r="M133" s="349" t="s">
        <v>115</v>
      </c>
      <c r="N133" s="25" t="s">
        <v>231</v>
      </c>
      <c r="O133" s="348" t="s">
        <v>148</v>
      </c>
      <c r="P133" s="273" t="s">
        <v>19</v>
      </c>
      <c r="Q133" s="359"/>
      <c r="R133" s="359"/>
      <c r="S133" s="109">
        <f t="shared" si="4"/>
        <v>700</v>
      </c>
      <c r="T133" s="18"/>
      <c r="U133" s="8"/>
      <c r="V133" s="8"/>
      <c r="W133" s="109"/>
      <c r="X133" s="40">
        <f t="shared" si="5"/>
        <v>700</v>
      </c>
      <c r="Y133" s="1"/>
      <c r="Z133" s="1"/>
    </row>
    <row r="134" spans="1:26" s="3" customFormat="1" ht="19.95" customHeight="1">
      <c r="A134" s="18">
        <v>143</v>
      </c>
      <c r="B134" s="346" t="s">
        <v>393</v>
      </c>
      <c r="C134" s="347" t="s">
        <v>394</v>
      </c>
      <c r="D134" s="346"/>
      <c r="E134" s="346" t="s">
        <v>393</v>
      </c>
      <c r="F134" s="19">
        <v>9820797394</v>
      </c>
      <c r="G134" s="348" t="s">
        <v>38</v>
      </c>
      <c r="H134" s="348" t="s">
        <v>55</v>
      </c>
      <c r="I134" s="347" t="s">
        <v>395</v>
      </c>
      <c r="J134" s="348" t="s">
        <v>12</v>
      </c>
      <c r="K134" s="18">
        <v>500</v>
      </c>
      <c r="L134" s="43">
        <v>46069</v>
      </c>
      <c r="M134" s="46">
        <v>0.66666666666666663</v>
      </c>
      <c r="N134" s="346" t="s">
        <v>108</v>
      </c>
      <c r="O134" s="348" t="s">
        <v>198</v>
      </c>
      <c r="P134" s="273" t="s">
        <v>19</v>
      </c>
      <c r="Q134" s="359"/>
      <c r="R134" s="359"/>
      <c r="S134" s="109">
        <f t="shared" si="4"/>
        <v>500</v>
      </c>
      <c r="T134" s="18"/>
      <c r="U134" s="8"/>
      <c r="V134" s="8"/>
      <c r="W134" s="109"/>
      <c r="X134" s="40">
        <f t="shared" si="5"/>
        <v>500</v>
      </c>
      <c r="Y134" s="1"/>
      <c r="Z134" s="1"/>
    </row>
    <row r="135" spans="1:26" s="3" customFormat="1" ht="19.95" customHeight="1">
      <c r="A135" s="18">
        <v>144</v>
      </c>
      <c r="B135" s="265" t="s">
        <v>396</v>
      </c>
      <c r="C135" s="266" t="s">
        <v>397</v>
      </c>
      <c r="D135" s="265"/>
      <c r="E135" s="265" t="s">
        <v>396</v>
      </c>
      <c r="F135" s="19">
        <v>9820651546</v>
      </c>
      <c r="G135" s="267" t="s">
        <v>42</v>
      </c>
      <c r="H135" s="267" t="s">
        <v>39</v>
      </c>
      <c r="I135" s="266" t="s">
        <v>34</v>
      </c>
      <c r="J135" s="267" t="s">
        <v>12</v>
      </c>
      <c r="K135" s="18">
        <v>500</v>
      </c>
      <c r="L135" s="43">
        <v>46071</v>
      </c>
      <c r="M135" s="46">
        <v>0.58333333333333337</v>
      </c>
      <c r="N135" s="265" t="s">
        <v>104</v>
      </c>
      <c r="O135" s="269" t="s">
        <v>198</v>
      </c>
      <c r="P135" s="273" t="s">
        <v>1</v>
      </c>
      <c r="Q135" s="359"/>
      <c r="R135" s="359"/>
      <c r="S135" s="109">
        <f t="shared" si="4"/>
        <v>500</v>
      </c>
      <c r="T135" s="18"/>
      <c r="U135" s="8"/>
      <c r="V135" s="8"/>
      <c r="W135" s="109"/>
      <c r="X135" s="40">
        <f t="shared" si="5"/>
        <v>500</v>
      </c>
      <c r="Y135" s="1"/>
      <c r="Z135" s="1"/>
    </row>
    <row r="136" spans="1:26" s="3" customFormat="1" ht="19.95" customHeight="1">
      <c r="A136" s="18">
        <v>145</v>
      </c>
      <c r="B136" s="265" t="s">
        <v>398</v>
      </c>
      <c r="C136" s="268" t="s">
        <v>399</v>
      </c>
      <c r="D136" s="350"/>
      <c r="E136" s="265" t="s">
        <v>398</v>
      </c>
      <c r="F136" s="19">
        <v>8898647412</v>
      </c>
      <c r="G136" s="267" t="s">
        <v>38</v>
      </c>
      <c r="H136" s="267" t="s">
        <v>39</v>
      </c>
      <c r="I136" s="266" t="s">
        <v>34</v>
      </c>
      <c r="J136" s="267" t="s">
        <v>12</v>
      </c>
      <c r="K136" s="703" t="s">
        <v>16</v>
      </c>
      <c r="L136" s="43">
        <v>46071</v>
      </c>
      <c r="M136" s="46">
        <v>0.66666666666666663</v>
      </c>
      <c r="N136" s="25" t="s">
        <v>231</v>
      </c>
      <c r="O136" s="269" t="s">
        <v>198</v>
      </c>
      <c r="P136" s="273" t="s">
        <v>16</v>
      </c>
      <c r="Q136" s="359"/>
      <c r="R136" s="359"/>
      <c r="S136" s="109" t="e">
        <f t="shared" si="4"/>
        <v>#VALUE!</v>
      </c>
      <c r="T136" s="18"/>
      <c r="U136" s="8"/>
      <c r="V136" s="8"/>
      <c r="W136" s="109"/>
      <c r="X136" s="40" t="e">
        <f t="shared" si="5"/>
        <v>#VALUE!</v>
      </c>
      <c r="Y136" s="1"/>
      <c r="Z136" s="1"/>
    </row>
    <row r="137" spans="1:26" s="3" customFormat="1" ht="19.95" customHeight="1">
      <c r="A137" s="18">
        <v>146</v>
      </c>
      <c r="B137" s="350" t="s">
        <v>400</v>
      </c>
      <c r="C137" s="268" t="s">
        <v>401</v>
      </c>
      <c r="D137" s="350"/>
      <c r="E137" s="350" t="s">
        <v>400</v>
      </c>
      <c r="F137" s="19">
        <v>9223305852</v>
      </c>
      <c r="G137" s="269" t="s">
        <v>75</v>
      </c>
      <c r="H137" s="269" t="s">
        <v>39</v>
      </c>
      <c r="I137" s="268" t="s">
        <v>34</v>
      </c>
      <c r="J137" s="269" t="s">
        <v>15</v>
      </c>
      <c r="K137" s="18">
        <v>2500</v>
      </c>
      <c r="L137" s="43">
        <v>46072</v>
      </c>
      <c r="M137" s="46">
        <v>0.41666666666666669</v>
      </c>
      <c r="N137" s="350" t="s">
        <v>135</v>
      </c>
      <c r="O137" s="269" t="s">
        <v>197</v>
      </c>
      <c r="P137" s="273" t="s">
        <v>19</v>
      </c>
      <c r="Q137" s="359"/>
      <c r="R137" s="359"/>
      <c r="S137" s="109">
        <f t="shared" si="4"/>
        <v>2500</v>
      </c>
      <c r="T137" s="18"/>
      <c r="U137" s="8"/>
      <c r="V137" s="8"/>
      <c r="W137" s="109"/>
      <c r="X137" s="40">
        <f t="shared" si="5"/>
        <v>2500</v>
      </c>
      <c r="Y137" s="1"/>
      <c r="Z137" s="1"/>
    </row>
    <row r="138" spans="1:26" s="3" customFormat="1" ht="19.95" customHeight="1">
      <c r="A138" s="18">
        <v>147</v>
      </c>
      <c r="B138" s="350" t="s">
        <v>402</v>
      </c>
      <c r="C138" s="268" t="s">
        <v>403</v>
      </c>
      <c r="D138" s="268"/>
      <c r="E138" s="323" t="s">
        <v>404</v>
      </c>
      <c r="F138" s="19">
        <v>9702070313</v>
      </c>
      <c r="G138" s="269" t="s">
        <v>38</v>
      </c>
      <c r="H138" s="269" t="s">
        <v>39</v>
      </c>
      <c r="I138" s="268" t="s">
        <v>34</v>
      </c>
      <c r="J138" s="269" t="s">
        <v>12</v>
      </c>
      <c r="K138" s="18">
        <v>800</v>
      </c>
      <c r="L138" s="43">
        <v>46088</v>
      </c>
      <c r="M138" s="494">
        <v>0.47916666666666669</v>
      </c>
      <c r="N138" s="296" t="s">
        <v>496</v>
      </c>
      <c r="O138" s="269" t="s">
        <v>197</v>
      </c>
      <c r="P138" s="295" t="s">
        <v>19</v>
      </c>
      <c r="Q138" s="505"/>
      <c r="R138" s="505"/>
      <c r="S138" s="109">
        <f t="shared" si="4"/>
        <v>800</v>
      </c>
      <c r="T138" s="18"/>
      <c r="U138" s="8"/>
      <c r="V138" s="8"/>
      <c r="W138" s="109"/>
      <c r="X138" s="40">
        <f t="shared" si="5"/>
        <v>800</v>
      </c>
      <c r="Y138" s="1"/>
      <c r="Z138" s="1"/>
    </row>
    <row r="139" spans="1:26" s="3" customFormat="1" ht="19.95" customHeight="1">
      <c r="A139" s="18">
        <v>148</v>
      </c>
      <c r="B139" s="296" t="s">
        <v>405</v>
      </c>
      <c r="C139" s="271" t="s">
        <v>406</v>
      </c>
      <c r="D139" s="270"/>
      <c r="E139" s="270" t="s">
        <v>405</v>
      </c>
      <c r="F139" s="19">
        <v>9820945672</v>
      </c>
      <c r="G139" s="272" t="s">
        <v>38</v>
      </c>
      <c r="H139" s="272" t="s">
        <v>55</v>
      </c>
      <c r="I139" s="271" t="s">
        <v>34</v>
      </c>
      <c r="J139" s="272" t="s">
        <v>12</v>
      </c>
      <c r="K139" s="272" t="s">
        <v>16</v>
      </c>
      <c r="L139" s="43">
        <v>46075</v>
      </c>
      <c r="M139" s="46">
        <v>0.58333333333333337</v>
      </c>
      <c r="N139" s="270" t="s">
        <v>135</v>
      </c>
      <c r="O139" s="272" t="s">
        <v>148</v>
      </c>
      <c r="P139" s="282" t="s">
        <v>16</v>
      </c>
      <c r="Q139" s="283"/>
      <c r="R139" s="283"/>
      <c r="S139" s="109" t="e">
        <f t="shared" si="4"/>
        <v>#VALUE!</v>
      </c>
      <c r="T139" s="18"/>
      <c r="U139" s="8"/>
      <c r="V139" s="8"/>
      <c r="W139" s="109"/>
      <c r="X139" s="40" t="e">
        <f t="shared" si="5"/>
        <v>#VALUE!</v>
      </c>
      <c r="Y139" s="1"/>
      <c r="Z139" s="1"/>
    </row>
    <row r="140" spans="1:26" s="3" customFormat="1" ht="19.95" customHeight="1">
      <c r="A140" s="18">
        <v>149</v>
      </c>
      <c r="B140" s="270" t="s">
        <v>407</v>
      </c>
      <c r="C140" s="271" t="s">
        <v>408</v>
      </c>
      <c r="D140" s="270"/>
      <c r="E140" s="270" t="s">
        <v>407</v>
      </c>
      <c r="F140" s="19">
        <v>9004227229</v>
      </c>
      <c r="G140" s="272" t="s">
        <v>38</v>
      </c>
      <c r="H140" s="272" t="s">
        <v>61</v>
      </c>
      <c r="I140" s="271" t="s">
        <v>34</v>
      </c>
      <c r="J140" s="272" t="s">
        <v>12</v>
      </c>
      <c r="K140" s="18">
        <v>900</v>
      </c>
      <c r="L140" s="43">
        <v>46074</v>
      </c>
      <c r="M140" s="46">
        <v>0.625</v>
      </c>
      <c r="N140" s="25" t="s">
        <v>231</v>
      </c>
      <c r="O140" s="272" t="s">
        <v>35</v>
      </c>
      <c r="P140" s="295" t="s">
        <v>1</v>
      </c>
      <c r="Q140" s="505"/>
      <c r="R140" s="505"/>
      <c r="S140" s="109">
        <f t="shared" si="4"/>
        <v>900</v>
      </c>
      <c r="T140" s="18"/>
      <c r="U140" s="8"/>
      <c r="V140" s="8"/>
      <c r="W140" s="109"/>
      <c r="X140" s="40">
        <f t="shared" si="5"/>
        <v>900</v>
      </c>
      <c r="Y140" s="1"/>
      <c r="Z140" s="1"/>
    </row>
    <row r="141" spans="1:26" s="3" customFormat="1" ht="19.95" customHeight="1">
      <c r="A141" s="18">
        <v>150</v>
      </c>
      <c r="B141" s="351" t="s">
        <v>409</v>
      </c>
      <c r="C141" s="352" t="s">
        <v>410</v>
      </c>
      <c r="D141" s="352"/>
      <c r="E141" s="353" t="s">
        <v>411</v>
      </c>
      <c r="F141" s="19">
        <v>7738011145</v>
      </c>
      <c r="G141" s="353" t="s">
        <v>38</v>
      </c>
      <c r="H141" s="353" t="s">
        <v>412</v>
      </c>
      <c r="I141" s="325" t="s">
        <v>209</v>
      </c>
      <c r="J141" s="353" t="s">
        <v>94</v>
      </c>
      <c r="K141" s="18">
        <v>2200</v>
      </c>
      <c r="L141" s="43">
        <v>46074</v>
      </c>
      <c r="M141" s="46">
        <v>0.66666666666666663</v>
      </c>
      <c r="N141" s="25" t="s">
        <v>231</v>
      </c>
      <c r="O141" s="353" t="s">
        <v>148</v>
      </c>
      <c r="P141" s="18"/>
      <c r="Q141" s="8"/>
      <c r="R141" s="8"/>
      <c r="S141" s="109">
        <f t="shared" si="4"/>
        <v>2200</v>
      </c>
      <c r="T141" s="876" t="s">
        <v>1008</v>
      </c>
      <c r="U141" s="371"/>
      <c r="V141" s="371"/>
      <c r="W141" s="109"/>
      <c r="X141" s="40">
        <f t="shared" si="5"/>
        <v>2200</v>
      </c>
      <c r="Y141" s="1"/>
      <c r="Z141" s="1"/>
    </row>
    <row r="142" spans="1:26" s="3" customFormat="1" ht="19.95" customHeight="1">
      <c r="A142" s="18">
        <v>151</v>
      </c>
      <c r="B142" s="354" t="s">
        <v>413</v>
      </c>
      <c r="C142" s="355" t="s">
        <v>416</v>
      </c>
      <c r="D142" s="355"/>
      <c r="E142" s="356" t="s">
        <v>415</v>
      </c>
      <c r="F142" s="19">
        <v>9769216919</v>
      </c>
      <c r="G142" s="356" t="s">
        <v>38</v>
      </c>
      <c r="H142" s="356" t="s">
        <v>412</v>
      </c>
      <c r="I142" s="357" t="s">
        <v>209</v>
      </c>
      <c r="J142" s="356" t="s">
        <v>12</v>
      </c>
      <c r="K142" s="18">
        <v>1250</v>
      </c>
      <c r="L142" s="43">
        <v>46074</v>
      </c>
      <c r="M142" s="46">
        <v>0.70833333333333337</v>
      </c>
      <c r="N142" s="354" t="s">
        <v>414</v>
      </c>
      <c r="O142" s="356" t="s">
        <v>197</v>
      </c>
      <c r="P142" s="295" t="s">
        <v>19</v>
      </c>
      <c r="Q142" s="505"/>
      <c r="R142" s="505"/>
      <c r="S142" s="109">
        <f t="shared" si="4"/>
        <v>1250</v>
      </c>
      <c r="T142" s="18"/>
      <c r="U142" s="8"/>
      <c r="V142" s="8"/>
      <c r="W142" s="109"/>
      <c r="X142" s="40">
        <f t="shared" si="5"/>
        <v>1250</v>
      </c>
      <c r="Y142" s="1"/>
      <c r="Z142" s="1"/>
    </row>
    <row r="143" spans="1:26" s="3" customFormat="1" ht="19.95" customHeight="1">
      <c r="A143" s="18">
        <v>152</v>
      </c>
      <c r="B143" s="358" t="s">
        <v>418</v>
      </c>
      <c r="C143" s="359" t="s">
        <v>419</v>
      </c>
      <c r="D143" s="358"/>
      <c r="E143" s="358" t="s">
        <v>418</v>
      </c>
      <c r="F143" s="19">
        <v>7448228698</v>
      </c>
      <c r="G143" s="273" t="s">
        <v>38</v>
      </c>
      <c r="H143" s="273" t="s">
        <v>61</v>
      </c>
      <c r="I143" s="359" t="s">
        <v>34</v>
      </c>
      <c r="J143" s="273" t="s">
        <v>12</v>
      </c>
      <c r="K143" s="18">
        <v>1000</v>
      </c>
      <c r="L143" s="43">
        <v>46075</v>
      </c>
      <c r="M143" s="46">
        <v>0.5</v>
      </c>
      <c r="N143" s="358" t="s">
        <v>104</v>
      </c>
      <c r="O143" s="273" t="s">
        <v>35</v>
      </c>
      <c r="P143" s="295" t="s">
        <v>19</v>
      </c>
      <c r="Q143" s="505"/>
      <c r="R143" s="505"/>
      <c r="S143" s="109">
        <f t="shared" si="4"/>
        <v>1000</v>
      </c>
      <c r="T143" s="18"/>
      <c r="U143" s="8"/>
      <c r="V143" s="8"/>
      <c r="W143" s="109"/>
      <c r="X143" s="40">
        <f t="shared" si="5"/>
        <v>1000</v>
      </c>
      <c r="Y143" s="1"/>
      <c r="Z143" s="1"/>
    </row>
    <row r="144" spans="1:26" s="3" customFormat="1" ht="19.95" customHeight="1">
      <c r="A144" s="18">
        <v>153</v>
      </c>
      <c r="B144" s="360" t="s">
        <v>420</v>
      </c>
      <c r="C144" s="361" t="s">
        <v>421</v>
      </c>
      <c r="D144" s="361"/>
      <c r="E144" s="362" t="s">
        <v>425</v>
      </c>
      <c r="F144" s="19">
        <v>9920203803</v>
      </c>
      <c r="G144" s="362" t="s">
        <v>38</v>
      </c>
      <c r="H144" s="362" t="s">
        <v>422</v>
      </c>
      <c r="I144" s="325" t="s">
        <v>209</v>
      </c>
      <c r="J144" s="362" t="s">
        <v>12</v>
      </c>
      <c r="K144" s="18">
        <v>900</v>
      </c>
      <c r="L144" s="43">
        <v>46076</v>
      </c>
      <c r="M144" s="46">
        <v>0.45833333333333331</v>
      </c>
      <c r="N144" s="360" t="s">
        <v>108</v>
      </c>
      <c r="O144" s="362" t="s">
        <v>199</v>
      </c>
      <c r="P144" s="295" t="s">
        <v>1</v>
      </c>
      <c r="Q144" s="505"/>
      <c r="R144" s="505"/>
      <c r="S144" s="109">
        <f t="shared" si="4"/>
        <v>900</v>
      </c>
      <c r="T144" s="18"/>
      <c r="U144" s="8"/>
      <c r="V144" s="8"/>
      <c r="W144" s="109"/>
      <c r="X144" s="40">
        <f t="shared" si="5"/>
        <v>900</v>
      </c>
      <c r="Y144" s="1"/>
      <c r="Z144" s="1"/>
    </row>
    <row r="145" spans="1:26" s="3" customFormat="1" ht="19.95" customHeight="1">
      <c r="A145" s="18">
        <v>154</v>
      </c>
      <c r="B145" s="360" t="s">
        <v>423</v>
      </c>
      <c r="C145" s="361" t="s">
        <v>424</v>
      </c>
      <c r="D145" s="360"/>
      <c r="E145" s="360" t="s">
        <v>423</v>
      </c>
      <c r="F145" s="19">
        <v>9766489848</v>
      </c>
      <c r="G145" s="362" t="s">
        <v>38</v>
      </c>
      <c r="H145" s="362" t="s">
        <v>39</v>
      </c>
      <c r="I145" s="361" t="s">
        <v>34</v>
      </c>
      <c r="J145" s="362" t="s">
        <v>12</v>
      </c>
      <c r="K145" s="18">
        <v>900</v>
      </c>
      <c r="L145" s="43">
        <v>46077</v>
      </c>
      <c r="M145" s="46">
        <v>0.375</v>
      </c>
      <c r="N145" s="360" t="s">
        <v>231</v>
      </c>
      <c r="O145" s="362" t="s">
        <v>35</v>
      </c>
      <c r="P145" s="282" t="s">
        <v>19</v>
      </c>
      <c r="Q145" s="283"/>
      <c r="R145" s="283"/>
      <c r="S145" s="109">
        <f t="shared" si="4"/>
        <v>900</v>
      </c>
      <c r="T145" s="18"/>
      <c r="U145" s="8"/>
      <c r="V145" s="8"/>
      <c r="W145" s="109"/>
      <c r="X145" s="40">
        <f t="shared" si="5"/>
        <v>900</v>
      </c>
      <c r="Y145" s="1"/>
      <c r="Z145" s="1"/>
    </row>
    <row r="146" spans="1:26" s="3" customFormat="1" ht="19.95" customHeight="1">
      <c r="A146" s="18">
        <v>155</v>
      </c>
      <c r="B146" s="277" t="s">
        <v>429</v>
      </c>
      <c r="C146" s="276" t="s">
        <v>428</v>
      </c>
      <c r="D146" s="277"/>
      <c r="E146" s="277" t="s">
        <v>430</v>
      </c>
      <c r="F146" s="19">
        <v>9936817268</v>
      </c>
      <c r="G146" s="275" t="s">
        <v>426</v>
      </c>
      <c r="H146" s="275" t="s">
        <v>323</v>
      </c>
      <c r="I146" s="274" t="s">
        <v>427</v>
      </c>
      <c r="J146" s="275" t="s">
        <v>12</v>
      </c>
      <c r="K146" s="704" t="s">
        <v>16</v>
      </c>
      <c r="L146" s="43">
        <v>46077</v>
      </c>
      <c r="M146" s="46">
        <v>0.58333333333333337</v>
      </c>
      <c r="N146" s="279" t="s">
        <v>438</v>
      </c>
      <c r="O146" s="275" t="s">
        <v>198</v>
      </c>
      <c r="P146" s="284" t="s">
        <v>16</v>
      </c>
      <c r="Q146" s="286"/>
      <c r="R146" s="286"/>
      <c r="S146" s="109" t="e">
        <f t="shared" si="4"/>
        <v>#VALUE!</v>
      </c>
      <c r="T146" s="18"/>
      <c r="U146" s="8"/>
      <c r="V146" s="8"/>
      <c r="W146" s="109"/>
      <c r="X146" s="40" t="e">
        <f t="shared" si="5"/>
        <v>#VALUE!</v>
      </c>
      <c r="Y146" s="281" t="s">
        <v>440</v>
      </c>
      <c r="Z146" s="1"/>
    </row>
    <row r="147" spans="1:26" s="3" customFormat="1" ht="19.95" customHeight="1">
      <c r="A147" s="18">
        <v>156</v>
      </c>
      <c r="B147" s="363" t="s">
        <v>431</v>
      </c>
      <c r="C147" s="364" t="s">
        <v>432</v>
      </c>
      <c r="D147" s="363"/>
      <c r="E147" s="363" t="s">
        <v>431</v>
      </c>
      <c r="F147" s="19">
        <v>8828824078</v>
      </c>
      <c r="G147" s="365" t="s">
        <v>38</v>
      </c>
      <c r="H147" s="365" t="s">
        <v>55</v>
      </c>
      <c r="I147" s="364" t="s">
        <v>34</v>
      </c>
      <c r="J147" s="365" t="s">
        <v>12</v>
      </c>
      <c r="K147" s="18">
        <v>400</v>
      </c>
      <c r="L147" s="43">
        <v>46075</v>
      </c>
      <c r="M147" s="46">
        <v>0.5</v>
      </c>
      <c r="N147" s="363" t="s">
        <v>104</v>
      </c>
      <c r="O147" s="365" t="s">
        <v>148</v>
      </c>
      <c r="P147" s="376" t="s">
        <v>1</v>
      </c>
      <c r="Q147" s="377"/>
      <c r="R147" s="377"/>
      <c r="S147" s="109">
        <f t="shared" si="4"/>
        <v>400</v>
      </c>
      <c r="T147" s="18"/>
      <c r="U147" s="8"/>
      <c r="V147" s="8"/>
      <c r="W147" s="109"/>
      <c r="X147" s="40">
        <f t="shared" si="5"/>
        <v>400</v>
      </c>
      <c r="Y147" s="1"/>
      <c r="Z147" s="1"/>
    </row>
    <row r="148" spans="1:26" s="3" customFormat="1" ht="19.95" customHeight="1">
      <c r="A148" s="18">
        <v>157</v>
      </c>
      <c r="B148" s="278" t="s">
        <v>434</v>
      </c>
      <c r="C148" s="366" t="s">
        <v>433</v>
      </c>
      <c r="D148" s="278"/>
      <c r="E148" s="278" t="s">
        <v>434</v>
      </c>
      <c r="F148" s="19">
        <v>9527448907</v>
      </c>
      <c r="G148" s="295" t="s">
        <v>495</v>
      </c>
      <c r="H148" s="365" t="s">
        <v>39</v>
      </c>
      <c r="I148" s="364" t="s">
        <v>34</v>
      </c>
      <c r="J148" s="365" t="s">
        <v>15</v>
      </c>
      <c r="K148" s="18">
        <v>2700</v>
      </c>
      <c r="L148" s="43">
        <v>46078</v>
      </c>
      <c r="M148" s="46">
        <v>0.58333333333333337</v>
      </c>
      <c r="N148" s="363" t="s">
        <v>231</v>
      </c>
      <c r="O148" s="365" t="s">
        <v>35</v>
      </c>
      <c r="P148" s="295" t="s">
        <v>19</v>
      </c>
      <c r="Q148" s="505"/>
      <c r="R148" s="505"/>
      <c r="S148" s="109">
        <f t="shared" si="4"/>
        <v>2700</v>
      </c>
      <c r="T148" s="18"/>
      <c r="U148" s="8"/>
      <c r="V148" s="8"/>
      <c r="W148" s="109"/>
      <c r="X148" s="40">
        <f t="shared" si="5"/>
        <v>2700</v>
      </c>
      <c r="Y148" s="1"/>
      <c r="Z148" s="1"/>
    </row>
    <row r="149" spans="1:26" s="3" customFormat="1" ht="19.95" customHeight="1">
      <c r="A149" s="18">
        <v>158</v>
      </c>
      <c r="B149" s="367" t="s">
        <v>441</v>
      </c>
      <c r="C149" s="374" t="s">
        <v>515</v>
      </c>
      <c r="D149" s="374"/>
      <c r="E149" s="261" t="s">
        <v>349</v>
      </c>
      <c r="F149" s="19">
        <v>7517241640</v>
      </c>
      <c r="G149" s="282" t="s">
        <v>442</v>
      </c>
      <c r="H149" s="96" t="s">
        <v>100</v>
      </c>
      <c r="I149" s="283" t="s">
        <v>443</v>
      </c>
      <c r="J149" s="21" t="s">
        <v>12</v>
      </c>
      <c r="K149" s="96">
        <v>1500</v>
      </c>
      <c r="L149" s="43">
        <v>46079</v>
      </c>
      <c r="M149" s="46">
        <v>0.66666666666666663</v>
      </c>
      <c r="N149" s="367" t="s">
        <v>104</v>
      </c>
      <c r="O149" s="45" t="s">
        <v>148</v>
      </c>
      <c r="P149" s="39"/>
      <c r="Q149" s="109"/>
      <c r="R149" s="109"/>
      <c r="S149" s="109">
        <f t="shared" si="4"/>
        <v>1500</v>
      </c>
      <c r="T149" s="295" t="s">
        <v>153</v>
      </c>
      <c r="U149" s="505"/>
      <c r="V149" s="505"/>
      <c r="W149" s="109"/>
      <c r="X149" s="40">
        <f t="shared" si="5"/>
        <v>1500</v>
      </c>
      <c r="Y149" s="1"/>
      <c r="Z149" s="1"/>
    </row>
    <row r="150" spans="1:26" s="3" customFormat="1" ht="19.95" customHeight="1">
      <c r="A150" s="18">
        <v>159</v>
      </c>
      <c r="B150" s="278" t="s">
        <v>435</v>
      </c>
      <c r="C150" s="366" t="s">
        <v>436</v>
      </c>
      <c r="D150" s="278"/>
      <c r="E150" s="278" t="s">
        <v>435</v>
      </c>
      <c r="F150" s="19">
        <v>9930130625</v>
      </c>
      <c r="G150" s="368" t="s">
        <v>38</v>
      </c>
      <c r="H150" s="368" t="s">
        <v>55</v>
      </c>
      <c r="I150" s="366" t="s">
        <v>34</v>
      </c>
      <c r="J150" s="368" t="s">
        <v>12</v>
      </c>
      <c r="K150" s="18">
        <v>700</v>
      </c>
      <c r="L150" s="43">
        <v>46080</v>
      </c>
      <c r="M150" s="46">
        <v>0.41666666666666669</v>
      </c>
      <c r="N150" s="285" t="s">
        <v>135</v>
      </c>
      <c r="O150" s="368" t="s">
        <v>199</v>
      </c>
      <c r="P150" s="282" t="s">
        <v>19</v>
      </c>
      <c r="Q150" s="283"/>
      <c r="R150" s="283"/>
      <c r="S150" s="109">
        <f t="shared" si="4"/>
        <v>700</v>
      </c>
      <c r="T150" s="18"/>
      <c r="U150" s="8"/>
      <c r="V150" s="8"/>
      <c r="W150" s="109"/>
      <c r="X150" s="40">
        <f t="shared" si="5"/>
        <v>700</v>
      </c>
      <c r="Y150" s="1"/>
      <c r="Z150" s="1"/>
    </row>
    <row r="151" spans="1:26" s="3" customFormat="1" ht="19.95" customHeight="1">
      <c r="A151" s="18">
        <v>160</v>
      </c>
      <c r="B151" s="296" t="s">
        <v>475</v>
      </c>
      <c r="C151" s="369" t="s">
        <v>476</v>
      </c>
      <c r="D151" s="370"/>
      <c r="E151" s="370" t="s">
        <v>475</v>
      </c>
      <c r="F151" s="14">
        <v>9987330979</v>
      </c>
      <c r="G151" s="286" t="s">
        <v>75</v>
      </c>
      <c r="H151" s="286" t="s">
        <v>61</v>
      </c>
      <c r="I151" s="286" t="s">
        <v>34</v>
      </c>
      <c r="J151" s="286" t="s">
        <v>12</v>
      </c>
      <c r="K151" s="8">
        <v>2000</v>
      </c>
      <c r="L151" s="43">
        <v>46080</v>
      </c>
      <c r="M151" s="46">
        <v>0.70833333333333337</v>
      </c>
      <c r="N151" s="285" t="s">
        <v>231</v>
      </c>
      <c r="O151" s="286" t="s">
        <v>197</v>
      </c>
      <c r="P151" s="371" t="s">
        <v>19</v>
      </c>
      <c r="Q151" s="371"/>
      <c r="R151" s="371"/>
      <c r="S151" s="109">
        <f t="shared" si="4"/>
        <v>2000</v>
      </c>
      <c r="T151" s="8"/>
      <c r="U151" s="8"/>
      <c r="V151" s="8"/>
      <c r="W151" s="109"/>
      <c r="X151" s="40">
        <f t="shared" si="5"/>
        <v>2000</v>
      </c>
      <c r="Y151" s="1"/>
      <c r="Z151" s="1"/>
    </row>
    <row r="152" spans="1:26" s="3" customFormat="1" ht="19.95" customHeight="1">
      <c r="A152" s="18">
        <v>161</v>
      </c>
      <c r="B152" s="285" t="s">
        <v>455</v>
      </c>
      <c r="C152" s="288" t="s">
        <v>458</v>
      </c>
      <c r="D152" s="934"/>
      <c r="E152" s="285" t="s">
        <v>456</v>
      </c>
      <c r="F152" s="14">
        <v>9172830543</v>
      </c>
      <c r="G152" s="286" t="s">
        <v>75</v>
      </c>
      <c r="H152" s="286" t="s">
        <v>323</v>
      </c>
      <c r="I152" s="286" t="s">
        <v>457</v>
      </c>
      <c r="J152" s="286" t="s">
        <v>12</v>
      </c>
      <c r="K152" s="8"/>
      <c r="L152" s="43">
        <v>46080</v>
      </c>
      <c r="M152" s="46">
        <v>0.375</v>
      </c>
      <c r="N152" s="278" t="s">
        <v>437</v>
      </c>
      <c r="O152" s="286" t="s">
        <v>148</v>
      </c>
      <c r="P152" s="283"/>
      <c r="Q152" s="283"/>
      <c r="R152" s="283"/>
      <c r="S152" s="109">
        <f t="shared" si="4"/>
        <v>0</v>
      </c>
      <c r="T152" s="377" t="s">
        <v>116</v>
      </c>
      <c r="U152" s="377"/>
      <c r="V152" s="377"/>
      <c r="W152" s="109"/>
      <c r="X152" s="40">
        <f t="shared" si="5"/>
        <v>0</v>
      </c>
      <c r="Y152" s="1"/>
      <c r="Z152" s="1"/>
    </row>
    <row r="153" spans="1:26" s="3" customFormat="1" ht="19.95" customHeight="1">
      <c r="A153" s="18">
        <v>162</v>
      </c>
      <c r="B153" s="289" t="s">
        <v>461</v>
      </c>
      <c r="C153" s="291" t="s">
        <v>460</v>
      </c>
      <c r="D153" s="289"/>
      <c r="E153" s="289" t="s">
        <v>461</v>
      </c>
      <c r="F153" s="19">
        <v>8149953012</v>
      </c>
      <c r="G153" s="290" t="s">
        <v>75</v>
      </c>
      <c r="H153" s="290" t="s">
        <v>55</v>
      </c>
      <c r="I153" s="291" t="s">
        <v>34</v>
      </c>
      <c r="J153" s="290" t="s">
        <v>15</v>
      </c>
      <c r="K153" s="18">
        <v>1800</v>
      </c>
      <c r="L153" s="43">
        <v>46080</v>
      </c>
      <c r="M153" s="287">
        <v>0.375</v>
      </c>
      <c r="N153" s="289" t="s">
        <v>104</v>
      </c>
      <c r="O153" s="290" t="s">
        <v>35</v>
      </c>
      <c r="P153" s="9" t="s">
        <v>19</v>
      </c>
      <c r="Q153" s="9"/>
      <c r="R153" s="9"/>
      <c r="S153" s="109">
        <f t="shared" si="4"/>
        <v>1800</v>
      </c>
      <c r="T153" s="16"/>
      <c r="U153" s="723"/>
      <c r="V153" s="723"/>
      <c r="W153" s="109"/>
      <c r="X153" s="40">
        <f t="shared" si="5"/>
        <v>1800</v>
      </c>
      <c r="Y153" s="1"/>
      <c r="Z153" s="1"/>
    </row>
    <row r="154" spans="1:26" s="3" customFormat="1" ht="19.95" customHeight="1">
      <c r="A154" s="18">
        <v>163</v>
      </c>
      <c r="B154" s="289" t="s">
        <v>462</v>
      </c>
      <c r="C154" s="291" t="s">
        <v>463</v>
      </c>
      <c r="D154" s="289"/>
      <c r="E154" s="289" t="s">
        <v>464</v>
      </c>
      <c r="F154" s="19">
        <v>9769418649</v>
      </c>
      <c r="G154" s="290" t="s">
        <v>465</v>
      </c>
      <c r="H154" s="290" t="s">
        <v>466</v>
      </c>
      <c r="I154" s="291" t="s">
        <v>209</v>
      </c>
      <c r="J154" s="290" t="s">
        <v>467</v>
      </c>
      <c r="K154" s="705">
        <v>22000</v>
      </c>
      <c r="L154" s="43">
        <v>46081</v>
      </c>
      <c r="M154" s="46">
        <v>0.45833333333333331</v>
      </c>
      <c r="N154" s="289" t="s">
        <v>231</v>
      </c>
      <c r="O154" s="290" t="s">
        <v>198</v>
      </c>
      <c r="P154" s="18"/>
      <c r="Q154" s="8"/>
      <c r="R154" s="8"/>
      <c r="S154" s="109">
        <f t="shared" si="4"/>
        <v>22000</v>
      </c>
      <c r="T154" s="18"/>
      <c r="U154" s="8"/>
      <c r="V154" s="8"/>
      <c r="W154" s="109"/>
      <c r="X154" s="40">
        <f t="shared" si="5"/>
        <v>22000</v>
      </c>
      <c r="Y154" s="1"/>
      <c r="Z154" s="1"/>
    </row>
    <row r="155" spans="1:26" s="3" customFormat="1" ht="19.95" customHeight="1">
      <c r="A155" s="18">
        <v>164</v>
      </c>
      <c r="B155" s="289" t="s">
        <v>468</v>
      </c>
      <c r="C155" s="372" t="s">
        <v>469</v>
      </c>
      <c r="D155" s="372"/>
      <c r="E155" s="289" t="s">
        <v>470</v>
      </c>
      <c r="F155" s="19">
        <v>7208208633</v>
      </c>
      <c r="G155" s="290" t="s">
        <v>329</v>
      </c>
      <c r="H155" s="290" t="s">
        <v>323</v>
      </c>
      <c r="I155" s="291" t="s">
        <v>471</v>
      </c>
      <c r="J155" s="290" t="s">
        <v>12</v>
      </c>
      <c r="K155" s="18">
        <v>2400</v>
      </c>
      <c r="L155" s="43">
        <v>46081</v>
      </c>
      <c r="M155" s="46">
        <v>0.58333333333333337</v>
      </c>
      <c r="N155" s="289" t="s">
        <v>231</v>
      </c>
      <c r="O155" s="290" t="s">
        <v>198</v>
      </c>
      <c r="P155" s="18"/>
      <c r="Q155" s="8"/>
      <c r="R155" s="8"/>
      <c r="S155" s="109">
        <f t="shared" si="4"/>
        <v>2400</v>
      </c>
      <c r="T155" s="18"/>
      <c r="U155" s="8"/>
      <c r="V155" s="8"/>
      <c r="W155" s="109"/>
      <c r="X155" s="40">
        <f t="shared" si="5"/>
        <v>2400</v>
      </c>
      <c r="Y155" s="1"/>
      <c r="Z155" s="1"/>
    </row>
    <row r="156" spans="1:26" s="3" customFormat="1" ht="19.95" customHeight="1">
      <c r="A156" s="18">
        <v>165</v>
      </c>
      <c r="B156" s="285" t="s">
        <v>445</v>
      </c>
      <c r="C156" s="374" t="s">
        <v>446</v>
      </c>
      <c r="D156" s="933"/>
      <c r="E156" s="285" t="s">
        <v>444</v>
      </c>
      <c r="F156" s="19">
        <v>7710886224</v>
      </c>
      <c r="G156" s="17" t="s">
        <v>75</v>
      </c>
      <c r="H156" s="284" t="s">
        <v>39</v>
      </c>
      <c r="I156" s="286" t="s">
        <v>34</v>
      </c>
      <c r="J156" s="418" t="s">
        <v>12</v>
      </c>
      <c r="K156" s="18">
        <v>800</v>
      </c>
      <c r="L156" s="43">
        <v>46082</v>
      </c>
      <c r="M156" s="495" t="s">
        <v>56</v>
      </c>
      <c r="N156" s="496" t="s">
        <v>108</v>
      </c>
      <c r="O156" s="284" t="s">
        <v>35</v>
      </c>
      <c r="P156" s="418" t="s">
        <v>19</v>
      </c>
      <c r="Q156" s="715"/>
      <c r="R156" s="715"/>
      <c r="S156" s="109">
        <f t="shared" si="4"/>
        <v>800</v>
      </c>
      <c r="T156" s="18"/>
      <c r="U156" s="8"/>
      <c r="V156" s="8"/>
      <c r="W156" s="109"/>
      <c r="X156" s="40">
        <f t="shared" si="5"/>
        <v>800</v>
      </c>
      <c r="Y156" s="1"/>
      <c r="Z156" s="1"/>
    </row>
    <row r="157" spans="1:26" s="3" customFormat="1" ht="19.95" customHeight="1">
      <c r="A157" s="18">
        <v>166</v>
      </c>
      <c r="B157" s="285" t="s">
        <v>447</v>
      </c>
      <c r="C157" s="497" t="s">
        <v>448</v>
      </c>
      <c r="D157" s="496"/>
      <c r="E157" s="285" t="s">
        <v>449</v>
      </c>
      <c r="F157" s="19">
        <v>9769820711</v>
      </c>
      <c r="G157" s="284" t="s">
        <v>75</v>
      </c>
      <c r="H157" s="284" t="s">
        <v>65</v>
      </c>
      <c r="I157" s="286" t="s">
        <v>34</v>
      </c>
      <c r="J157" s="418" t="s">
        <v>12</v>
      </c>
      <c r="K157" s="18">
        <v>1150</v>
      </c>
      <c r="L157" s="43">
        <v>46082</v>
      </c>
      <c r="M157" s="46">
        <v>0.45833333333333331</v>
      </c>
      <c r="N157" s="496" t="s">
        <v>231</v>
      </c>
      <c r="O157" s="284" t="s">
        <v>35</v>
      </c>
      <c r="P157" s="418" t="s">
        <v>19</v>
      </c>
      <c r="Q157" s="715"/>
      <c r="R157" s="715"/>
      <c r="S157" s="109">
        <f t="shared" si="4"/>
        <v>1150</v>
      </c>
      <c r="T157" s="18"/>
      <c r="U157" s="8"/>
      <c r="V157" s="8"/>
      <c r="W157" s="109"/>
      <c r="X157" s="40">
        <f t="shared" si="5"/>
        <v>1150</v>
      </c>
      <c r="Y157" s="1"/>
      <c r="Z157" s="1"/>
    </row>
    <row r="158" spans="1:26" s="3" customFormat="1" ht="19.95" customHeight="1">
      <c r="A158" s="18">
        <v>167</v>
      </c>
      <c r="B158" s="285" t="s">
        <v>447</v>
      </c>
      <c r="C158" s="286" t="s">
        <v>450</v>
      </c>
      <c r="D158" s="285"/>
      <c r="E158" s="285" t="s">
        <v>449</v>
      </c>
      <c r="F158" s="19">
        <v>9769820711</v>
      </c>
      <c r="G158" s="284" t="s">
        <v>75</v>
      </c>
      <c r="H158" s="284" t="s">
        <v>61</v>
      </c>
      <c r="I158" s="286" t="s">
        <v>34</v>
      </c>
      <c r="J158" s="418" t="s">
        <v>12</v>
      </c>
      <c r="K158" s="18">
        <v>1150</v>
      </c>
      <c r="L158" s="43">
        <v>46082</v>
      </c>
      <c r="M158" s="46">
        <v>0.45833333333333331</v>
      </c>
      <c r="N158" s="496" t="s">
        <v>231</v>
      </c>
      <c r="O158" s="284" t="s">
        <v>35</v>
      </c>
      <c r="P158" s="418" t="s">
        <v>19</v>
      </c>
      <c r="Q158" s="715"/>
      <c r="R158" s="715"/>
      <c r="S158" s="109">
        <f t="shared" si="4"/>
        <v>1150</v>
      </c>
      <c r="T158" s="18"/>
      <c r="U158" s="8"/>
      <c r="V158" s="8"/>
      <c r="W158" s="109"/>
      <c r="X158" s="40">
        <f t="shared" si="5"/>
        <v>1150</v>
      </c>
      <c r="Y158" s="1"/>
      <c r="Z158" s="1"/>
    </row>
    <row r="159" spans="1:26" s="3" customFormat="1" ht="19.95" customHeight="1">
      <c r="A159" s="18">
        <v>168</v>
      </c>
      <c r="B159" s="496" t="s">
        <v>473</v>
      </c>
      <c r="C159" s="497" t="s">
        <v>474</v>
      </c>
      <c r="D159" s="496"/>
      <c r="E159" s="496" t="s">
        <v>473</v>
      </c>
      <c r="F159" s="19">
        <v>7666245535</v>
      </c>
      <c r="G159" s="498" t="s">
        <v>38</v>
      </c>
      <c r="H159" s="498" t="s">
        <v>39</v>
      </c>
      <c r="I159" s="497" t="s">
        <v>34</v>
      </c>
      <c r="J159" s="498" t="s">
        <v>12</v>
      </c>
      <c r="K159" s="18">
        <v>900</v>
      </c>
      <c r="L159" s="43">
        <v>46082</v>
      </c>
      <c r="M159" s="46">
        <v>0.41666666666666669</v>
      </c>
      <c r="N159" s="496" t="s">
        <v>104</v>
      </c>
      <c r="O159" s="498" t="s">
        <v>35</v>
      </c>
      <c r="P159" s="323" t="s">
        <v>19</v>
      </c>
      <c r="Q159" s="371"/>
      <c r="R159" s="371"/>
      <c r="S159" s="109">
        <f t="shared" si="4"/>
        <v>900</v>
      </c>
      <c r="T159" s="18"/>
      <c r="U159" s="8"/>
      <c r="V159" s="8"/>
      <c r="W159" s="109"/>
      <c r="X159" s="40">
        <f t="shared" si="5"/>
        <v>900</v>
      </c>
      <c r="Y159" s="1"/>
      <c r="Z159" s="1"/>
    </row>
    <row r="160" spans="1:26" s="3" customFormat="1" ht="19.95" customHeight="1">
      <c r="A160" s="18">
        <v>169</v>
      </c>
      <c r="B160" s="496" t="s">
        <v>472</v>
      </c>
      <c r="C160" s="497" t="s">
        <v>459</v>
      </c>
      <c r="D160" s="496"/>
      <c r="E160" s="496" t="s">
        <v>472</v>
      </c>
      <c r="F160" s="499">
        <v>8097905463</v>
      </c>
      <c r="G160" s="290" t="s">
        <v>38</v>
      </c>
      <c r="H160" s="500" t="s">
        <v>70</v>
      </c>
      <c r="I160" s="286" t="s">
        <v>34</v>
      </c>
      <c r="J160" s="500" t="s">
        <v>94</v>
      </c>
      <c r="K160" s="18">
        <v>3200</v>
      </c>
      <c r="L160" s="43">
        <v>46082</v>
      </c>
      <c r="M160" s="287">
        <v>0.54166666666666663</v>
      </c>
      <c r="N160" s="496" t="s">
        <v>231</v>
      </c>
      <c r="O160" s="290" t="s">
        <v>35</v>
      </c>
      <c r="P160" s="323" t="s">
        <v>19</v>
      </c>
      <c r="Q160" s="371"/>
      <c r="R160" s="371"/>
      <c r="S160" s="109">
        <f t="shared" si="4"/>
        <v>3200</v>
      </c>
      <c r="T160" s="323" t="s">
        <v>20</v>
      </c>
      <c r="U160" s="371"/>
      <c r="V160" s="371"/>
      <c r="W160" s="109"/>
      <c r="X160" s="40">
        <f t="shared" si="5"/>
        <v>3200</v>
      </c>
      <c r="Y160" s="1"/>
      <c r="Z160" s="1"/>
    </row>
    <row r="161" spans="1:26" s="3" customFormat="1" ht="19.95" customHeight="1">
      <c r="A161" s="18">
        <v>170</v>
      </c>
      <c r="B161" s="501" t="s">
        <v>477</v>
      </c>
      <c r="C161" s="502" t="s">
        <v>478</v>
      </c>
      <c r="D161" s="501"/>
      <c r="E161" s="501" t="s">
        <v>477</v>
      </c>
      <c r="F161" s="19">
        <v>9920029951</v>
      </c>
      <c r="G161" s="503" t="s">
        <v>479</v>
      </c>
      <c r="H161" s="503" t="s">
        <v>480</v>
      </c>
      <c r="I161" s="502" t="s">
        <v>34</v>
      </c>
      <c r="J161" s="503" t="s">
        <v>94</v>
      </c>
      <c r="K161" s="705">
        <v>10000</v>
      </c>
      <c r="L161" s="43">
        <v>46082</v>
      </c>
      <c r="M161" s="46">
        <v>0.66666666666666663</v>
      </c>
      <c r="N161" s="501" t="s">
        <v>231</v>
      </c>
      <c r="O161" s="503" t="s">
        <v>35</v>
      </c>
      <c r="P161" s="418" t="s">
        <v>19</v>
      </c>
      <c r="Q161" s="715"/>
      <c r="R161" s="715"/>
      <c r="S161" s="109">
        <f t="shared" si="4"/>
        <v>10000</v>
      </c>
      <c r="T161" s="613" t="s">
        <v>757</v>
      </c>
      <c r="U161" s="612"/>
      <c r="V161" s="612"/>
      <c r="W161" s="109"/>
      <c r="X161" s="40">
        <f t="shared" si="5"/>
        <v>10000</v>
      </c>
      <c r="Y161" s="418" t="s">
        <v>654</v>
      </c>
      <c r="Z161" s="1"/>
    </row>
    <row r="162" spans="1:26" s="3" customFormat="1" ht="19.95" customHeight="1">
      <c r="A162" s="18">
        <v>171</v>
      </c>
      <c r="B162" s="293" t="s">
        <v>481</v>
      </c>
      <c r="C162" s="292" t="s">
        <v>482</v>
      </c>
      <c r="D162" s="293"/>
      <c r="E162" s="293" t="s">
        <v>481</v>
      </c>
      <c r="F162" s="19">
        <v>9930534367</v>
      </c>
      <c r="G162" s="294" t="s">
        <v>38</v>
      </c>
      <c r="H162" s="294" t="s">
        <v>39</v>
      </c>
      <c r="I162" s="292" t="s">
        <v>34</v>
      </c>
      <c r="J162" s="294" t="s">
        <v>12</v>
      </c>
      <c r="K162" s="294" t="s">
        <v>16</v>
      </c>
      <c r="L162" s="43">
        <v>46082</v>
      </c>
      <c r="M162" s="46">
        <v>0.45833333333333331</v>
      </c>
      <c r="N162" s="293" t="s">
        <v>135</v>
      </c>
      <c r="O162" s="294" t="s">
        <v>148</v>
      </c>
      <c r="P162" s="295" t="s">
        <v>16</v>
      </c>
      <c r="Q162" s="505"/>
      <c r="R162" s="505"/>
      <c r="S162" s="109" t="e">
        <f t="shared" si="4"/>
        <v>#VALUE!</v>
      </c>
      <c r="T162" s="18"/>
      <c r="U162" s="8"/>
      <c r="V162" s="8"/>
      <c r="W162" s="109"/>
      <c r="X162" s="40" t="e">
        <f t="shared" si="5"/>
        <v>#VALUE!</v>
      </c>
      <c r="Y162" s="1"/>
      <c r="Z162" s="1"/>
    </row>
    <row r="163" spans="1:26" s="3" customFormat="1" ht="19.95" customHeight="1">
      <c r="A163" s="18">
        <v>172</v>
      </c>
      <c r="B163" s="293" t="s">
        <v>483</v>
      </c>
      <c r="C163" s="377" t="s">
        <v>484</v>
      </c>
      <c r="D163" s="504"/>
      <c r="E163" s="293" t="s">
        <v>483</v>
      </c>
      <c r="F163" s="19">
        <v>9930279222</v>
      </c>
      <c r="G163" s="294" t="s">
        <v>38</v>
      </c>
      <c r="H163" s="18"/>
      <c r="I163" s="292" t="s">
        <v>34</v>
      </c>
      <c r="J163" s="376" t="s">
        <v>12</v>
      </c>
      <c r="K163" s="18"/>
      <c r="L163" s="14"/>
      <c r="M163" s="14"/>
      <c r="N163" s="20"/>
      <c r="O163" s="18"/>
      <c r="P163" s="376" t="s">
        <v>18</v>
      </c>
      <c r="Q163" s="377"/>
      <c r="R163" s="377"/>
      <c r="S163" s="109">
        <f t="shared" si="4"/>
        <v>0</v>
      </c>
      <c r="T163" s="18"/>
      <c r="U163" s="8"/>
      <c r="V163" s="8"/>
      <c r="W163" s="109"/>
      <c r="X163" s="40">
        <f t="shared" si="5"/>
        <v>0</v>
      </c>
      <c r="Y163" s="1"/>
      <c r="Z163" s="1"/>
    </row>
    <row r="164" spans="1:26" s="3" customFormat="1" ht="19.95" customHeight="1">
      <c r="A164" s="18">
        <v>173</v>
      </c>
      <c r="B164" s="293" t="s">
        <v>485</v>
      </c>
      <c r="C164" s="292" t="s">
        <v>486</v>
      </c>
      <c r="D164" s="293"/>
      <c r="E164" s="293" t="s">
        <v>485</v>
      </c>
      <c r="F164" s="19">
        <v>8087489064</v>
      </c>
      <c r="G164" s="294" t="s">
        <v>38</v>
      </c>
      <c r="H164" s="294" t="s">
        <v>39</v>
      </c>
      <c r="I164" s="292" t="s">
        <v>34</v>
      </c>
      <c r="J164" s="294" t="s">
        <v>12</v>
      </c>
      <c r="K164" s="18">
        <v>1500</v>
      </c>
      <c r="L164" s="43">
        <v>46087</v>
      </c>
      <c r="M164" s="46">
        <v>0.70833333333333337</v>
      </c>
      <c r="N164" s="293" t="s">
        <v>231</v>
      </c>
      <c r="O164" s="294" t="s">
        <v>148</v>
      </c>
      <c r="P164" s="295" t="s">
        <v>1</v>
      </c>
      <c r="Q164" s="505"/>
      <c r="R164" s="505"/>
      <c r="S164" s="109">
        <f t="shared" si="4"/>
        <v>1500</v>
      </c>
      <c r="T164" s="18"/>
      <c r="U164" s="8"/>
      <c r="V164" s="8"/>
      <c r="W164" s="109"/>
      <c r="X164" s="40">
        <f t="shared" si="5"/>
        <v>1500</v>
      </c>
      <c r="Y164" s="1"/>
      <c r="Z164" s="1"/>
    </row>
    <row r="165" spans="1:26" s="3" customFormat="1" ht="19.95" customHeight="1">
      <c r="A165" s="18">
        <v>174</v>
      </c>
      <c r="B165" s="504" t="s">
        <v>488</v>
      </c>
      <c r="C165" s="505" t="s">
        <v>487</v>
      </c>
      <c r="D165" s="296"/>
      <c r="E165" s="293" t="s">
        <v>488</v>
      </c>
      <c r="F165" s="19">
        <v>9869924019</v>
      </c>
      <c r="G165" s="294" t="s">
        <v>38</v>
      </c>
      <c r="H165" s="294" t="s">
        <v>55</v>
      </c>
      <c r="I165" s="292" t="s">
        <v>34</v>
      </c>
      <c r="J165" s="294" t="s">
        <v>12</v>
      </c>
      <c r="K165" s="18">
        <v>1500</v>
      </c>
      <c r="L165" s="43">
        <v>46087</v>
      </c>
      <c r="M165" s="46">
        <v>0.5</v>
      </c>
      <c r="N165" s="293" t="s">
        <v>231</v>
      </c>
      <c r="O165" s="294" t="s">
        <v>148</v>
      </c>
      <c r="P165" s="376" t="s">
        <v>1</v>
      </c>
      <c r="Q165" s="377"/>
      <c r="R165" s="377"/>
      <c r="S165" s="109">
        <f t="shared" si="4"/>
        <v>1500</v>
      </c>
      <c r="T165" s="295"/>
      <c r="U165" s="505"/>
      <c r="V165" s="505"/>
      <c r="W165" s="109"/>
      <c r="X165" s="40">
        <f t="shared" si="5"/>
        <v>1500</v>
      </c>
      <c r="Y165" s="1"/>
      <c r="Z165" s="1"/>
    </row>
    <row r="166" spans="1:26" s="3" customFormat="1" ht="19.95" customHeight="1">
      <c r="A166" s="18">
        <v>175</v>
      </c>
      <c r="B166" s="293" t="s">
        <v>489</v>
      </c>
      <c r="C166" s="292" t="s">
        <v>490</v>
      </c>
      <c r="D166" s="293"/>
      <c r="E166" s="293" t="s">
        <v>489</v>
      </c>
      <c r="F166" s="19">
        <v>9762398952</v>
      </c>
      <c r="G166" s="294" t="s">
        <v>38</v>
      </c>
      <c r="H166" s="294" t="s">
        <v>55</v>
      </c>
      <c r="I166" s="292" t="s">
        <v>34</v>
      </c>
      <c r="J166" s="294" t="s">
        <v>12</v>
      </c>
      <c r="K166" s="18">
        <v>700</v>
      </c>
      <c r="L166" s="43">
        <v>46088</v>
      </c>
      <c r="M166" s="46">
        <v>0.41666666666666669</v>
      </c>
      <c r="N166" s="293" t="s">
        <v>231</v>
      </c>
      <c r="O166" s="294" t="s">
        <v>148</v>
      </c>
      <c r="P166" s="376" t="s">
        <v>1</v>
      </c>
      <c r="Q166" s="377"/>
      <c r="R166" s="377"/>
      <c r="S166" s="109">
        <f t="shared" si="4"/>
        <v>700</v>
      </c>
      <c r="T166" s="295"/>
      <c r="U166" s="505"/>
      <c r="V166" s="505"/>
      <c r="W166" s="109"/>
      <c r="X166" s="40">
        <f t="shared" si="5"/>
        <v>700</v>
      </c>
      <c r="Y166" s="1"/>
      <c r="Z166" s="1"/>
    </row>
    <row r="167" spans="1:26" s="3" customFormat="1" ht="19.95" customHeight="1">
      <c r="A167" s="18">
        <v>176</v>
      </c>
      <c r="B167" s="506" t="s">
        <v>494</v>
      </c>
      <c r="C167" s="377" t="s">
        <v>493</v>
      </c>
      <c r="D167" s="377"/>
      <c r="E167" s="507" t="s">
        <v>492</v>
      </c>
      <c r="F167" s="19">
        <v>8261074775</v>
      </c>
      <c r="G167" s="507" t="s">
        <v>75</v>
      </c>
      <c r="H167" s="507" t="s">
        <v>61</v>
      </c>
      <c r="I167" s="508" t="s">
        <v>34</v>
      </c>
      <c r="J167" s="507" t="s">
        <v>15</v>
      </c>
      <c r="K167" s="18">
        <v>3500</v>
      </c>
      <c r="L167" s="43">
        <v>46091</v>
      </c>
      <c r="M167" s="509" t="s">
        <v>356</v>
      </c>
      <c r="N167" s="506" t="s">
        <v>104</v>
      </c>
      <c r="O167" s="507" t="s">
        <v>35</v>
      </c>
      <c r="P167" s="376" t="s">
        <v>1</v>
      </c>
      <c r="Q167" s="377"/>
      <c r="R167" s="377"/>
      <c r="S167" s="109">
        <f t="shared" si="4"/>
        <v>3500</v>
      </c>
      <c r="T167" s="18"/>
      <c r="U167" s="8"/>
      <c r="V167" s="8"/>
      <c r="W167" s="109"/>
      <c r="X167" s="40">
        <f t="shared" si="5"/>
        <v>3500</v>
      </c>
      <c r="Y167" s="1"/>
      <c r="Z167" s="1"/>
    </row>
    <row r="168" spans="1:26" s="3" customFormat="1" ht="19.95" customHeight="1">
      <c r="A168" s="18">
        <v>177</v>
      </c>
      <c r="B168" s="510" t="s">
        <v>499</v>
      </c>
      <c r="C168" s="297" t="s">
        <v>497</v>
      </c>
      <c r="D168" s="510"/>
      <c r="E168" s="510" t="s">
        <v>499</v>
      </c>
      <c r="F168" s="19">
        <v>8552063130</v>
      </c>
      <c r="G168" s="1113" t="s">
        <v>38</v>
      </c>
      <c r="H168" s="511" t="s">
        <v>498</v>
      </c>
      <c r="I168" s="297" t="s">
        <v>395</v>
      </c>
      <c r="J168" s="511" t="s">
        <v>12</v>
      </c>
      <c r="K168" s="18">
        <v>800</v>
      </c>
      <c r="L168" s="43">
        <v>46092</v>
      </c>
      <c r="M168" s="512">
        <v>0.66666666666666663</v>
      </c>
      <c r="N168" s="510" t="s">
        <v>231</v>
      </c>
      <c r="O168" s="511" t="s">
        <v>35</v>
      </c>
      <c r="P168" s="376" t="s">
        <v>19</v>
      </c>
      <c r="Q168" s="377"/>
      <c r="R168" s="377"/>
      <c r="S168" s="109">
        <f t="shared" si="4"/>
        <v>800</v>
      </c>
      <c r="T168" s="18"/>
      <c r="U168" s="8"/>
      <c r="V168" s="8"/>
      <c r="W168" s="109"/>
      <c r="X168" s="40">
        <f t="shared" si="5"/>
        <v>800</v>
      </c>
      <c r="Y168" s="1"/>
      <c r="Z168" s="1"/>
    </row>
    <row r="169" spans="1:26" s="3" customFormat="1" ht="19.95" customHeight="1">
      <c r="A169" s="18">
        <v>178</v>
      </c>
      <c r="B169" s="513" t="s">
        <v>500</v>
      </c>
      <c r="C169" s="373" t="s">
        <v>501</v>
      </c>
      <c r="D169" s="513"/>
      <c r="E169" s="513" t="s">
        <v>500</v>
      </c>
      <c r="F169" s="19">
        <v>9545902591</v>
      </c>
      <c r="G169" s="514" t="s">
        <v>75</v>
      </c>
      <c r="H169" s="514" t="s">
        <v>55</v>
      </c>
      <c r="I169" s="373" t="s">
        <v>34</v>
      </c>
      <c r="J169" s="514" t="s">
        <v>15</v>
      </c>
      <c r="K169" s="18">
        <v>2200</v>
      </c>
      <c r="L169" s="43">
        <v>46092</v>
      </c>
      <c r="M169" s="46">
        <v>0.5</v>
      </c>
      <c r="N169" s="513" t="s">
        <v>231</v>
      </c>
      <c r="O169" s="514" t="s">
        <v>35</v>
      </c>
      <c r="P169" s="418" t="s">
        <v>19</v>
      </c>
      <c r="Q169" s="715"/>
      <c r="R169" s="715"/>
      <c r="S169" s="109">
        <f t="shared" si="4"/>
        <v>2200</v>
      </c>
      <c r="T169" s="18"/>
      <c r="U169" s="8"/>
      <c r="V169" s="8"/>
      <c r="W169" s="109"/>
      <c r="X169" s="40">
        <f t="shared" si="5"/>
        <v>2200</v>
      </c>
      <c r="Y169" s="1"/>
      <c r="Z169" s="1"/>
    </row>
    <row r="170" spans="1:26" s="3" customFormat="1" ht="19.95" customHeight="1">
      <c r="A170" s="18">
        <v>179</v>
      </c>
      <c r="B170" s="515" t="s">
        <v>502</v>
      </c>
      <c r="C170" s="516" t="s">
        <v>503</v>
      </c>
      <c r="D170" s="515"/>
      <c r="E170" s="515" t="s">
        <v>502</v>
      </c>
      <c r="F170" s="19"/>
      <c r="G170" s="517" t="s">
        <v>38</v>
      </c>
      <c r="H170" s="517" t="s">
        <v>39</v>
      </c>
      <c r="I170" s="516" t="s">
        <v>34</v>
      </c>
      <c r="J170" s="517" t="s">
        <v>12</v>
      </c>
      <c r="K170" s="517">
        <v>700</v>
      </c>
      <c r="L170" s="43">
        <v>46091</v>
      </c>
      <c r="M170" s="517" t="s">
        <v>124</v>
      </c>
      <c r="N170" s="515" t="s">
        <v>135</v>
      </c>
      <c r="O170" s="517" t="s">
        <v>197</v>
      </c>
      <c r="P170" s="517" t="s">
        <v>1</v>
      </c>
      <c r="Q170" s="516"/>
      <c r="R170" s="516"/>
      <c r="S170" s="109">
        <f t="shared" si="4"/>
        <v>700</v>
      </c>
      <c r="T170" s="518" t="s">
        <v>135</v>
      </c>
      <c r="U170" s="521"/>
      <c r="V170" s="521"/>
      <c r="W170" s="109"/>
      <c r="X170" s="40">
        <f t="shared" si="5"/>
        <v>700</v>
      </c>
      <c r="Y170" s="519"/>
      <c r="Z170" s="1"/>
    </row>
    <row r="171" spans="1:26" s="3" customFormat="1" ht="19.95" customHeight="1">
      <c r="A171" s="18">
        <v>180</v>
      </c>
      <c r="B171" s="520" t="s">
        <v>504</v>
      </c>
      <c r="C171" s="521" t="s">
        <v>505</v>
      </c>
      <c r="D171" s="520"/>
      <c r="E171" s="520" t="s">
        <v>506</v>
      </c>
      <c r="F171" s="19">
        <v>7506626920</v>
      </c>
      <c r="G171" s="518" t="s">
        <v>38</v>
      </c>
      <c r="H171" s="518" t="s">
        <v>39</v>
      </c>
      <c r="I171" s="521" t="s">
        <v>34</v>
      </c>
      <c r="J171" s="518" t="s">
        <v>12</v>
      </c>
      <c r="K171" s="18">
        <v>750</v>
      </c>
      <c r="L171" s="43">
        <v>46094</v>
      </c>
      <c r="M171" s="46">
        <v>0.45833333333333331</v>
      </c>
      <c r="N171" s="520" t="s">
        <v>104</v>
      </c>
      <c r="O171" s="518" t="s">
        <v>35</v>
      </c>
      <c r="P171" s="376" t="s">
        <v>19</v>
      </c>
      <c r="Q171" s="377"/>
      <c r="R171" s="377"/>
      <c r="S171" s="109">
        <f t="shared" si="4"/>
        <v>750</v>
      </c>
      <c r="T171" s="18"/>
      <c r="U171" s="8"/>
      <c r="V171" s="8"/>
      <c r="W171" s="109"/>
      <c r="X171" s="40">
        <f t="shared" si="5"/>
        <v>750</v>
      </c>
      <c r="Y171" s="1"/>
      <c r="Z171" s="1"/>
    </row>
    <row r="172" spans="1:26" s="3" customFormat="1" ht="19.95" customHeight="1">
      <c r="A172" s="18">
        <v>181</v>
      </c>
      <c r="B172" s="522" t="s">
        <v>658</v>
      </c>
      <c r="C172" s="523" t="s">
        <v>508</v>
      </c>
      <c r="D172" s="524"/>
      <c r="E172" s="524" t="s">
        <v>507</v>
      </c>
      <c r="F172" s="19">
        <v>9594381371</v>
      </c>
      <c r="G172" s="525" t="s">
        <v>38</v>
      </c>
      <c r="H172" s="525" t="s">
        <v>39</v>
      </c>
      <c r="I172" s="523" t="s">
        <v>34</v>
      </c>
      <c r="J172" s="525" t="s">
        <v>12</v>
      </c>
      <c r="K172" s="18">
        <v>900</v>
      </c>
      <c r="L172" s="43">
        <v>46095</v>
      </c>
      <c r="M172" s="46">
        <v>0.41666666666666669</v>
      </c>
      <c r="N172" s="524" t="s">
        <v>104</v>
      </c>
      <c r="O172" s="525" t="s">
        <v>35</v>
      </c>
      <c r="P172" s="376" t="s">
        <v>19</v>
      </c>
      <c r="Q172" s="377"/>
      <c r="R172" s="377"/>
      <c r="S172" s="109">
        <f t="shared" si="4"/>
        <v>900</v>
      </c>
      <c r="T172" s="18"/>
      <c r="U172" s="8"/>
      <c r="V172" s="8"/>
      <c r="W172" s="109"/>
      <c r="X172" s="40">
        <f t="shared" si="5"/>
        <v>900</v>
      </c>
      <c r="Y172" s="1"/>
      <c r="Z172" s="1"/>
    </row>
    <row r="173" spans="1:26" s="3" customFormat="1" ht="19.95" customHeight="1">
      <c r="A173" s="18">
        <v>182</v>
      </c>
      <c r="B173" s="526" t="s">
        <v>556</v>
      </c>
      <c r="C173" s="527" t="s">
        <v>557</v>
      </c>
      <c r="D173" s="527"/>
      <c r="E173" s="528" t="s">
        <v>558</v>
      </c>
      <c r="F173" s="19"/>
      <c r="G173" s="528" t="s">
        <v>322</v>
      </c>
      <c r="H173" s="528" t="s">
        <v>65</v>
      </c>
      <c r="I173" s="291" t="s">
        <v>209</v>
      </c>
      <c r="J173" s="528" t="s">
        <v>12</v>
      </c>
      <c r="K173" s="18">
        <v>2500</v>
      </c>
      <c r="L173" s="43">
        <v>46096</v>
      </c>
      <c r="M173" s="46">
        <v>0.45833333333333331</v>
      </c>
      <c r="N173" s="526" t="s">
        <v>231</v>
      </c>
      <c r="O173" s="18"/>
      <c r="P173" s="18"/>
      <c r="Q173" s="8"/>
      <c r="R173" s="8"/>
      <c r="S173" s="109">
        <f t="shared" si="4"/>
        <v>2500</v>
      </c>
      <c r="T173" s="18"/>
      <c r="U173" s="8"/>
      <c r="V173" s="8"/>
      <c r="W173" s="109"/>
      <c r="X173" s="40">
        <f t="shared" si="5"/>
        <v>2500</v>
      </c>
      <c r="Y173" s="1"/>
      <c r="Z173" s="1"/>
    </row>
    <row r="174" spans="1:26" s="3" customFormat="1" ht="19.95" customHeight="1">
      <c r="A174" s="18">
        <v>183</v>
      </c>
      <c r="B174" s="522" t="s">
        <v>655</v>
      </c>
      <c r="C174" s="286" t="s">
        <v>451</v>
      </c>
      <c r="D174" s="285"/>
      <c r="E174" s="285" t="s">
        <v>452</v>
      </c>
      <c r="F174" s="284" t="s">
        <v>453</v>
      </c>
      <c r="G174" s="284" t="s">
        <v>322</v>
      </c>
      <c r="H174" s="284" t="s">
        <v>39</v>
      </c>
      <c r="I174" s="286" t="s">
        <v>34</v>
      </c>
      <c r="J174" s="284" t="s">
        <v>94</v>
      </c>
      <c r="K174" s="18">
        <v>2200</v>
      </c>
      <c r="L174" s="529">
        <v>46096</v>
      </c>
      <c r="M174" s="530">
        <v>0.45833333333333331</v>
      </c>
      <c r="N174" s="526" t="s">
        <v>108</v>
      </c>
      <c r="O174" s="284" t="s">
        <v>454</v>
      </c>
      <c r="P174" s="18"/>
      <c r="Q174" s="8"/>
      <c r="R174" s="8"/>
      <c r="S174" s="109">
        <f t="shared" si="4"/>
        <v>2200</v>
      </c>
      <c r="T174" s="613" t="s">
        <v>756</v>
      </c>
      <c r="U174" s="612"/>
      <c r="V174" s="612"/>
      <c r="W174" s="109"/>
      <c r="X174" s="40">
        <f t="shared" si="5"/>
        <v>2200</v>
      </c>
      <c r="Y174" s="376" t="s">
        <v>153</v>
      </c>
      <c r="Z174" s="1"/>
    </row>
    <row r="175" spans="1:26" s="3" customFormat="1" ht="19.95" customHeight="1">
      <c r="A175" s="18">
        <v>184</v>
      </c>
      <c r="B175" s="531" t="s">
        <v>559</v>
      </c>
      <c r="C175" s="8" t="s">
        <v>560</v>
      </c>
      <c r="D175" s="20"/>
      <c r="E175" s="531" t="s">
        <v>559</v>
      </c>
      <c r="F175" s="19" t="s">
        <v>561</v>
      </c>
      <c r="G175" s="532" t="s">
        <v>38</v>
      </c>
      <c r="H175" s="532" t="s">
        <v>39</v>
      </c>
      <c r="I175" s="533" t="s">
        <v>34</v>
      </c>
      <c r="J175" s="532" t="s">
        <v>12</v>
      </c>
      <c r="K175" s="18">
        <v>900</v>
      </c>
      <c r="L175" s="43">
        <v>46096</v>
      </c>
      <c r="M175" s="46">
        <v>0.66666666666666663</v>
      </c>
      <c r="N175" s="531" t="s">
        <v>108</v>
      </c>
      <c r="O175" s="532" t="s">
        <v>35</v>
      </c>
      <c r="P175" s="376" t="s">
        <v>19</v>
      </c>
      <c r="Q175" s="377"/>
      <c r="R175" s="377"/>
      <c r="S175" s="109">
        <f t="shared" si="4"/>
        <v>900</v>
      </c>
      <c r="T175" s="18"/>
      <c r="U175" s="8"/>
      <c r="V175" s="8"/>
      <c r="W175" s="109"/>
      <c r="X175" s="40">
        <f t="shared" si="5"/>
        <v>900</v>
      </c>
      <c r="Y175" s="1"/>
      <c r="Z175" s="1"/>
    </row>
    <row r="176" spans="1:26" s="3" customFormat="1" ht="19.95" customHeight="1">
      <c r="A176" s="18">
        <v>185</v>
      </c>
      <c r="B176" s="534" t="s">
        <v>562</v>
      </c>
      <c r="C176" s="535" t="s">
        <v>563</v>
      </c>
      <c r="D176" s="534"/>
      <c r="E176" s="534" t="s">
        <v>562</v>
      </c>
      <c r="F176" s="19">
        <v>9867402860</v>
      </c>
      <c r="G176" s="536" t="s">
        <v>564</v>
      </c>
      <c r="H176" s="536" t="s">
        <v>39</v>
      </c>
      <c r="I176" s="535" t="s">
        <v>34</v>
      </c>
      <c r="J176" s="536" t="s">
        <v>15</v>
      </c>
      <c r="K176" s="18">
        <v>4500</v>
      </c>
      <c r="L176" s="43">
        <v>46105</v>
      </c>
      <c r="M176" s="537" t="s">
        <v>119</v>
      </c>
      <c r="N176" s="534" t="s">
        <v>565</v>
      </c>
      <c r="O176" s="536" t="s">
        <v>35</v>
      </c>
      <c r="P176" s="418" t="s">
        <v>656</v>
      </c>
      <c r="Q176" s="715"/>
      <c r="R176" s="715"/>
      <c r="S176" s="109">
        <f t="shared" si="4"/>
        <v>4500</v>
      </c>
      <c r="T176" s="418" t="s">
        <v>657</v>
      </c>
      <c r="U176" s="715"/>
      <c r="V176" s="715"/>
      <c r="W176" s="109"/>
      <c r="X176" s="40">
        <f t="shared" si="5"/>
        <v>4500</v>
      </c>
      <c r="Y176" s="1"/>
      <c r="Z176" s="1"/>
    </row>
    <row r="177" spans="1:26" s="3" customFormat="1" ht="19.95" customHeight="1">
      <c r="A177" s="18">
        <v>186</v>
      </c>
      <c r="B177" s="534" t="s">
        <v>566</v>
      </c>
      <c r="C177" s="535" t="s">
        <v>567</v>
      </c>
      <c r="D177" s="535"/>
      <c r="E177" s="536" t="s">
        <v>568</v>
      </c>
      <c r="F177" s="19">
        <v>7977818710</v>
      </c>
      <c r="G177" s="536" t="s">
        <v>569</v>
      </c>
      <c r="H177" s="536" t="s">
        <v>571</v>
      </c>
      <c r="I177" s="535" t="s">
        <v>570</v>
      </c>
      <c r="J177" s="536" t="s">
        <v>12</v>
      </c>
      <c r="K177" s="18">
        <v>500</v>
      </c>
      <c r="L177" s="43">
        <v>46105</v>
      </c>
      <c r="M177" s="46">
        <v>0.41666666666666669</v>
      </c>
      <c r="N177" s="379" t="s">
        <v>148</v>
      </c>
      <c r="O177" s="536" t="s">
        <v>148</v>
      </c>
      <c r="P177" s="418" t="s">
        <v>1</v>
      </c>
      <c r="Q177" s="715"/>
      <c r="R177" s="715"/>
      <c r="S177" s="109">
        <v>500</v>
      </c>
      <c r="T177" s="418"/>
      <c r="U177" s="715"/>
      <c r="V177" s="715"/>
      <c r="W177" s="109"/>
      <c r="X177" s="40">
        <f t="shared" si="5"/>
        <v>500</v>
      </c>
      <c r="Y177" s="1"/>
      <c r="Z177" s="1"/>
    </row>
    <row r="178" spans="1:26" s="3" customFormat="1" ht="19.95" customHeight="1">
      <c r="A178" s="18">
        <v>187</v>
      </c>
      <c r="B178" s="379" t="s">
        <v>572</v>
      </c>
      <c r="C178" s="380" t="s">
        <v>573</v>
      </c>
      <c r="D178" s="379"/>
      <c r="E178" s="379" t="s">
        <v>572</v>
      </c>
      <c r="F178" s="19">
        <v>7977251704</v>
      </c>
      <c r="G178" s="381" t="s">
        <v>38</v>
      </c>
      <c r="H178" s="381" t="s">
        <v>61</v>
      </c>
      <c r="I178" s="380" t="s">
        <v>34</v>
      </c>
      <c r="J178" s="381" t="s">
        <v>12</v>
      </c>
      <c r="K178" s="18">
        <v>700</v>
      </c>
      <c r="L178" s="43">
        <v>46105</v>
      </c>
      <c r="M178" s="382" t="s">
        <v>56</v>
      </c>
      <c r="N178" s="379" t="s">
        <v>104</v>
      </c>
      <c r="O178" s="381" t="s">
        <v>148</v>
      </c>
      <c r="P178" s="418" t="s">
        <v>1</v>
      </c>
      <c r="Q178" s="715"/>
      <c r="R178" s="715"/>
      <c r="S178" s="109">
        <f t="shared" si="4"/>
        <v>700</v>
      </c>
      <c r="T178" s="18"/>
      <c r="U178" s="8"/>
      <c r="V178" s="8"/>
      <c r="W178" s="109"/>
      <c r="X178" s="40">
        <f t="shared" si="5"/>
        <v>700</v>
      </c>
      <c r="Y178" s="1"/>
      <c r="Z178" s="1"/>
    </row>
    <row r="179" spans="1:26" s="751" customFormat="1" ht="19.95" customHeight="1">
      <c r="A179" s="748">
        <v>188</v>
      </c>
      <c r="B179" s="746" t="s">
        <v>574</v>
      </c>
      <c r="C179" s="745" t="s">
        <v>575</v>
      </c>
      <c r="D179" s="746"/>
      <c r="E179" s="746" t="s">
        <v>574</v>
      </c>
      <c r="F179" s="747">
        <v>8347743777</v>
      </c>
      <c r="G179" s="748" t="s">
        <v>38</v>
      </c>
      <c r="H179" s="748" t="s">
        <v>39</v>
      </c>
      <c r="I179" s="745" t="s">
        <v>34</v>
      </c>
      <c r="J179" s="748" t="s">
        <v>12</v>
      </c>
      <c r="K179" s="748">
        <v>900</v>
      </c>
      <c r="L179" s="749">
        <v>46106</v>
      </c>
      <c r="M179" s="753" t="s">
        <v>266</v>
      </c>
      <c r="N179" s="746" t="s">
        <v>565</v>
      </c>
      <c r="O179" s="748" t="s">
        <v>35</v>
      </c>
      <c r="P179" s="748"/>
      <c r="Q179" s="745"/>
      <c r="R179" s="745"/>
      <c r="S179" s="745">
        <f t="shared" si="4"/>
        <v>900</v>
      </c>
      <c r="T179" s="748" t="s">
        <v>18</v>
      </c>
      <c r="U179" s="745"/>
      <c r="V179" s="745"/>
      <c r="W179" s="745"/>
      <c r="X179" s="748">
        <f t="shared" si="5"/>
        <v>900</v>
      </c>
    </row>
    <row r="180" spans="1:26" s="3" customFormat="1" ht="19.95" customHeight="1">
      <c r="A180" s="18">
        <v>189</v>
      </c>
      <c r="B180" s="538" t="s">
        <v>74</v>
      </c>
      <c r="C180" s="539" t="s">
        <v>579</v>
      </c>
      <c r="D180" s="542"/>
      <c r="E180" s="538" t="s">
        <v>74</v>
      </c>
      <c r="F180" s="19" t="s">
        <v>576</v>
      </c>
      <c r="G180" s="540" t="s">
        <v>38</v>
      </c>
      <c r="H180" s="540" t="s">
        <v>70</v>
      </c>
      <c r="I180" s="541" t="s">
        <v>34</v>
      </c>
      <c r="J180" s="540" t="s">
        <v>12</v>
      </c>
      <c r="K180" s="540" t="s">
        <v>16</v>
      </c>
      <c r="L180" s="43">
        <v>46106</v>
      </c>
      <c r="M180" s="46">
        <v>0.66666666666666663</v>
      </c>
      <c r="N180" s="542" t="s">
        <v>565</v>
      </c>
      <c r="O180" s="540" t="s">
        <v>148</v>
      </c>
      <c r="P180" s="418" t="s">
        <v>16</v>
      </c>
      <c r="Q180" s="715"/>
      <c r="R180" s="715"/>
      <c r="S180" s="109"/>
      <c r="T180" s="18"/>
      <c r="U180" s="8"/>
      <c r="V180" s="8"/>
      <c r="W180" s="109"/>
      <c r="X180" s="40">
        <f t="shared" si="5"/>
        <v>0</v>
      </c>
      <c r="Y180" s="1"/>
      <c r="Z180" s="1"/>
    </row>
    <row r="181" spans="1:26" s="3" customFormat="1" ht="19.95" customHeight="1">
      <c r="A181" s="18">
        <v>190</v>
      </c>
      <c r="B181" s="543" t="s">
        <v>598</v>
      </c>
      <c r="C181" s="544" t="s">
        <v>599</v>
      </c>
      <c r="D181" s="543"/>
      <c r="E181" s="543" t="s">
        <v>598</v>
      </c>
      <c r="F181" s="19">
        <v>9922798600</v>
      </c>
      <c r="G181" s="545" t="s">
        <v>38</v>
      </c>
      <c r="H181" s="545" t="s">
        <v>39</v>
      </c>
      <c r="I181" s="544" t="s">
        <v>34</v>
      </c>
      <c r="J181" s="545" t="s">
        <v>12</v>
      </c>
      <c r="K181" s="18">
        <v>900</v>
      </c>
      <c r="L181" s="43">
        <v>46107</v>
      </c>
      <c r="M181" s="46">
        <v>0.41666666666666669</v>
      </c>
      <c r="N181" s="543" t="s">
        <v>565</v>
      </c>
      <c r="O181" s="545" t="s">
        <v>35</v>
      </c>
      <c r="P181" s="418" t="s">
        <v>19</v>
      </c>
      <c r="Q181" s="715"/>
      <c r="R181" s="715"/>
      <c r="S181" s="109">
        <f t="shared" si="4"/>
        <v>900</v>
      </c>
      <c r="T181" s="18"/>
      <c r="U181" s="8"/>
      <c r="V181" s="8"/>
      <c r="W181" s="109"/>
      <c r="X181" s="40">
        <f t="shared" si="5"/>
        <v>900</v>
      </c>
      <c r="Y181" s="1"/>
      <c r="Z181" s="1"/>
    </row>
    <row r="182" spans="1:26" s="3" customFormat="1" ht="19.95" customHeight="1">
      <c r="A182" s="18">
        <v>191</v>
      </c>
      <c r="B182" s="542" t="s">
        <v>577</v>
      </c>
      <c r="C182" s="539" t="s">
        <v>578</v>
      </c>
      <c r="D182" s="539"/>
      <c r="E182" s="18" t="s">
        <v>577</v>
      </c>
      <c r="F182" s="19">
        <v>8087979766</v>
      </c>
      <c r="G182" s="546" t="s">
        <v>75</v>
      </c>
      <c r="H182" s="546" t="s">
        <v>55</v>
      </c>
      <c r="I182" s="539" t="s">
        <v>34</v>
      </c>
      <c r="J182" s="546" t="s">
        <v>15</v>
      </c>
      <c r="K182" s="18">
        <v>2400</v>
      </c>
      <c r="L182" s="43">
        <v>46109</v>
      </c>
      <c r="M182" s="547" t="s">
        <v>356</v>
      </c>
      <c r="N182" s="542" t="s">
        <v>565</v>
      </c>
      <c r="O182" s="546" t="s">
        <v>35</v>
      </c>
      <c r="P182" s="418" t="s">
        <v>19</v>
      </c>
      <c r="Q182" s="715"/>
      <c r="R182" s="715"/>
      <c r="S182" s="109">
        <f t="shared" si="4"/>
        <v>2400</v>
      </c>
      <c r="T182" s="18"/>
      <c r="U182" s="8"/>
      <c r="V182" s="8"/>
      <c r="W182" s="109"/>
      <c r="X182" s="40">
        <f t="shared" si="5"/>
        <v>2400</v>
      </c>
      <c r="Y182" s="1"/>
      <c r="Z182" s="1"/>
    </row>
    <row r="183" spans="1:26" s="3" customFormat="1" ht="19.95" customHeight="1">
      <c r="A183" s="18">
        <v>192</v>
      </c>
      <c r="B183" s="548" t="s">
        <v>582</v>
      </c>
      <c r="C183" s="549" t="s">
        <v>581</v>
      </c>
      <c r="D183" s="549"/>
      <c r="E183" s="18"/>
      <c r="F183" s="19" t="s">
        <v>580</v>
      </c>
      <c r="G183" s="550" t="s">
        <v>38</v>
      </c>
      <c r="H183" s="550" t="s">
        <v>61</v>
      </c>
      <c r="I183" s="549" t="s">
        <v>34</v>
      </c>
      <c r="J183" s="550" t="s">
        <v>12</v>
      </c>
      <c r="K183" s="18">
        <v>900</v>
      </c>
      <c r="L183" s="43">
        <v>46111</v>
      </c>
      <c r="M183" s="551" t="s">
        <v>247</v>
      </c>
      <c r="N183" s="552" t="s">
        <v>104</v>
      </c>
      <c r="O183" s="550" t="s">
        <v>35</v>
      </c>
      <c r="P183" s="418" t="s">
        <v>19</v>
      </c>
      <c r="Q183" s="715"/>
      <c r="R183" s="715"/>
      <c r="S183" s="109">
        <f t="shared" si="4"/>
        <v>900</v>
      </c>
      <c r="T183" s="18"/>
      <c r="U183" s="8"/>
      <c r="V183" s="8"/>
      <c r="W183" s="109"/>
      <c r="X183" s="40">
        <f t="shared" si="5"/>
        <v>900</v>
      </c>
      <c r="Y183" s="1"/>
      <c r="Z183" s="1"/>
    </row>
    <row r="184" spans="1:26" s="3" customFormat="1" ht="19.95" customHeight="1">
      <c r="A184" s="18">
        <v>193</v>
      </c>
      <c r="B184" s="553" t="s">
        <v>583</v>
      </c>
      <c r="C184" s="554" t="s">
        <v>585</v>
      </c>
      <c r="D184" s="553"/>
      <c r="E184" s="553" t="s">
        <v>583</v>
      </c>
      <c r="F184" s="19">
        <v>9702226570</v>
      </c>
      <c r="G184" s="555" t="s">
        <v>38</v>
      </c>
      <c r="H184" s="555" t="s">
        <v>55</v>
      </c>
      <c r="I184" s="554" t="s">
        <v>34</v>
      </c>
      <c r="J184" s="555" t="s">
        <v>12</v>
      </c>
      <c r="K184" s="555" t="s">
        <v>16</v>
      </c>
      <c r="L184" s="43">
        <v>46112</v>
      </c>
      <c r="M184" s="556" t="s">
        <v>584</v>
      </c>
      <c r="N184" s="553" t="s">
        <v>231</v>
      </c>
      <c r="O184" s="555" t="s">
        <v>148</v>
      </c>
      <c r="P184" s="418" t="s">
        <v>16</v>
      </c>
      <c r="Q184" s="715"/>
      <c r="R184" s="715"/>
      <c r="S184" s="109" t="e">
        <f t="shared" si="4"/>
        <v>#VALUE!</v>
      </c>
      <c r="T184" s="18"/>
      <c r="U184" s="8"/>
      <c r="V184" s="8"/>
      <c r="W184" s="109"/>
      <c r="X184" s="40" t="e">
        <f t="shared" si="5"/>
        <v>#VALUE!</v>
      </c>
      <c r="Y184" s="1"/>
      <c r="Z184" s="1"/>
    </row>
    <row r="185" spans="1:26" s="3" customFormat="1" ht="19.95" customHeight="1">
      <c r="A185" s="18">
        <v>194</v>
      </c>
      <c r="B185" s="557" t="s">
        <v>587</v>
      </c>
      <c r="C185" s="558" t="s">
        <v>586</v>
      </c>
      <c r="D185" s="558"/>
      <c r="E185" s="559" t="s">
        <v>588</v>
      </c>
      <c r="F185" s="19">
        <v>9137091917</v>
      </c>
      <c r="G185" s="559" t="s">
        <v>75</v>
      </c>
      <c r="H185" s="559" t="s">
        <v>39</v>
      </c>
      <c r="I185" s="558" t="s">
        <v>34</v>
      </c>
      <c r="J185" s="559" t="s">
        <v>15</v>
      </c>
      <c r="K185" s="18">
        <v>2500</v>
      </c>
      <c r="L185" s="43">
        <v>46113</v>
      </c>
      <c r="M185" s="46">
        <v>0.58333333333333337</v>
      </c>
      <c r="N185" s="557" t="s">
        <v>231</v>
      </c>
      <c r="O185" s="559" t="s">
        <v>198</v>
      </c>
      <c r="P185" s="418" t="s">
        <v>19</v>
      </c>
      <c r="Q185" s="715"/>
      <c r="R185" s="715">
        <v>2500</v>
      </c>
      <c r="S185" s="109">
        <f t="shared" si="4"/>
        <v>0</v>
      </c>
      <c r="T185" s="18"/>
      <c r="U185" s="8"/>
      <c r="V185" s="8"/>
      <c r="W185" s="109"/>
      <c r="X185" s="40">
        <f t="shared" si="5"/>
        <v>0</v>
      </c>
      <c r="Y185" s="1"/>
      <c r="Z185" s="1"/>
    </row>
    <row r="186" spans="1:26" s="751" customFormat="1" ht="19.95" customHeight="1">
      <c r="A186" s="748">
        <v>195</v>
      </c>
      <c r="B186" s="746" t="s">
        <v>589</v>
      </c>
      <c r="C186" s="745" t="s">
        <v>590</v>
      </c>
      <c r="D186" s="746"/>
      <c r="E186" s="746" t="s">
        <v>589</v>
      </c>
      <c r="F186" s="747">
        <v>9305826060</v>
      </c>
      <c r="G186" s="748" t="s">
        <v>75</v>
      </c>
      <c r="H186" s="748" t="s">
        <v>39</v>
      </c>
      <c r="I186" s="745" t="s">
        <v>34</v>
      </c>
      <c r="J186" s="748" t="s">
        <v>12</v>
      </c>
      <c r="K186" s="748">
        <v>1000</v>
      </c>
      <c r="L186" s="749">
        <v>46115</v>
      </c>
      <c r="M186" s="753" t="s">
        <v>115</v>
      </c>
      <c r="N186" s="746" t="s">
        <v>104</v>
      </c>
      <c r="O186" s="748" t="s">
        <v>198</v>
      </c>
      <c r="P186" s="748"/>
      <c r="Q186" s="745"/>
      <c r="R186" s="745"/>
      <c r="S186" s="745">
        <f t="shared" si="4"/>
        <v>1000</v>
      </c>
      <c r="T186" s="748" t="s">
        <v>934</v>
      </c>
      <c r="U186" s="745"/>
      <c r="V186" s="745"/>
      <c r="W186" s="745"/>
      <c r="X186" s="748">
        <f t="shared" si="5"/>
        <v>1000</v>
      </c>
    </row>
    <row r="187" spans="1:26" s="3" customFormat="1" ht="19.95" customHeight="1">
      <c r="A187" s="18">
        <v>196</v>
      </c>
      <c r="B187" s="383" t="s">
        <v>591</v>
      </c>
      <c r="C187" s="618" t="s">
        <v>593</v>
      </c>
      <c r="D187" s="935"/>
      <c r="E187" s="383" t="s">
        <v>591</v>
      </c>
      <c r="F187" s="19">
        <v>8081180194</v>
      </c>
      <c r="G187" s="385" t="s">
        <v>75</v>
      </c>
      <c r="H187" s="385" t="s">
        <v>39</v>
      </c>
      <c r="I187" s="384" t="s">
        <v>592</v>
      </c>
      <c r="J187" s="385" t="s">
        <v>12</v>
      </c>
      <c r="K187" s="18">
        <v>1000</v>
      </c>
      <c r="L187" s="43">
        <v>46115</v>
      </c>
      <c r="M187" s="386" t="s">
        <v>356</v>
      </c>
      <c r="N187" s="383" t="s">
        <v>104</v>
      </c>
      <c r="O187" s="385" t="s">
        <v>35</v>
      </c>
      <c r="P187" s="418" t="s">
        <v>19</v>
      </c>
      <c r="Q187" s="715"/>
      <c r="R187" s="715">
        <v>1000</v>
      </c>
      <c r="S187" s="109">
        <f t="shared" si="4"/>
        <v>0</v>
      </c>
      <c r="T187" s="18"/>
      <c r="U187" s="8"/>
      <c r="V187" s="8"/>
      <c r="W187" s="109"/>
      <c r="X187" s="40">
        <f t="shared" si="5"/>
        <v>0</v>
      </c>
      <c r="Y187" s="1"/>
      <c r="Z187" s="1"/>
    </row>
    <row r="188" spans="1:26" s="3" customFormat="1" ht="19.95" customHeight="1">
      <c r="A188" s="18">
        <v>197</v>
      </c>
      <c r="B188" s="560" t="s">
        <v>595</v>
      </c>
      <c r="C188" s="561" t="s">
        <v>594</v>
      </c>
      <c r="E188" s="560" t="s">
        <v>595</v>
      </c>
      <c r="F188" s="19">
        <v>8169398131</v>
      </c>
      <c r="G188" s="562" t="s">
        <v>38</v>
      </c>
      <c r="H188" s="562" t="s">
        <v>39</v>
      </c>
      <c r="I188" s="561" t="s">
        <v>34</v>
      </c>
      <c r="J188" s="562" t="s">
        <v>12</v>
      </c>
      <c r="K188" s="18">
        <v>600</v>
      </c>
      <c r="L188" s="43">
        <v>46116</v>
      </c>
      <c r="M188" s="46">
        <v>0</v>
      </c>
      <c r="N188" s="560" t="s">
        <v>104</v>
      </c>
      <c r="O188" s="562" t="s">
        <v>35</v>
      </c>
      <c r="P188" s="418" t="s">
        <v>19</v>
      </c>
      <c r="Q188" s="715"/>
      <c r="R188" s="715">
        <v>600</v>
      </c>
      <c r="S188" s="109">
        <f t="shared" si="4"/>
        <v>0</v>
      </c>
      <c r="T188" s="18"/>
      <c r="U188" s="8"/>
      <c r="V188" s="8"/>
      <c r="W188" s="109"/>
      <c r="X188" s="40">
        <f t="shared" si="5"/>
        <v>0</v>
      </c>
      <c r="Y188" s="1"/>
      <c r="Z188" s="1"/>
    </row>
    <row r="189" spans="1:26" s="3" customFormat="1" ht="19.95" customHeight="1">
      <c r="A189" s="18">
        <v>198</v>
      </c>
      <c r="B189" s="563" t="s">
        <v>596</v>
      </c>
      <c r="C189" s="564" t="s">
        <v>597</v>
      </c>
      <c r="D189" s="563"/>
      <c r="E189" s="563" t="s">
        <v>596</v>
      </c>
      <c r="F189" s="19">
        <v>9833289533</v>
      </c>
      <c r="G189" s="565" t="s">
        <v>38</v>
      </c>
      <c r="H189" s="565" t="s">
        <v>39</v>
      </c>
      <c r="I189" s="564" t="s">
        <v>34</v>
      </c>
      <c r="J189" s="565" t="s">
        <v>12</v>
      </c>
      <c r="K189" s="18">
        <v>900</v>
      </c>
      <c r="L189" s="43">
        <v>46116</v>
      </c>
      <c r="M189" s="566">
        <v>0.54166666666666663</v>
      </c>
      <c r="N189" s="563" t="s">
        <v>565</v>
      </c>
      <c r="O189" s="565" t="s">
        <v>35</v>
      </c>
      <c r="P189" s="418" t="s">
        <v>19</v>
      </c>
      <c r="Q189" s="715"/>
      <c r="R189" s="715">
        <v>900</v>
      </c>
      <c r="S189" s="109">
        <f t="shared" si="4"/>
        <v>0</v>
      </c>
      <c r="T189" s="18"/>
      <c r="U189" s="8"/>
      <c r="V189" s="8"/>
      <c r="W189" s="109"/>
      <c r="X189" s="40">
        <f t="shared" si="5"/>
        <v>0</v>
      </c>
      <c r="Y189" s="1"/>
      <c r="Z189" s="1"/>
    </row>
    <row r="190" spans="1:26" s="3" customFormat="1" ht="19.95" customHeight="1">
      <c r="A190" s="18">
        <v>199</v>
      </c>
      <c r="B190" s="567" t="s">
        <v>600</v>
      </c>
      <c r="C190" s="568" t="s">
        <v>603</v>
      </c>
      <c r="D190" s="560"/>
      <c r="E190" s="567" t="s">
        <v>600</v>
      </c>
      <c r="F190" s="19">
        <v>9325225068</v>
      </c>
      <c r="G190" s="387" t="s">
        <v>38</v>
      </c>
      <c r="H190" s="569" t="s">
        <v>39</v>
      </c>
      <c r="I190" s="570" t="s">
        <v>34</v>
      </c>
      <c r="J190" s="569" t="s">
        <v>12</v>
      </c>
      <c r="K190" s="18">
        <v>500</v>
      </c>
      <c r="L190" s="43">
        <v>46116</v>
      </c>
      <c r="M190" s="571" t="s">
        <v>601</v>
      </c>
      <c r="N190" s="567" t="s">
        <v>148</v>
      </c>
      <c r="O190" s="567" t="s">
        <v>602</v>
      </c>
      <c r="P190" s="418" t="s">
        <v>1</v>
      </c>
      <c r="Q190" s="715"/>
      <c r="R190" s="715">
        <v>500</v>
      </c>
      <c r="S190" s="109">
        <f t="shared" si="4"/>
        <v>0</v>
      </c>
      <c r="T190" s="18"/>
      <c r="U190" s="8"/>
      <c r="V190" s="8"/>
      <c r="W190" s="109"/>
      <c r="X190" s="40">
        <f t="shared" si="5"/>
        <v>0</v>
      </c>
      <c r="Y190" s="1"/>
      <c r="Z190" s="1"/>
    </row>
    <row r="191" spans="1:26" s="3" customFormat="1" ht="19.95" customHeight="1">
      <c r="A191" s="18">
        <v>200</v>
      </c>
      <c r="B191" s="387" t="s">
        <v>604</v>
      </c>
      <c r="C191" s="389" t="s">
        <v>608</v>
      </c>
      <c r="D191" s="389"/>
      <c r="E191" s="388" t="s">
        <v>605</v>
      </c>
      <c r="F191" s="19">
        <v>9223311799</v>
      </c>
      <c r="G191" s="388" t="s">
        <v>75</v>
      </c>
      <c r="H191" s="388" t="s">
        <v>606</v>
      </c>
      <c r="I191" s="389" t="s">
        <v>607</v>
      </c>
      <c r="J191" s="388" t="s">
        <v>12</v>
      </c>
      <c r="K191" s="18"/>
      <c r="L191" s="43">
        <v>46125</v>
      </c>
      <c r="M191" s="46">
        <v>0.58333333333333337</v>
      </c>
      <c r="N191" s="396" t="s">
        <v>135</v>
      </c>
      <c r="O191" s="388" t="s">
        <v>148</v>
      </c>
      <c r="P191" s="18"/>
      <c r="Q191" s="8"/>
      <c r="R191" s="8"/>
      <c r="S191" s="109">
        <f t="shared" si="4"/>
        <v>0</v>
      </c>
      <c r="T191" s="18"/>
      <c r="U191" s="8"/>
      <c r="V191" s="8"/>
      <c r="W191" s="109"/>
      <c r="X191" s="40">
        <f t="shared" si="5"/>
        <v>0</v>
      </c>
      <c r="Y191" s="1"/>
      <c r="Z191" s="1"/>
    </row>
    <row r="192" spans="1:26" s="3" customFormat="1" ht="19.95" customHeight="1">
      <c r="A192" s="18">
        <v>201</v>
      </c>
      <c r="B192" s="572" t="s">
        <v>609</v>
      </c>
      <c r="C192" s="573" t="s">
        <v>610</v>
      </c>
      <c r="D192" s="572"/>
      <c r="E192" s="572" t="s">
        <v>611</v>
      </c>
      <c r="F192" s="19">
        <v>9766688810</v>
      </c>
      <c r="G192" s="574" t="s">
        <v>38</v>
      </c>
      <c r="H192" s="574" t="s">
        <v>227</v>
      </c>
      <c r="I192" s="573" t="s">
        <v>34</v>
      </c>
      <c r="J192" s="574" t="s">
        <v>12</v>
      </c>
      <c r="K192" s="18">
        <v>2000</v>
      </c>
      <c r="L192" s="43">
        <v>46120</v>
      </c>
      <c r="M192" s="46">
        <v>0.625</v>
      </c>
      <c r="N192" s="575" t="s">
        <v>565</v>
      </c>
      <c r="O192" s="574" t="s">
        <v>35</v>
      </c>
      <c r="P192" s="418" t="s">
        <v>19</v>
      </c>
      <c r="Q192" s="715"/>
      <c r="R192" s="715">
        <v>2000</v>
      </c>
      <c r="S192" s="109">
        <f t="shared" si="4"/>
        <v>0</v>
      </c>
      <c r="T192" s="18"/>
      <c r="U192" s="8"/>
      <c r="V192" s="8"/>
      <c r="W192" s="109"/>
      <c r="X192" s="40">
        <f t="shared" si="5"/>
        <v>0</v>
      </c>
      <c r="Y192" s="1"/>
      <c r="Z192" s="1"/>
    </row>
    <row r="193" spans="1:26" s="3" customFormat="1" ht="19.95" customHeight="1">
      <c r="A193" s="18">
        <v>202</v>
      </c>
      <c r="B193" s="572" t="s">
        <v>612</v>
      </c>
      <c r="C193" s="572" t="s">
        <v>613</v>
      </c>
      <c r="D193" s="572"/>
      <c r="E193" s="572" t="s">
        <v>612</v>
      </c>
      <c r="F193" s="19">
        <v>8600099248</v>
      </c>
      <c r="G193" s="574" t="s">
        <v>226</v>
      </c>
      <c r="H193" s="574" t="s">
        <v>227</v>
      </c>
      <c r="I193" s="573" t="s">
        <v>34</v>
      </c>
      <c r="J193" s="574" t="s">
        <v>12</v>
      </c>
      <c r="K193" s="18">
        <v>4500</v>
      </c>
      <c r="L193" s="43">
        <v>46120</v>
      </c>
      <c r="M193" s="46">
        <v>0.41666666666666669</v>
      </c>
      <c r="N193" s="575" t="s">
        <v>565</v>
      </c>
      <c r="O193" s="574" t="s">
        <v>35</v>
      </c>
      <c r="P193" s="418" t="s">
        <v>1</v>
      </c>
      <c r="Q193" s="715"/>
      <c r="R193" s="715">
        <v>4500</v>
      </c>
      <c r="S193" s="109">
        <f t="shared" si="4"/>
        <v>0</v>
      </c>
      <c r="T193" s="18"/>
      <c r="U193" s="8"/>
      <c r="V193" s="8"/>
      <c r="W193" s="109"/>
      <c r="X193" s="40">
        <f t="shared" si="5"/>
        <v>0</v>
      </c>
      <c r="Y193" s="1"/>
      <c r="Z193" s="1"/>
    </row>
    <row r="194" spans="1:26" s="751" customFormat="1" ht="19.95" customHeight="1">
      <c r="A194" s="748">
        <v>203</v>
      </c>
      <c r="B194" s="746" t="s">
        <v>614</v>
      </c>
      <c r="C194" s="745" t="s">
        <v>615</v>
      </c>
      <c r="D194" s="745"/>
      <c r="E194" s="748" t="s">
        <v>616</v>
      </c>
      <c r="F194" s="747">
        <v>9096228525</v>
      </c>
      <c r="G194" s="748" t="s">
        <v>75</v>
      </c>
      <c r="H194" s="748" t="s">
        <v>617</v>
      </c>
      <c r="I194" s="745" t="s">
        <v>395</v>
      </c>
      <c r="J194" s="748" t="s">
        <v>15</v>
      </c>
      <c r="K194" s="748">
        <v>2500</v>
      </c>
      <c r="L194" s="749">
        <v>46122</v>
      </c>
      <c r="M194" s="750">
        <v>0.41666666666666669</v>
      </c>
      <c r="N194" s="746" t="s">
        <v>231</v>
      </c>
      <c r="O194" s="748" t="s">
        <v>602</v>
      </c>
      <c r="P194" s="748"/>
      <c r="Q194" s="745"/>
      <c r="R194" s="745"/>
      <c r="S194" s="745">
        <f t="shared" si="4"/>
        <v>2500</v>
      </c>
      <c r="T194" s="748" t="s">
        <v>934</v>
      </c>
      <c r="U194" s="745"/>
      <c r="V194" s="745"/>
      <c r="W194" s="745"/>
      <c r="X194" s="748">
        <f t="shared" si="5"/>
        <v>2500</v>
      </c>
    </row>
    <row r="195" spans="1:26" s="3" customFormat="1" ht="19.95" customHeight="1">
      <c r="A195" s="18">
        <v>204</v>
      </c>
      <c r="B195" s="390" t="s">
        <v>618</v>
      </c>
      <c r="C195" s="391" t="s">
        <v>619</v>
      </c>
      <c r="D195" s="390"/>
      <c r="E195" s="390" t="s">
        <v>618</v>
      </c>
      <c r="F195" s="19">
        <v>9702448898</v>
      </c>
      <c r="G195" s="392" t="s">
        <v>38</v>
      </c>
      <c r="H195" s="392" t="s">
        <v>55</v>
      </c>
      <c r="I195" s="391" t="s">
        <v>34</v>
      </c>
      <c r="J195" s="392" t="s">
        <v>12</v>
      </c>
      <c r="K195" s="18"/>
      <c r="L195" s="43">
        <v>46123</v>
      </c>
      <c r="M195" s="393" t="s">
        <v>247</v>
      </c>
      <c r="N195" s="395" t="s">
        <v>108</v>
      </c>
      <c r="O195" s="392" t="s">
        <v>198</v>
      </c>
      <c r="P195" s="842" t="s">
        <v>1</v>
      </c>
      <c r="Q195" s="8"/>
      <c r="R195" s="8">
        <v>600</v>
      </c>
      <c r="S195" s="109">
        <f t="shared" ref="S195:S258" si="6">K195-R195</f>
        <v>-600</v>
      </c>
      <c r="T195" s="18"/>
      <c r="U195" s="8"/>
      <c r="V195" s="8"/>
      <c r="W195" s="109"/>
      <c r="X195" s="40">
        <f t="shared" ref="X195:X258" si="7">S195-W195</f>
        <v>-600</v>
      </c>
      <c r="Y195" s="399" t="s">
        <v>634</v>
      </c>
      <c r="Z195" s="1"/>
    </row>
    <row r="196" spans="1:26" s="3" customFormat="1" ht="19.95" customHeight="1">
      <c r="A196" s="18">
        <v>205</v>
      </c>
      <c r="B196" s="390" t="s">
        <v>620</v>
      </c>
      <c r="C196" s="391" t="s">
        <v>621</v>
      </c>
      <c r="D196" s="390"/>
      <c r="E196" s="390" t="s">
        <v>620</v>
      </c>
      <c r="F196" s="19">
        <v>9673863977</v>
      </c>
      <c r="G196" s="392" t="s">
        <v>75</v>
      </c>
      <c r="H196" s="392" t="s">
        <v>39</v>
      </c>
      <c r="I196" s="391" t="s">
        <v>34</v>
      </c>
      <c r="J196" s="392" t="s">
        <v>15</v>
      </c>
      <c r="K196" s="18"/>
      <c r="L196" s="43">
        <v>46123</v>
      </c>
      <c r="M196" s="394" t="s">
        <v>119</v>
      </c>
      <c r="N196" s="390" t="s">
        <v>104</v>
      </c>
      <c r="O196" s="392" t="s">
        <v>198</v>
      </c>
      <c r="P196" s="842" t="s">
        <v>16</v>
      </c>
      <c r="Q196" s="8"/>
      <c r="R196" s="841" t="s">
        <v>16</v>
      </c>
      <c r="S196" s="109"/>
      <c r="T196" s="18"/>
      <c r="U196" s="8"/>
      <c r="V196" s="8"/>
      <c r="W196" s="109"/>
      <c r="X196" s="40">
        <f t="shared" si="7"/>
        <v>0</v>
      </c>
      <c r="Y196" s="399" t="s">
        <v>634</v>
      </c>
      <c r="Z196" s="1"/>
    </row>
    <row r="197" spans="1:26" s="3" customFormat="1" ht="19.95" customHeight="1">
      <c r="A197" s="18">
        <v>206</v>
      </c>
      <c r="B197" s="225" t="s">
        <v>284</v>
      </c>
      <c r="C197" s="226" t="s">
        <v>285</v>
      </c>
      <c r="D197" s="226"/>
      <c r="E197" s="227" t="s">
        <v>290</v>
      </c>
      <c r="F197" s="19">
        <v>7021606540</v>
      </c>
      <c r="G197" s="228" t="s">
        <v>286</v>
      </c>
      <c r="H197" s="227" t="s">
        <v>291</v>
      </c>
      <c r="I197" s="229" t="s">
        <v>292</v>
      </c>
      <c r="J197" s="228" t="s">
        <v>12</v>
      </c>
      <c r="K197" s="18">
        <v>2500</v>
      </c>
      <c r="L197" s="43">
        <v>46123</v>
      </c>
      <c r="M197" s="46">
        <v>0.45833333333333331</v>
      </c>
      <c r="N197" s="390" t="s">
        <v>108</v>
      </c>
      <c r="O197" s="230" t="s">
        <v>148</v>
      </c>
      <c r="P197" s="273"/>
      <c r="Q197" s="359"/>
      <c r="R197" s="359"/>
      <c r="S197" s="109">
        <f t="shared" si="6"/>
        <v>2500</v>
      </c>
      <c r="T197" s="52"/>
      <c r="U197" s="254"/>
      <c r="V197" s="254"/>
      <c r="W197" s="109"/>
      <c r="X197" s="40">
        <f t="shared" si="7"/>
        <v>2500</v>
      </c>
      <c r="Y197" s="1"/>
      <c r="Z197" s="1"/>
    </row>
    <row r="198" spans="1:26" s="3" customFormat="1" ht="19.95" customHeight="1">
      <c r="A198" s="18">
        <v>207</v>
      </c>
      <c r="B198" s="576" t="s">
        <v>623</v>
      </c>
      <c r="C198" s="8" t="s">
        <v>622</v>
      </c>
      <c r="D198" s="20"/>
      <c r="E198" s="576" t="s">
        <v>624</v>
      </c>
      <c r="F198" s="19">
        <v>9730282635</v>
      </c>
      <c r="G198" s="577" t="s">
        <v>38</v>
      </c>
      <c r="H198" s="577" t="s">
        <v>61</v>
      </c>
      <c r="I198" s="578" t="s">
        <v>34</v>
      </c>
      <c r="J198" s="577" t="s">
        <v>12</v>
      </c>
      <c r="K198" s="18">
        <v>900</v>
      </c>
      <c r="L198" s="43">
        <v>46124</v>
      </c>
      <c r="M198" s="46">
        <v>0.66666666666666663</v>
      </c>
      <c r="N198" s="579" t="s">
        <v>108</v>
      </c>
      <c r="O198" s="577" t="s">
        <v>35</v>
      </c>
      <c r="P198" s="418" t="s">
        <v>19</v>
      </c>
      <c r="Q198" s="715"/>
      <c r="R198" s="715">
        <v>900</v>
      </c>
      <c r="S198" s="109">
        <f t="shared" si="6"/>
        <v>0</v>
      </c>
      <c r="T198" s="18"/>
      <c r="U198" s="8"/>
      <c r="V198" s="8"/>
      <c r="W198" s="109"/>
      <c r="X198" s="40">
        <f t="shared" si="7"/>
        <v>0</v>
      </c>
      <c r="Y198" s="1"/>
      <c r="Z198" s="1"/>
    </row>
    <row r="199" spans="1:26" s="3" customFormat="1" ht="19.95" customHeight="1">
      <c r="A199" s="18">
        <v>208</v>
      </c>
      <c r="B199" s="579" t="s">
        <v>625</v>
      </c>
      <c r="C199" s="580" t="s">
        <v>626</v>
      </c>
      <c r="D199" s="579"/>
      <c r="E199" s="579" t="s">
        <v>625</v>
      </c>
      <c r="F199" s="19">
        <v>9076380322</v>
      </c>
      <c r="G199" s="581" t="s">
        <v>75</v>
      </c>
      <c r="H199" s="581" t="s">
        <v>39</v>
      </c>
      <c r="I199" s="580" t="s">
        <v>34</v>
      </c>
      <c r="J199" s="581" t="s">
        <v>15</v>
      </c>
      <c r="K199" s="18">
        <v>2800</v>
      </c>
      <c r="L199" s="43">
        <v>46124</v>
      </c>
      <c r="M199" s="582" t="s">
        <v>119</v>
      </c>
      <c r="N199" s="579" t="s">
        <v>231</v>
      </c>
      <c r="O199" s="581" t="s">
        <v>198</v>
      </c>
      <c r="P199" s="418" t="s">
        <v>1</v>
      </c>
      <c r="Q199" s="715"/>
      <c r="R199" s="715">
        <v>1000</v>
      </c>
      <c r="S199" s="109">
        <f t="shared" si="6"/>
        <v>1800</v>
      </c>
      <c r="T199" s="418" t="s">
        <v>659</v>
      </c>
      <c r="U199" s="715"/>
      <c r="V199" s="715"/>
      <c r="W199" s="109"/>
      <c r="X199" s="40">
        <f t="shared" si="7"/>
        <v>1800</v>
      </c>
      <c r="Y199" s="1"/>
      <c r="Z199" s="1"/>
    </row>
    <row r="200" spans="1:26" s="751" customFormat="1" ht="19.95" customHeight="1">
      <c r="A200" s="748">
        <v>209</v>
      </c>
      <c r="B200" s="746" t="s">
        <v>627</v>
      </c>
      <c r="C200" s="745" t="s">
        <v>628</v>
      </c>
      <c r="D200" s="746"/>
      <c r="E200" s="746" t="s">
        <v>627</v>
      </c>
      <c r="F200" s="747">
        <v>8432213688</v>
      </c>
      <c r="G200" s="748" t="s">
        <v>75</v>
      </c>
      <c r="H200" s="748" t="s">
        <v>39</v>
      </c>
      <c r="I200" s="745" t="s">
        <v>34</v>
      </c>
      <c r="J200" s="748" t="s">
        <v>15</v>
      </c>
      <c r="K200" s="748">
        <v>1500</v>
      </c>
      <c r="L200" s="749">
        <v>46124</v>
      </c>
      <c r="M200" s="750">
        <v>0.45833333333333331</v>
      </c>
      <c r="N200" s="746" t="s">
        <v>231</v>
      </c>
      <c r="O200" s="748" t="s">
        <v>198</v>
      </c>
      <c r="P200" s="748"/>
      <c r="Q200" s="745"/>
      <c r="R200" s="745"/>
      <c r="S200" s="745">
        <f t="shared" si="6"/>
        <v>1500</v>
      </c>
      <c r="T200" s="748" t="s">
        <v>934</v>
      </c>
      <c r="U200" s="745"/>
      <c r="V200" s="745"/>
      <c r="W200" s="745"/>
      <c r="X200" s="748">
        <f t="shared" si="7"/>
        <v>1500</v>
      </c>
    </row>
    <row r="201" spans="1:26" s="3" customFormat="1" ht="19.95" customHeight="1">
      <c r="A201" s="18">
        <v>210</v>
      </c>
      <c r="B201" s="583" t="s">
        <v>630</v>
      </c>
      <c r="C201" s="584" t="s">
        <v>629</v>
      </c>
      <c r="D201" s="583"/>
      <c r="E201" s="583" t="s">
        <v>630</v>
      </c>
      <c r="F201" s="19">
        <v>9324312705</v>
      </c>
      <c r="G201" s="585" t="s">
        <v>75</v>
      </c>
      <c r="H201" s="585" t="s">
        <v>61</v>
      </c>
      <c r="I201" s="584" t="s">
        <v>34</v>
      </c>
      <c r="J201" s="585" t="s">
        <v>15</v>
      </c>
      <c r="K201" s="18">
        <v>2000</v>
      </c>
      <c r="L201" s="43">
        <v>46124</v>
      </c>
      <c r="M201" s="46">
        <v>0.41666666666666669</v>
      </c>
      <c r="N201" s="396" t="s">
        <v>108</v>
      </c>
      <c r="O201" s="585" t="s">
        <v>35</v>
      </c>
      <c r="P201" s="418" t="s">
        <v>1</v>
      </c>
      <c r="Q201" s="715"/>
      <c r="R201" s="715">
        <v>1000</v>
      </c>
      <c r="S201" s="109">
        <f t="shared" si="6"/>
        <v>1000</v>
      </c>
      <c r="T201" s="418" t="s">
        <v>660</v>
      </c>
      <c r="U201" s="715"/>
      <c r="V201" s="715"/>
      <c r="W201" s="109"/>
      <c r="X201" s="40">
        <f t="shared" si="7"/>
        <v>1000</v>
      </c>
      <c r="Y201" s="1"/>
      <c r="Z201" s="1"/>
    </row>
    <row r="202" spans="1:26" s="3" customFormat="1" ht="19.95" customHeight="1">
      <c r="A202" s="18">
        <v>211</v>
      </c>
      <c r="B202" s="396" t="s">
        <v>631</v>
      </c>
      <c r="C202" s="397" t="s">
        <v>632</v>
      </c>
      <c r="D202" s="396"/>
      <c r="E202" s="396" t="s">
        <v>633</v>
      </c>
      <c r="F202" s="19">
        <v>9167270727</v>
      </c>
      <c r="G202" s="398" t="s">
        <v>38</v>
      </c>
      <c r="H202" s="398" t="s">
        <v>39</v>
      </c>
      <c r="I202" s="397" t="s">
        <v>34</v>
      </c>
      <c r="J202" s="398" t="s">
        <v>12</v>
      </c>
      <c r="K202" s="18">
        <v>700</v>
      </c>
      <c r="L202" s="43">
        <v>46124</v>
      </c>
      <c r="M202" s="46">
        <v>0.58333333333333337</v>
      </c>
      <c r="N202" s="396" t="s">
        <v>108</v>
      </c>
      <c r="O202" s="398" t="s">
        <v>35</v>
      </c>
      <c r="P202" s="418" t="s">
        <v>1</v>
      </c>
      <c r="Q202" s="715"/>
      <c r="R202" s="715">
        <v>700</v>
      </c>
      <c r="S202" s="109">
        <f t="shared" si="6"/>
        <v>0</v>
      </c>
      <c r="T202" s="18"/>
      <c r="U202" s="8"/>
      <c r="V202" s="8"/>
      <c r="W202" s="109"/>
      <c r="X202" s="40">
        <f t="shared" si="7"/>
        <v>0</v>
      </c>
      <c r="Y202" s="1"/>
      <c r="Z202" s="1"/>
    </row>
    <row r="203" spans="1:26" s="3" customFormat="1" ht="19.95" customHeight="1">
      <c r="A203" s="18">
        <v>212</v>
      </c>
      <c r="B203" s="396" t="s">
        <v>635</v>
      </c>
      <c r="C203" s="397" t="s">
        <v>636</v>
      </c>
      <c r="D203" s="396"/>
      <c r="E203" s="396" t="s">
        <v>635</v>
      </c>
      <c r="F203" s="19">
        <v>9975533057</v>
      </c>
      <c r="G203" s="398" t="s">
        <v>38</v>
      </c>
      <c r="H203" s="398" t="s">
        <v>39</v>
      </c>
      <c r="I203" s="397" t="s">
        <v>34</v>
      </c>
      <c r="J203" s="398" t="s">
        <v>12</v>
      </c>
      <c r="K203" s="18">
        <v>700</v>
      </c>
      <c r="L203" s="43">
        <v>46125</v>
      </c>
      <c r="M203" s="46">
        <v>0.41666666666666669</v>
      </c>
      <c r="N203" s="396" t="s">
        <v>104</v>
      </c>
      <c r="O203" s="398" t="s">
        <v>35</v>
      </c>
      <c r="P203" s="842" t="s">
        <v>1</v>
      </c>
      <c r="Q203" s="529">
        <v>46134</v>
      </c>
      <c r="R203" s="8">
        <v>700</v>
      </c>
      <c r="S203" s="109">
        <f t="shared" si="6"/>
        <v>0</v>
      </c>
      <c r="T203" s="18"/>
      <c r="U203" s="8"/>
      <c r="V203" s="8"/>
      <c r="W203" s="109"/>
      <c r="X203" s="40">
        <f t="shared" si="7"/>
        <v>0</v>
      </c>
      <c r="Y203" s="1"/>
      <c r="Z203" s="1"/>
    </row>
    <row r="204" spans="1:26" s="3" customFormat="1" ht="19.95" customHeight="1">
      <c r="A204" s="18">
        <v>213</v>
      </c>
      <c r="B204" s="586" t="s">
        <v>637</v>
      </c>
      <c r="C204" s="612" t="s">
        <v>638</v>
      </c>
      <c r="D204" s="936"/>
      <c r="E204" s="586" t="s">
        <v>637</v>
      </c>
      <c r="F204" s="499">
        <v>7738338186</v>
      </c>
      <c r="G204" s="588" t="s">
        <v>38</v>
      </c>
      <c r="H204" s="588" t="s">
        <v>61</v>
      </c>
      <c r="I204" s="587" t="s">
        <v>34</v>
      </c>
      <c r="J204" s="588" t="s">
        <v>94</v>
      </c>
      <c r="K204" s="18">
        <v>3000</v>
      </c>
      <c r="L204" s="43">
        <v>46125</v>
      </c>
      <c r="M204" s="287">
        <v>0.58333333333333337</v>
      </c>
      <c r="N204" s="586" t="s">
        <v>104</v>
      </c>
      <c r="O204" s="588" t="s">
        <v>35</v>
      </c>
      <c r="P204" s="418" t="s">
        <v>19</v>
      </c>
      <c r="Q204" s="853">
        <v>46125</v>
      </c>
      <c r="R204" s="715">
        <v>3000</v>
      </c>
      <c r="S204" s="109">
        <f t="shared" si="6"/>
        <v>0</v>
      </c>
      <c r="T204" s="613" t="s">
        <v>750</v>
      </c>
      <c r="U204" s="612"/>
      <c r="V204" s="612"/>
      <c r="W204" s="109"/>
      <c r="X204" s="40">
        <f t="shared" si="7"/>
        <v>0</v>
      </c>
      <c r="Y204" s="1"/>
      <c r="Z204" s="1"/>
    </row>
    <row r="205" spans="1:26" s="3" customFormat="1" ht="19.95" customHeight="1">
      <c r="A205" s="18">
        <v>214</v>
      </c>
      <c r="B205" s="400" t="s">
        <v>640</v>
      </c>
      <c r="C205" s="401" t="s">
        <v>639</v>
      </c>
      <c r="D205" s="401"/>
      <c r="E205" s="402" t="s">
        <v>641</v>
      </c>
      <c r="F205" s="19">
        <v>9653297842</v>
      </c>
      <c r="G205" s="402" t="s">
        <v>75</v>
      </c>
      <c r="H205" s="402" t="s">
        <v>55</v>
      </c>
      <c r="I205" s="403" t="s">
        <v>34</v>
      </c>
      <c r="J205" s="402" t="s">
        <v>12</v>
      </c>
      <c r="K205" s="18">
        <v>2200</v>
      </c>
      <c r="L205" s="43">
        <v>46126</v>
      </c>
      <c r="M205" s="404">
        <v>0.45833333333333331</v>
      </c>
      <c r="N205" s="400" t="s">
        <v>565</v>
      </c>
      <c r="O205" s="402" t="s">
        <v>198</v>
      </c>
      <c r="P205" s="18"/>
      <c r="Q205" s="8"/>
      <c r="R205" s="8"/>
      <c r="S205" s="109">
        <f t="shared" si="6"/>
        <v>2200</v>
      </c>
      <c r="T205" s="18"/>
      <c r="U205" s="8"/>
      <c r="V205" s="8"/>
      <c r="W205" s="109"/>
      <c r="X205" s="40">
        <f t="shared" si="7"/>
        <v>2200</v>
      </c>
      <c r="Y205" s="1"/>
      <c r="Z205" s="1"/>
    </row>
    <row r="206" spans="1:26" s="3" customFormat="1" ht="19.95" customHeight="1">
      <c r="A206" s="18">
        <v>215</v>
      </c>
      <c r="B206" s="265" t="s">
        <v>398</v>
      </c>
      <c r="C206" s="589" t="s">
        <v>642</v>
      </c>
      <c r="D206" s="937"/>
      <c r="E206" s="265" t="s">
        <v>398</v>
      </c>
      <c r="F206" s="19">
        <v>8898647412</v>
      </c>
      <c r="G206" s="267" t="s">
        <v>38</v>
      </c>
      <c r="H206" s="267" t="s">
        <v>39</v>
      </c>
      <c r="I206" s="266" t="s">
        <v>34</v>
      </c>
      <c r="J206" s="267" t="s">
        <v>12</v>
      </c>
      <c r="K206" s="703">
        <v>700</v>
      </c>
      <c r="L206" s="43">
        <v>46127</v>
      </c>
      <c r="M206" s="46">
        <v>0.58333333333333337</v>
      </c>
      <c r="N206" s="409" t="s">
        <v>565</v>
      </c>
      <c r="O206" s="590" t="s">
        <v>148</v>
      </c>
      <c r="P206" s="418" t="s">
        <v>19</v>
      </c>
      <c r="Q206" s="853">
        <v>46127</v>
      </c>
      <c r="R206" s="715">
        <v>700</v>
      </c>
      <c r="S206" s="109">
        <f t="shared" si="6"/>
        <v>0</v>
      </c>
      <c r="T206" s="18"/>
      <c r="U206" s="8"/>
      <c r="V206" s="8"/>
      <c r="W206" s="109"/>
      <c r="X206" s="40">
        <f t="shared" si="7"/>
        <v>0</v>
      </c>
      <c r="Y206" s="1"/>
      <c r="Z206" s="1"/>
    </row>
    <row r="207" spans="1:26" s="3" customFormat="1" ht="19.95" customHeight="1">
      <c r="A207" s="18">
        <v>216</v>
      </c>
      <c r="B207" s="406" t="s">
        <v>644</v>
      </c>
      <c r="C207" s="431" t="s">
        <v>643</v>
      </c>
      <c r="D207" s="938"/>
      <c r="E207" s="406" t="s">
        <v>644</v>
      </c>
      <c r="F207" s="19">
        <v>9167443471</v>
      </c>
      <c r="G207" s="407" t="s">
        <v>38</v>
      </c>
      <c r="H207" s="407" t="s">
        <v>70</v>
      </c>
      <c r="I207" s="405" t="s">
        <v>34</v>
      </c>
      <c r="J207" s="407" t="s">
        <v>12</v>
      </c>
      <c r="K207" s="18">
        <v>1100</v>
      </c>
      <c r="L207" s="43">
        <v>46129</v>
      </c>
      <c r="M207" s="408" t="s">
        <v>356</v>
      </c>
      <c r="N207" s="409" t="s">
        <v>565</v>
      </c>
      <c r="O207" s="407" t="s">
        <v>35</v>
      </c>
      <c r="P207" s="430" t="s">
        <v>1</v>
      </c>
      <c r="Q207" s="854">
        <v>46129</v>
      </c>
      <c r="R207" s="431">
        <v>1100</v>
      </c>
      <c r="S207" s="109">
        <f t="shared" si="6"/>
        <v>0</v>
      </c>
      <c r="T207" s="18"/>
      <c r="U207" s="8"/>
      <c r="V207" s="8"/>
      <c r="W207" s="109"/>
      <c r="X207" s="40">
        <f t="shared" si="7"/>
        <v>0</v>
      </c>
      <c r="Y207" s="1"/>
      <c r="Z207" s="1"/>
    </row>
    <row r="208" spans="1:26" s="3" customFormat="1" ht="19.95" customHeight="1">
      <c r="A208" s="18">
        <v>217</v>
      </c>
      <c r="B208" s="409" t="s">
        <v>645</v>
      </c>
      <c r="C208" s="457" t="s">
        <v>646</v>
      </c>
      <c r="D208" s="459"/>
      <c r="E208" s="409" t="s">
        <v>647</v>
      </c>
      <c r="F208" s="19">
        <v>7738091024</v>
      </c>
      <c r="G208" s="410" t="s">
        <v>38</v>
      </c>
      <c r="H208" s="410" t="s">
        <v>61</v>
      </c>
      <c r="I208" s="411" t="s">
        <v>34</v>
      </c>
      <c r="J208" s="410" t="s">
        <v>12</v>
      </c>
      <c r="K208" s="18">
        <v>1200</v>
      </c>
      <c r="L208" s="43">
        <v>46138</v>
      </c>
      <c r="M208" s="408" t="s">
        <v>356</v>
      </c>
      <c r="N208" s="409" t="s">
        <v>565</v>
      </c>
      <c r="O208" s="410" t="s">
        <v>35</v>
      </c>
      <c r="P208" s="458" t="s">
        <v>19</v>
      </c>
      <c r="Q208" s="855">
        <v>46138</v>
      </c>
      <c r="R208" s="457">
        <v>1200</v>
      </c>
      <c r="S208" s="109">
        <f t="shared" si="6"/>
        <v>0</v>
      </c>
      <c r="T208" s="18"/>
      <c r="U208" s="8"/>
      <c r="V208" s="8"/>
      <c r="W208" s="109"/>
      <c r="X208" s="40">
        <f t="shared" si="7"/>
        <v>0</v>
      </c>
      <c r="Y208" s="1"/>
      <c r="Z208" s="1"/>
    </row>
    <row r="209" spans="1:27" s="3" customFormat="1" ht="19.95" customHeight="1">
      <c r="A209" s="18">
        <v>218</v>
      </c>
      <c r="B209" s="412" t="s">
        <v>648</v>
      </c>
      <c r="C209" s="417" t="s">
        <v>653</v>
      </c>
      <c r="D209" s="417"/>
      <c r="E209" s="416" t="s">
        <v>652</v>
      </c>
      <c r="F209" s="19">
        <v>8454045379</v>
      </c>
      <c r="G209" s="413" t="s">
        <v>38</v>
      </c>
      <c r="H209" s="413" t="s">
        <v>65</v>
      </c>
      <c r="I209" s="591" t="s">
        <v>209</v>
      </c>
      <c r="J209" s="413" t="s">
        <v>650</v>
      </c>
      <c r="K209" s="18"/>
      <c r="L209" s="43">
        <v>46137</v>
      </c>
      <c r="M209" s="414" t="s">
        <v>649</v>
      </c>
      <c r="N209" s="415" t="s">
        <v>651</v>
      </c>
      <c r="O209" s="413" t="s">
        <v>148</v>
      </c>
      <c r="P209" s="18"/>
      <c r="Q209" s="8"/>
      <c r="R209" s="8"/>
      <c r="S209" s="109">
        <f t="shared" si="6"/>
        <v>0</v>
      </c>
      <c r="T209" s="613" t="s">
        <v>758</v>
      </c>
      <c r="U209" s="612"/>
      <c r="V209" s="612"/>
      <c r="W209" s="109"/>
      <c r="X209" s="40">
        <f t="shared" si="7"/>
        <v>0</v>
      </c>
      <c r="Y209" s="614" t="s">
        <v>759</v>
      </c>
      <c r="Z209" s="1"/>
    </row>
    <row r="210" spans="1:27" s="3" customFormat="1" ht="19.95" customHeight="1">
      <c r="A210" s="18">
        <v>219</v>
      </c>
      <c r="B210" s="419" t="s">
        <v>661</v>
      </c>
      <c r="C210" s="421" t="s">
        <v>662</v>
      </c>
      <c r="D210" s="419"/>
      <c r="E210" s="419" t="s">
        <v>661</v>
      </c>
      <c r="F210" s="19">
        <v>9665845615</v>
      </c>
      <c r="G210" s="420" t="s">
        <v>38</v>
      </c>
      <c r="H210" s="420" t="s">
        <v>39</v>
      </c>
      <c r="I210" s="405" t="s">
        <v>34</v>
      </c>
      <c r="J210" s="420" t="s">
        <v>94</v>
      </c>
      <c r="K210" s="18">
        <v>2400</v>
      </c>
      <c r="L210" s="43">
        <v>46131</v>
      </c>
      <c r="M210" s="46">
        <v>0.4375</v>
      </c>
      <c r="N210" s="423" t="s">
        <v>108</v>
      </c>
      <c r="O210" s="420" t="s">
        <v>35</v>
      </c>
      <c r="P210" s="430" t="s">
        <v>1</v>
      </c>
      <c r="Q210" s="854">
        <v>46131</v>
      </c>
      <c r="R210" s="431">
        <v>800</v>
      </c>
      <c r="S210" s="109">
        <f t="shared" si="6"/>
        <v>1600</v>
      </c>
      <c r="T210" s="613" t="s">
        <v>755</v>
      </c>
      <c r="U210" s="612"/>
      <c r="V210" s="612"/>
      <c r="W210" s="109"/>
      <c r="X210" s="40">
        <f t="shared" si="7"/>
        <v>1600</v>
      </c>
      <c r="Y210" s="430" t="s">
        <v>671</v>
      </c>
      <c r="Z210" s="1"/>
    </row>
    <row r="211" spans="1:27" s="3" customFormat="1" ht="19.95" customHeight="1">
      <c r="A211" s="18">
        <v>220</v>
      </c>
      <c r="B211" s="423" t="s">
        <v>664</v>
      </c>
      <c r="C211" s="612" t="s">
        <v>663</v>
      </c>
      <c r="D211" s="936"/>
      <c r="E211" s="423" t="s">
        <v>664</v>
      </c>
      <c r="F211" s="19">
        <v>9821071369</v>
      </c>
      <c r="G211" s="420" t="s">
        <v>38</v>
      </c>
      <c r="H211" s="422" t="s">
        <v>70</v>
      </c>
      <c r="I211" s="405" t="s">
        <v>34</v>
      </c>
      <c r="J211" s="422" t="s">
        <v>94</v>
      </c>
      <c r="K211" s="18">
        <v>3500</v>
      </c>
      <c r="L211" s="43">
        <v>46132</v>
      </c>
      <c r="M211" s="46">
        <v>0.625</v>
      </c>
      <c r="N211" s="423" t="s">
        <v>108</v>
      </c>
      <c r="O211" s="420" t="s">
        <v>35</v>
      </c>
      <c r="P211" s="460" t="s">
        <v>19</v>
      </c>
      <c r="Q211" s="852">
        <v>46132</v>
      </c>
      <c r="R211" s="716">
        <v>3500</v>
      </c>
      <c r="S211" s="109">
        <f t="shared" si="6"/>
        <v>0</v>
      </c>
      <c r="T211" s="613" t="s">
        <v>751</v>
      </c>
      <c r="U211" s="612"/>
      <c r="V211" s="612"/>
      <c r="W211" s="109"/>
      <c r="X211" s="40">
        <f t="shared" si="7"/>
        <v>0</v>
      </c>
      <c r="Y211" s="1"/>
      <c r="Z211" s="1"/>
    </row>
    <row r="212" spans="1:27" s="3" customFormat="1" ht="19.95" customHeight="1">
      <c r="A212" s="18">
        <v>221</v>
      </c>
      <c r="B212" s="424" t="s">
        <v>665</v>
      </c>
      <c r="C212" s="425" t="s">
        <v>666</v>
      </c>
      <c r="D212" s="424"/>
      <c r="E212" s="424" t="s">
        <v>667</v>
      </c>
      <c r="F212" s="19">
        <v>9028932281</v>
      </c>
      <c r="G212" s="426" t="s">
        <v>75</v>
      </c>
      <c r="H212" s="426" t="s">
        <v>55</v>
      </c>
      <c r="I212" s="405" t="s">
        <v>34</v>
      </c>
      <c r="J212" s="426" t="s">
        <v>15</v>
      </c>
      <c r="K212" s="18">
        <v>2400</v>
      </c>
      <c r="L212" s="43">
        <v>46133</v>
      </c>
      <c r="M212" s="46">
        <v>0.66666666666666696</v>
      </c>
      <c r="N212" s="424" t="s">
        <v>108</v>
      </c>
      <c r="O212" s="426" t="s">
        <v>35</v>
      </c>
      <c r="P212" s="460" t="s">
        <v>19</v>
      </c>
      <c r="Q212" s="852">
        <v>46133</v>
      </c>
      <c r="R212" s="716">
        <v>2400</v>
      </c>
      <c r="S212" s="109">
        <f t="shared" si="6"/>
        <v>0</v>
      </c>
      <c r="T212" s="18"/>
      <c r="U212" s="8"/>
      <c r="V212" s="8"/>
      <c r="W212" s="109"/>
      <c r="X212" s="40">
        <f t="shared" si="7"/>
        <v>0</v>
      </c>
      <c r="Y212" s="1"/>
      <c r="Z212" s="1"/>
    </row>
    <row r="213" spans="1:27" s="3" customFormat="1" ht="19.95" customHeight="1">
      <c r="A213" s="18">
        <v>222</v>
      </c>
      <c r="B213" s="427" t="s">
        <v>668</v>
      </c>
      <c r="C213" s="428" t="s">
        <v>669</v>
      </c>
      <c r="D213" s="427"/>
      <c r="E213" s="427" t="s">
        <v>670</v>
      </c>
      <c r="F213" s="19">
        <v>9168482874</v>
      </c>
      <c r="G213" s="429" t="s">
        <v>38</v>
      </c>
      <c r="H213" s="429" t="s">
        <v>39</v>
      </c>
      <c r="I213" s="616" t="s">
        <v>34</v>
      </c>
      <c r="J213" s="429" t="s">
        <v>12</v>
      </c>
      <c r="K213" s="18">
        <v>800</v>
      </c>
      <c r="L213" s="43">
        <v>46134</v>
      </c>
      <c r="M213" s="46">
        <v>0.41666666666666669</v>
      </c>
      <c r="N213" s="427" t="s">
        <v>565</v>
      </c>
      <c r="O213" s="429" t="s">
        <v>35</v>
      </c>
      <c r="P213" s="460" t="s">
        <v>19</v>
      </c>
      <c r="Q213" s="852">
        <v>46134</v>
      </c>
      <c r="R213" s="716">
        <v>800</v>
      </c>
      <c r="S213" s="109">
        <f t="shared" si="6"/>
        <v>0</v>
      </c>
      <c r="T213" s="18"/>
      <c r="U213" s="8"/>
      <c r="V213" s="8"/>
      <c r="W213" s="109"/>
      <c r="X213" s="40">
        <f t="shared" si="7"/>
        <v>0</v>
      </c>
      <c r="Y213" s="1"/>
      <c r="Z213" s="1"/>
    </row>
    <row r="214" spans="1:27" s="3" customFormat="1" ht="19.95" customHeight="1">
      <c r="A214" s="18">
        <v>223</v>
      </c>
      <c r="B214" s="433" t="s">
        <v>675</v>
      </c>
      <c r="C214" s="434" t="s">
        <v>674</v>
      </c>
      <c r="D214" s="433"/>
      <c r="E214" s="433" t="s">
        <v>675</v>
      </c>
      <c r="F214" s="19">
        <v>9920308927</v>
      </c>
      <c r="G214" s="435" t="s">
        <v>38</v>
      </c>
      <c r="H214" s="435" t="s">
        <v>61</v>
      </c>
      <c r="I214" s="434" t="s">
        <v>34</v>
      </c>
      <c r="J214" s="435" t="s">
        <v>12</v>
      </c>
      <c r="K214" s="18">
        <v>1500</v>
      </c>
      <c r="L214" s="43">
        <v>46134</v>
      </c>
      <c r="M214" s="46">
        <v>0.70833333333333337</v>
      </c>
      <c r="N214" s="433" t="s">
        <v>135</v>
      </c>
      <c r="O214" s="435" t="s">
        <v>148</v>
      </c>
      <c r="P214" s="460" t="s">
        <v>19</v>
      </c>
      <c r="Q214" s="852">
        <v>46134</v>
      </c>
      <c r="R214" s="716">
        <v>1500</v>
      </c>
      <c r="S214" s="109">
        <f t="shared" si="6"/>
        <v>0</v>
      </c>
      <c r="T214" s="18"/>
      <c r="U214" s="8"/>
      <c r="V214" s="8"/>
      <c r="W214" s="109"/>
      <c r="X214" s="40">
        <f t="shared" si="7"/>
        <v>0</v>
      </c>
      <c r="Y214" s="1"/>
      <c r="Z214" s="1"/>
    </row>
    <row r="215" spans="1:27" s="3" customFormat="1" ht="19.95" customHeight="1">
      <c r="A215" s="18">
        <v>224</v>
      </c>
      <c r="B215" s="436" t="s">
        <v>676</v>
      </c>
      <c r="C215" s="439" t="s">
        <v>678</v>
      </c>
      <c r="D215" s="939"/>
      <c r="E215" s="436" t="s">
        <v>676</v>
      </c>
      <c r="F215" s="19">
        <v>8700757386</v>
      </c>
      <c r="G215" s="438" t="s">
        <v>38</v>
      </c>
      <c r="H215" s="438" t="s">
        <v>39</v>
      </c>
      <c r="I215" s="437" t="s">
        <v>34</v>
      </c>
      <c r="J215" s="438" t="s">
        <v>12</v>
      </c>
      <c r="K215" s="18">
        <v>500</v>
      </c>
      <c r="L215" s="43">
        <v>46135</v>
      </c>
      <c r="M215" s="46">
        <v>0.625</v>
      </c>
      <c r="N215" s="436" t="s">
        <v>231</v>
      </c>
      <c r="O215" s="438" t="s">
        <v>198</v>
      </c>
      <c r="P215" s="849" t="s">
        <v>19</v>
      </c>
      <c r="Q215" s="529">
        <v>46135</v>
      </c>
      <c r="R215" s="8">
        <v>500</v>
      </c>
      <c r="S215" s="109">
        <f t="shared" si="6"/>
        <v>0</v>
      </c>
      <c r="T215" s="18"/>
      <c r="U215" s="8"/>
      <c r="V215" s="8"/>
      <c r="W215" s="109"/>
      <c r="X215" s="40">
        <f t="shared" si="7"/>
        <v>0</v>
      </c>
      <c r="Y215" s="1"/>
      <c r="Z215" s="1"/>
    </row>
    <row r="216" spans="1:27" s="751" customFormat="1" ht="19.95" customHeight="1">
      <c r="A216" s="748">
        <v>225</v>
      </c>
      <c r="B216" s="746" t="s">
        <v>677</v>
      </c>
      <c r="C216" s="745" t="s">
        <v>672</v>
      </c>
      <c r="D216" s="746"/>
      <c r="E216" s="746" t="s">
        <v>677</v>
      </c>
      <c r="F216" s="747" t="s">
        <v>673</v>
      </c>
      <c r="G216" s="748" t="s">
        <v>38</v>
      </c>
      <c r="H216" s="748" t="s">
        <v>61</v>
      </c>
      <c r="I216" s="745" t="s">
        <v>34</v>
      </c>
      <c r="J216" s="748" t="s">
        <v>12</v>
      </c>
      <c r="K216" s="748">
        <v>800</v>
      </c>
      <c r="L216" s="749">
        <v>46137</v>
      </c>
      <c r="M216" s="750">
        <v>0.58333333333333337</v>
      </c>
      <c r="N216" s="746"/>
      <c r="O216" s="748" t="s">
        <v>35</v>
      </c>
      <c r="P216" s="748" t="s">
        <v>963</v>
      </c>
      <c r="Q216" s="745"/>
      <c r="R216" s="745"/>
      <c r="S216" s="745">
        <f t="shared" si="6"/>
        <v>800</v>
      </c>
      <c r="T216" s="748" t="s">
        <v>934</v>
      </c>
      <c r="U216" s="745"/>
      <c r="V216" s="745"/>
      <c r="W216" s="745"/>
      <c r="X216" s="748">
        <f t="shared" si="7"/>
        <v>800</v>
      </c>
    </row>
    <row r="217" spans="1:27" s="3" customFormat="1" ht="19.95" customHeight="1">
      <c r="A217" s="18">
        <v>226</v>
      </c>
      <c r="B217" s="440" t="s">
        <v>679</v>
      </c>
      <c r="C217" s="457" t="s">
        <v>680</v>
      </c>
      <c r="D217" s="459"/>
      <c r="E217" s="440" t="s">
        <v>679</v>
      </c>
      <c r="F217" s="19">
        <v>7977290236</v>
      </c>
      <c r="G217" s="442" t="s">
        <v>38</v>
      </c>
      <c r="H217" s="442" t="s">
        <v>39</v>
      </c>
      <c r="I217" s="441" t="s">
        <v>34</v>
      </c>
      <c r="J217" s="442" t="s">
        <v>12</v>
      </c>
      <c r="K217" s="18">
        <v>900</v>
      </c>
      <c r="L217" s="43">
        <v>46135</v>
      </c>
      <c r="M217" s="46">
        <v>0.66666666666666663</v>
      </c>
      <c r="N217" s="440" t="s">
        <v>148</v>
      </c>
      <c r="O217" s="442" t="s">
        <v>35</v>
      </c>
      <c r="P217" s="460" t="s">
        <v>19</v>
      </c>
      <c r="Q217" s="852">
        <v>46135</v>
      </c>
      <c r="R217" s="716">
        <v>900</v>
      </c>
      <c r="S217" s="109">
        <f t="shared" si="6"/>
        <v>0</v>
      </c>
      <c r="T217" s="18"/>
      <c r="U217" s="8"/>
      <c r="V217" s="8"/>
      <c r="W217" s="109"/>
      <c r="X217" s="40">
        <f t="shared" si="7"/>
        <v>0</v>
      </c>
      <c r="Y217" s="1"/>
      <c r="Z217" s="1"/>
    </row>
    <row r="218" spans="1:27" s="3" customFormat="1" ht="19.95" customHeight="1">
      <c r="A218" s="18">
        <v>227</v>
      </c>
      <c r="B218" s="443" t="s">
        <v>681</v>
      </c>
      <c r="C218" s="444" t="s">
        <v>682</v>
      </c>
      <c r="D218" s="443"/>
      <c r="E218" s="443" t="s">
        <v>681</v>
      </c>
      <c r="F218" s="432">
        <v>9923613055</v>
      </c>
      <c r="G218" s="445" t="s">
        <v>38</v>
      </c>
      <c r="H218" s="445" t="s">
        <v>39</v>
      </c>
      <c r="I218" s="444" t="s">
        <v>34</v>
      </c>
      <c r="J218" s="445" t="s">
        <v>12</v>
      </c>
      <c r="K218" s="18">
        <v>700</v>
      </c>
      <c r="L218" s="43">
        <v>46136</v>
      </c>
      <c r="M218" s="446" t="s">
        <v>356</v>
      </c>
      <c r="N218" s="443" t="s">
        <v>565</v>
      </c>
      <c r="O218" s="445" t="s">
        <v>35</v>
      </c>
      <c r="P218" s="460" t="s">
        <v>19</v>
      </c>
      <c r="Q218" s="852">
        <v>46136</v>
      </c>
      <c r="R218" s="716">
        <v>700</v>
      </c>
      <c r="S218" s="109">
        <f t="shared" si="6"/>
        <v>0</v>
      </c>
      <c r="T218" s="18"/>
      <c r="U218" s="8"/>
      <c r="V218" s="8"/>
      <c r="W218" s="109"/>
      <c r="X218" s="40">
        <f t="shared" si="7"/>
        <v>0</v>
      </c>
      <c r="Y218" s="1"/>
      <c r="Z218" s="1"/>
    </row>
    <row r="219" spans="1:27" s="3" customFormat="1" ht="19.95" customHeight="1">
      <c r="A219" s="18">
        <v>228</v>
      </c>
      <c r="B219" s="447" t="s">
        <v>683</v>
      </c>
      <c r="C219" s="448" t="s">
        <v>684</v>
      </c>
      <c r="D219" s="447"/>
      <c r="E219" s="447" t="s">
        <v>683</v>
      </c>
      <c r="F219" s="19">
        <v>9137947756</v>
      </c>
      <c r="G219" s="449" t="s">
        <v>38</v>
      </c>
      <c r="H219" s="449" t="s">
        <v>39</v>
      </c>
      <c r="I219" s="448" t="s">
        <v>34</v>
      </c>
      <c r="J219" s="449" t="s">
        <v>12</v>
      </c>
      <c r="K219" s="18">
        <v>600</v>
      </c>
      <c r="L219" s="43">
        <v>46137</v>
      </c>
      <c r="M219" s="46">
        <v>0.75</v>
      </c>
      <c r="N219" s="459" t="s">
        <v>148</v>
      </c>
      <c r="O219" s="449" t="s">
        <v>35</v>
      </c>
      <c r="P219" s="458" t="s">
        <v>19</v>
      </c>
      <c r="Q219" s="850" t="s">
        <v>972</v>
      </c>
      <c r="R219" s="457">
        <v>600</v>
      </c>
      <c r="S219" s="109">
        <f t="shared" si="6"/>
        <v>0</v>
      </c>
      <c r="T219" s="18"/>
      <c r="U219" s="8"/>
      <c r="V219" s="8"/>
      <c r="W219" s="109"/>
      <c r="X219" s="40">
        <f t="shared" si="7"/>
        <v>0</v>
      </c>
      <c r="Y219" s="1"/>
      <c r="Z219" s="1"/>
    </row>
    <row r="220" spans="1:27" s="751" customFormat="1" ht="19.95" customHeight="1">
      <c r="A220" s="748">
        <v>229</v>
      </c>
      <c r="B220" s="746" t="s">
        <v>685</v>
      </c>
      <c r="C220" s="745" t="s">
        <v>686</v>
      </c>
      <c r="D220" s="746"/>
      <c r="E220" s="746" t="s">
        <v>685</v>
      </c>
      <c r="F220" s="746">
        <v>8796118556</v>
      </c>
      <c r="G220" s="748" t="s">
        <v>38</v>
      </c>
      <c r="H220" s="748" t="s">
        <v>55</v>
      </c>
      <c r="I220" s="745" t="s">
        <v>34</v>
      </c>
      <c r="J220" s="748" t="s">
        <v>12</v>
      </c>
      <c r="K220" s="748"/>
      <c r="L220" s="749">
        <v>46137</v>
      </c>
      <c r="M220" s="750">
        <v>0.54166666666666663</v>
      </c>
      <c r="N220" s="746" t="s">
        <v>565</v>
      </c>
      <c r="O220" s="748" t="s">
        <v>148</v>
      </c>
      <c r="P220" s="748" t="s">
        <v>18</v>
      </c>
      <c r="Q220" s="745"/>
      <c r="R220" s="745"/>
      <c r="S220" s="745">
        <f t="shared" si="6"/>
        <v>0</v>
      </c>
      <c r="T220" s="748"/>
      <c r="U220" s="745"/>
      <c r="V220" s="745"/>
      <c r="W220" s="745"/>
      <c r="X220" s="748">
        <f t="shared" si="7"/>
        <v>0</v>
      </c>
    </row>
    <row r="221" spans="1:27" s="3" customFormat="1" ht="19.95" customHeight="1">
      <c r="A221" s="18">
        <v>230</v>
      </c>
      <c r="B221" s="451" t="s">
        <v>687</v>
      </c>
      <c r="C221" s="453" t="s">
        <v>688</v>
      </c>
      <c r="D221" s="940"/>
      <c r="E221" s="451" t="s">
        <v>687</v>
      </c>
      <c r="F221" s="19">
        <v>9730250452</v>
      </c>
      <c r="G221" s="450" t="s">
        <v>38</v>
      </c>
      <c r="H221" s="450" t="s">
        <v>39</v>
      </c>
      <c r="I221" s="452" t="s">
        <v>34</v>
      </c>
      <c r="J221" s="450" t="s">
        <v>12</v>
      </c>
      <c r="K221" s="18">
        <v>800</v>
      </c>
      <c r="L221" s="43">
        <v>46137</v>
      </c>
      <c r="M221" s="46">
        <v>0.66666666666666663</v>
      </c>
      <c r="N221" s="459" t="s">
        <v>148</v>
      </c>
      <c r="O221" s="450" t="s">
        <v>35</v>
      </c>
      <c r="P221" s="460" t="s">
        <v>19</v>
      </c>
      <c r="Q221" s="850" t="s">
        <v>971</v>
      </c>
      <c r="R221" s="716">
        <v>800</v>
      </c>
      <c r="S221" s="109">
        <f t="shared" si="6"/>
        <v>0</v>
      </c>
      <c r="T221" s="18"/>
      <c r="U221" s="8"/>
      <c r="V221" s="8"/>
      <c r="W221" s="109"/>
      <c r="X221" s="40">
        <f t="shared" si="7"/>
        <v>0</v>
      </c>
      <c r="Y221" s="1"/>
      <c r="Z221" s="1"/>
    </row>
    <row r="222" spans="1:27" s="3" customFormat="1" ht="19.95" customHeight="1">
      <c r="A222" s="18">
        <v>231</v>
      </c>
      <c r="B222" s="454" t="s">
        <v>689</v>
      </c>
      <c r="C222" s="455" t="s">
        <v>690</v>
      </c>
      <c r="D222" s="454"/>
      <c r="E222" s="454" t="s">
        <v>689</v>
      </c>
      <c r="F222" s="19">
        <v>7045607603</v>
      </c>
      <c r="G222" s="456" t="s">
        <v>42</v>
      </c>
      <c r="H222" s="456" t="s">
        <v>39</v>
      </c>
      <c r="I222" s="455" t="s">
        <v>34</v>
      </c>
      <c r="J222" s="456" t="s">
        <v>12</v>
      </c>
      <c r="K222" s="18">
        <v>700</v>
      </c>
      <c r="L222" s="43">
        <v>46144</v>
      </c>
      <c r="M222" s="46">
        <v>0.45833333333333331</v>
      </c>
      <c r="N222" s="459" t="s">
        <v>565</v>
      </c>
      <c r="O222" s="456" t="s">
        <v>35</v>
      </c>
      <c r="P222" s="849" t="s">
        <v>19</v>
      </c>
      <c r="Q222" s="529">
        <v>46144</v>
      </c>
      <c r="R222" s="8">
        <v>700</v>
      </c>
      <c r="S222" s="109">
        <f t="shared" si="6"/>
        <v>0</v>
      </c>
      <c r="T222" s="18"/>
      <c r="U222" s="8"/>
      <c r="V222" s="8"/>
      <c r="W222" s="109"/>
      <c r="X222" s="40">
        <f t="shared" si="7"/>
        <v>0</v>
      </c>
      <c r="Y222" s="1"/>
      <c r="Z222" s="1"/>
    </row>
    <row r="223" spans="1:27" s="3" customFormat="1" ht="19.95" customHeight="1">
      <c r="A223" s="18">
        <v>232</v>
      </c>
      <c r="B223" s="459" t="s">
        <v>692</v>
      </c>
      <c r="C223" s="461" t="s">
        <v>691</v>
      </c>
      <c r="D223" s="462"/>
      <c r="E223" s="459" t="s">
        <v>692</v>
      </c>
      <c r="F223" s="19">
        <v>7507911136</v>
      </c>
      <c r="G223" s="458" t="s">
        <v>375</v>
      </c>
      <c r="H223" s="458" t="s">
        <v>617</v>
      </c>
      <c r="I223" s="457" t="s">
        <v>395</v>
      </c>
      <c r="J223" s="458" t="s">
        <v>12</v>
      </c>
      <c r="K223" s="18">
        <v>3000</v>
      </c>
      <c r="L223" s="43">
        <v>46139</v>
      </c>
      <c r="M223" s="46">
        <v>0.41666666666666669</v>
      </c>
      <c r="N223" s="462" t="s">
        <v>565</v>
      </c>
      <c r="O223" s="458" t="s">
        <v>35</v>
      </c>
      <c r="P223" s="849" t="s">
        <v>19</v>
      </c>
      <c r="Q223" s="529">
        <v>46139</v>
      </c>
      <c r="R223" s="8"/>
      <c r="S223" s="109">
        <f t="shared" si="6"/>
        <v>3000</v>
      </c>
      <c r="T223" s="18"/>
      <c r="U223" s="8"/>
      <c r="V223" s="8"/>
      <c r="W223" s="109"/>
      <c r="X223" s="40">
        <f t="shared" si="7"/>
        <v>3000</v>
      </c>
      <c r="Y223" s="1"/>
      <c r="Z223" s="1"/>
    </row>
    <row r="224" spans="1:27" s="3" customFormat="1" ht="19.95" customHeight="1">
      <c r="A224" s="18">
        <v>233</v>
      </c>
      <c r="B224" s="462" t="s">
        <v>693</v>
      </c>
      <c r="C224" s="461" t="s">
        <v>694</v>
      </c>
      <c r="D224" s="462"/>
      <c r="E224" s="462" t="s">
        <v>693</v>
      </c>
      <c r="F224" s="19">
        <v>8879302948</v>
      </c>
      <c r="G224" s="463" t="s">
        <v>75</v>
      </c>
      <c r="H224" s="463" t="s">
        <v>61</v>
      </c>
      <c r="I224" s="461" t="s">
        <v>34</v>
      </c>
      <c r="J224" s="463" t="s">
        <v>15</v>
      </c>
      <c r="K224" s="18">
        <v>3000</v>
      </c>
      <c r="L224" s="43">
        <v>46139</v>
      </c>
      <c r="M224" s="46">
        <v>0.41666666666666669</v>
      </c>
      <c r="N224" s="462" t="s">
        <v>565</v>
      </c>
      <c r="O224" s="463" t="s">
        <v>35</v>
      </c>
      <c r="P224" s="608" t="s">
        <v>19</v>
      </c>
      <c r="Q224" s="851">
        <v>46139</v>
      </c>
      <c r="R224" s="717">
        <v>3000</v>
      </c>
      <c r="S224" s="109">
        <f t="shared" si="6"/>
        <v>0</v>
      </c>
      <c r="T224" s="109"/>
      <c r="U224" s="109"/>
      <c r="V224" s="109"/>
      <c r="W224" s="109"/>
      <c r="X224" s="40">
        <f t="shared" si="7"/>
        <v>0</v>
      </c>
      <c r="Y224" s="18"/>
      <c r="Z224" s="1"/>
      <c r="AA224" s="1"/>
    </row>
    <row r="225" spans="1:26" s="751" customFormat="1" ht="19.95" customHeight="1">
      <c r="A225" s="748">
        <v>234</v>
      </c>
      <c r="B225" s="746" t="s">
        <v>697</v>
      </c>
      <c r="C225" s="745" t="s">
        <v>695</v>
      </c>
      <c r="D225" s="746"/>
      <c r="E225" s="746" t="s">
        <v>697</v>
      </c>
      <c r="F225" s="747">
        <v>8551042258</v>
      </c>
      <c r="G225" s="748" t="s">
        <v>38</v>
      </c>
      <c r="H225" s="748" t="s">
        <v>61</v>
      </c>
      <c r="I225" s="745" t="s">
        <v>34</v>
      </c>
      <c r="J225" s="748" t="s">
        <v>12</v>
      </c>
      <c r="K225" s="748">
        <v>1000</v>
      </c>
      <c r="L225" s="749">
        <v>46139</v>
      </c>
      <c r="M225" s="750">
        <v>0.66666666666666663</v>
      </c>
      <c r="N225" s="746" t="s">
        <v>696</v>
      </c>
      <c r="O225" s="748" t="s">
        <v>35</v>
      </c>
      <c r="P225" s="748"/>
      <c r="Q225" s="745"/>
      <c r="R225" s="745"/>
      <c r="S225" s="745">
        <f t="shared" si="6"/>
        <v>1000</v>
      </c>
      <c r="T225" s="748" t="s">
        <v>934</v>
      </c>
      <c r="U225" s="745"/>
      <c r="V225" s="745"/>
      <c r="W225" s="745"/>
      <c r="X225" s="748">
        <f t="shared" si="7"/>
        <v>1000</v>
      </c>
    </row>
    <row r="226" spans="1:26" s="3" customFormat="1" ht="19.95" customHeight="1">
      <c r="A226" s="18">
        <v>235</v>
      </c>
      <c r="B226" s="464" t="s">
        <v>698</v>
      </c>
      <c r="C226" s="465" t="s">
        <v>699</v>
      </c>
      <c r="D226" s="465"/>
      <c r="E226" s="466" t="s">
        <v>700</v>
      </c>
      <c r="F226" s="19" t="s">
        <v>701</v>
      </c>
      <c r="G226" s="466" t="s">
        <v>75</v>
      </c>
      <c r="H226" s="849" t="s">
        <v>291</v>
      </c>
      <c r="I226" s="850" t="s">
        <v>702</v>
      </c>
      <c r="J226" s="466" t="s">
        <v>12</v>
      </c>
      <c r="K226" s="18">
        <v>2500</v>
      </c>
      <c r="L226" s="43">
        <v>46140</v>
      </c>
      <c r="M226" s="46">
        <v>0.54166666666666663</v>
      </c>
      <c r="N226" s="464" t="s">
        <v>135</v>
      </c>
      <c r="O226" s="466" t="s">
        <v>198</v>
      </c>
      <c r="P226" s="849" t="s">
        <v>1</v>
      </c>
      <c r="Q226" s="850" t="s">
        <v>973</v>
      </c>
      <c r="R226" s="8"/>
      <c r="S226" s="109">
        <f t="shared" si="6"/>
        <v>2500</v>
      </c>
      <c r="T226" s="18"/>
      <c r="U226" s="8"/>
      <c r="V226" s="8"/>
      <c r="W226" s="109"/>
      <c r="X226" s="40">
        <f t="shared" si="7"/>
        <v>2500</v>
      </c>
      <c r="Y226" s="1"/>
      <c r="Z226" s="1"/>
    </row>
    <row r="227" spans="1:26" s="751" customFormat="1" ht="19.95" customHeight="1">
      <c r="A227" s="748">
        <v>236</v>
      </c>
      <c r="B227" s="746" t="s">
        <v>703</v>
      </c>
      <c r="C227" s="745" t="s">
        <v>704</v>
      </c>
      <c r="D227" s="746"/>
      <c r="E227" s="746" t="s">
        <v>703</v>
      </c>
      <c r="F227" s="747">
        <v>9323717812</v>
      </c>
      <c r="G227" s="748" t="s">
        <v>38</v>
      </c>
      <c r="H227" s="748" t="s">
        <v>61</v>
      </c>
      <c r="I227" s="745" t="s">
        <v>34</v>
      </c>
      <c r="J227" s="748" t="s">
        <v>12</v>
      </c>
      <c r="K227" s="748">
        <v>900</v>
      </c>
      <c r="L227" s="749">
        <v>46140</v>
      </c>
      <c r="M227" s="750">
        <v>0.66666666666666663</v>
      </c>
      <c r="N227" s="746" t="s">
        <v>705</v>
      </c>
      <c r="O227" s="748" t="s">
        <v>148</v>
      </c>
      <c r="P227" s="748"/>
      <c r="Q227" s="745"/>
      <c r="R227" s="745"/>
      <c r="S227" s="745">
        <f t="shared" si="6"/>
        <v>900</v>
      </c>
      <c r="T227" s="748" t="s">
        <v>934</v>
      </c>
      <c r="U227" s="745"/>
      <c r="V227" s="745"/>
      <c r="W227" s="745"/>
      <c r="X227" s="748">
        <f t="shared" si="7"/>
        <v>900</v>
      </c>
    </row>
    <row r="228" spans="1:26" s="3" customFormat="1" ht="19.95" customHeight="1">
      <c r="A228" s="18">
        <v>237</v>
      </c>
      <c r="B228" s="467" t="s">
        <v>707</v>
      </c>
      <c r="C228" s="468" t="s">
        <v>706</v>
      </c>
      <c r="D228" s="467"/>
      <c r="E228" s="467" t="s">
        <v>707</v>
      </c>
      <c r="F228" s="19">
        <v>8169685959</v>
      </c>
      <c r="G228" s="469" t="s">
        <v>38</v>
      </c>
      <c r="H228" s="469" t="s">
        <v>39</v>
      </c>
      <c r="I228" s="468" t="s">
        <v>34</v>
      </c>
      <c r="J228" s="469" t="s">
        <v>94</v>
      </c>
      <c r="K228" s="18">
        <v>2200</v>
      </c>
      <c r="L228" s="43">
        <v>46140</v>
      </c>
      <c r="M228" s="46">
        <v>0.45833333333333331</v>
      </c>
      <c r="N228" s="467" t="s">
        <v>705</v>
      </c>
      <c r="O228" s="469" t="s">
        <v>148</v>
      </c>
      <c r="P228" s="608" t="s">
        <v>19</v>
      </c>
      <c r="Q228" s="851">
        <v>46140</v>
      </c>
      <c r="R228" s="717">
        <v>2200</v>
      </c>
      <c r="S228" s="109">
        <f t="shared" si="6"/>
        <v>0</v>
      </c>
      <c r="T228" s="613" t="s">
        <v>752</v>
      </c>
      <c r="U228" s="612"/>
      <c r="V228" s="612"/>
      <c r="W228" s="109"/>
      <c r="X228" s="40">
        <f t="shared" si="7"/>
        <v>0</v>
      </c>
      <c r="Y228" s="1"/>
      <c r="Z228" s="1"/>
    </row>
    <row r="229" spans="1:26" s="751" customFormat="1" ht="19.95" customHeight="1">
      <c r="A229" s="748">
        <v>238</v>
      </c>
      <c r="B229" s="746" t="s">
        <v>709</v>
      </c>
      <c r="C229" s="745" t="s">
        <v>708</v>
      </c>
      <c r="D229" s="746"/>
      <c r="E229" s="746" t="s">
        <v>709</v>
      </c>
      <c r="F229" s="747">
        <v>9820578625</v>
      </c>
      <c r="G229" s="748" t="s">
        <v>75</v>
      </c>
      <c r="H229" s="748" t="s">
        <v>39</v>
      </c>
      <c r="I229" s="745" t="s">
        <v>34</v>
      </c>
      <c r="J229" s="748" t="s">
        <v>15</v>
      </c>
      <c r="K229" s="748">
        <v>1500</v>
      </c>
      <c r="L229" s="749">
        <v>46140</v>
      </c>
      <c r="M229" s="753" t="s">
        <v>124</v>
      </c>
      <c r="N229" s="746" t="s">
        <v>231</v>
      </c>
      <c r="O229" s="748" t="s">
        <v>198</v>
      </c>
      <c r="P229" s="748" t="s">
        <v>18</v>
      </c>
      <c r="Q229" s="745"/>
      <c r="R229" s="745"/>
      <c r="S229" s="745">
        <f t="shared" si="6"/>
        <v>1500</v>
      </c>
      <c r="T229" s="748"/>
      <c r="U229" s="745"/>
      <c r="V229" s="745"/>
      <c r="W229" s="745"/>
      <c r="X229" s="748">
        <f t="shared" si="7"/>
        <v>1500</v>
      </c>
    </row>
    <row r="230" spans="1:26" s="3" customFormat="1" ht="19.95" customHeight="1">
      <c r="A230" s="18">
        <v>239</v>
      </c>
      <c r="B230" s="471" t="s">
        <v>710</v>
      </c>
      <c r="C230" s="472" t="s">
        <v>711</v>
      </c>
      <c r="D230" s="471"/>
      <c r="E230" s="471" t="s">
        <v>710</v>
      </c>
      <c r="F230" s="19">
        <v>7820863350</v>
      </c>
      <c r="G230" s="473" t="s">
        <v>75</v>
      </c>
      <c r="H230" s="473" t="s">
        <v>39</v>
      </c>
      <c r="I230" s="472" t="s">
        <v>34</v>
      </c>
      <c r="J230" s="473" t="s">
        <v>15</v>
      </c>
      <c r="K230" s="18">
        <v>2500</v>
      </c>
      <c r="L230" s="43">
        <v>46140</v>
      </c>
      <c r="M230" s="470" t="s">
        <v>124</v>
      </c>
      <c r="N230" s="471" t="s">
        <v>705</v>
      </c>
      <c r="O230" s="473" t="s">
        <v>35</v>
      </c>
      <c r="P230" s="608" t="s">
        <v>19</v>
      </c>
      <c r="Q230" s="851">
        <v>46140</v>
      </c>
      <c r="R230" s="717">
        <v>2500</v>
      </c>
      <c r="S230" s="109">
        <f t="shared" si="6"/>
        <v>0</v>
      </c>
      <c r="T230" s="18"/>
      <c r="U230" s="8"/>
      <c r="V230" s="8"/>
      <c r="W230" s="109"/>
      <c r="X230" s="40">
        <f t="shared" si="7"/>
        <v>0</v>
      </c>
      <c r="Y230" s="1"/>
      <c r="Z230" s="1"/>
    </row>
    <row r="231" spans="1:26" s="3" customFormat="1" ht="19.95" customHeight="1">
      <c r="A231" s="18">
        <v>240</v>
      </c>
      <c r="B231" s="474" t="s">
        <v>712</v>
      </c>
      <c r="C231" s="475" t="s">
        <v>713</v>
      </c>
      <c r="D231" s="474"/>
      <c r="E231" s="474" t="s">
        <v>712</v>
      </c>
      <c r="F231" s="19">
        <v>7738600174</v>
      </c>
      <c r="G231" s="476" t="s">
        <v>38</v>
      </c>
      <c r="H231" s="476" t="s">
        <v>61</v>
      </c>
      <c r="I231" s="475" t="s">
        <v>34</v>
      </c>
      <c r="J231" s="476" t="s">
        <v>12</v>
      </c>
      <c r="K231" s="18">
        <v>1100</v>
      </c>
      <c r="L231" s="43">
        <v>46142</v>
      </c>
      <c r="M231" s="46">
        <v>0.375</v>
      </c>
      <c r="N231" s="474" t="s">
        <v>231</v>
      </c>
      <c r="O231" s="476" t="s">
        <v>35</v>
      </c>
      <c r="P231" s="824" t="s">
        <v>1</v>
      </c>
      <c r="Q231" s="529">
        <v>46142</v>
      </c>
      <c r="R231" s="8">
        <v>1100</v>
      </c>
      <c r="S231" s="109">
        <f t="shared" si="6"/>
        <v>0</v>
      </c>
      <c r="T231" s="18"/>
      <c r="U231" s="8"/>
      <c r="V231" s="8"/>
      <c r="W231" s="109"/>
      <c r="X231" s="40">
        <f t="shared" si="7"/>
        <v>0</v>
      </c>
      <c r="Y231" s="1"/>
      <c r="Z231" s="1"/>
    </row>
    <row r="232" spans="1:26" s="3" customFormat="1" ht="19.95" customHeight="1">
      <c r="A232" s="18">
        <v>241</v>
      </c>
      <c r="B232" s="477" t="s">
        <v>714</v>
      </c>
      <c r="C232" s="478" t="s">
        <v>715</v>
      </c>
      <c r="D232" s="478"/>
      <c r="E232" s="479" t="s">
        <v>716</v>
      </c>
      <c r="F232" s="19">
        <v>7757871767</v>
      </c>
      <c r="G232" s="479" t="s">
        <v>42</v>
      </c>
      <c r="H232" s="479" t="s">
        <v>39</v>
      </c>
      <c r="I232" s="478" t="s">
        <v>34</v>
      </c>
      <c r="J232" s="479" t="s">
        <v>12</v>
      </c>
      <c r="K232" s="18">
        <v>1400</v>
      </c>
      <c r="L232" s="43">
        <v>46142</v>
      </c>
      <c r="M232" s="46">
        <v>0.625</v>
      </c>
      <c r="N232" s="477" t="s">
        <v>231</v>
      </c>
      <c r="O232" s="479" t="s">
        <v>35</v>
      </c>
      <c r="P232" s="18"/>
      <c r="Q232" s="8"/>
      <c r="R232" s="8"/>
      <c r="S232" s="109">
        <f t="shared" si="6"/>
        <v>1400</v>
      </c>
      <c r="T232" s="18"/>
      <c r="U232" s="8"/>
      <c r="V232" s="8"/>
      <c r="W232" s="109"/>
      <c r="X232" s="40">
        <f t="shared" si="7"/>
        <v>1400</v>
      </c>
      <c r="Y232" s="1"/>
      <c r="Z232" s="1"/>
    </row>
    <row r="233" spans="1:26" s="3" customFormat="1" ht="19.95" customHeight="1">
      <c r="A233" s="18">
        <v>242</v>
      </c>
      <c r="B233" s="477" t="s">
        <v>718</v>
      </c>
      <c r="C233" s="478" t="s">
        <v>717</v>
      </c>
      <c r="D233" s="477"/>
      <c r="E233" s="477" t="s">
        <v>718</v>
      </c>
      <c r="F233" s="480" t="s">
        <v>719</v>
      </c>
      <c r="G233" s="479" t="s">
        <v>38</v>
      </c>
      <c r="H233" s="479" t="s">
        <v>39</v>
      </c>
      <c r="I233" s="478" t="s">
        <v>34</v>
      </c>
      <c r="J233" s="479" t="s">
        <v>12</v>
      </c>
      <c r="K233" s="18">
        <v>1000</v>
      </c>
      <c r="L233" s="43">
        <v>46142</v>
      </c>
      <c r="M233" s="46">
        <v>0.45833333333333331</v>
      </c>
      <c r="N233" s="477" t="s">
        <v>231</v>
      </c>
      <c r="O233" s="479" t="s">
        <v>720</v>
      </c>
      <c r="P233" s="824" t="s">
        <v>1</v>
      </c>
      <c r="Q233" s="529">
        <v>46142</v>
      </c>
      <c r="R233" s="8">
        <v>1000</v>
      </c>
      <c r="S233" s="109">
        <f t="shared" si="6"/>
        <v>0</v>
      </c>
      <c r="T233" s="18"/>
      <c r="U233" s="8"/>
      <c r="V233" s="8"/>
      <c r="W233" s="109"/>
      <c r="X233" s="40">
        <f t="shared" si="7"/>
        <v>0</v>
      </c>
      <c r="Y233" s="1"/>
      <c r="Z233" s="1"/>
    </row>
    <row r="234" spans="1:26" s="3" customFormat="1" ht="19.95" customHeight="1">
      <c r="A234" s="18">
        <v>243</v>
      </c>
      <c r="B234" s="481" t="s">
        <v>722</v>
      </c>
      <c r="C234" s="593" t="s">
        <v>721</v>
      </c>
      <c r="D234" s="592"/>
      <c r="E234" s="481" t="s">
        <v>722</v>
      </c>
      <c r="F234" s="19" t="s">
        <v>723</v>
      </c>
      <c r="G234" s="483" t="s">
        <v>75</v>
      </c>
      <c r="H234" s="483" t="s">
        <v>39</v>
      </c>
      <c r="I234" s="482" t="s">
        <v>34</v>
      </c>
      <c r="J234" s="483" t="s">
        <v>15</v>
      </c>
      <c r="K234" s="18">
        <v>3000</v>
      </c>
      <c r="L234" s="43">
        <v>46144</v>
      </c>
      <c r="M234" s="484" t="s">
        <v>356</v>
      </c>
      <c r="N234" s="485" t="s">
        <v>565</v>
      </c>
      <c r="O234" s="483" t="s">
        <v>35</v>
      </c>
      <c r="P234" s="785" t="s">
        <v>1</v>
      </c>
      <c r="Q234" s="850" t="s">
        <v>970</v>
      </c>
      <c r="R234" s="8">
        <v>2000</v>
      </c>
      <c r="S234" s="109">
        <f t="shared" si="6"/>
        <v>1000</v>
      </c>
      <c r="T234" s="18"/>
      <c r="U234" s="8"/>
      <c r="V234" s="8"/>
      <c r="W234" s="109"/>
      <c r="X234" s="40">
        <f t="shared" si="7"/>
        <v>1000</v>
      </c>
      <c r="Y234" s="1"/>
      <c r="Z234" s="1"/>
    </row>
    <row r="235" spans="1:26" s="3" customFormat="1" ht="19.95" customHeight="1">
      <c r="A235" s="18">
        <v>244</v>
      </c>
      <c r="B235" s="481" t="s">
        <v>724</v>
      </c>
      <c r="C235" s="482" t="s">
        <v>726</v>
      </c>
      <c r="D235" s="481"/>
      <c r="E235" s="481" t="s">
        <v>724</v>
      </c>
      <c r="F235" s="19" t="s">
        <v>725</v>
      </c>
      <c r="G235" s="483" t="s">
        <v>38</v>
      </c>
      <c r="H235" s="483" t="s">
        <v>70</v>
      </c>
      <c r="I235" s="482" t="s">
        <v>34</v>
      </c>
      <c r="J235" s="483" t="s">
        <v>12</v>
      </c>
      <c r="K235" s="18">
        <v>900</v>
      </c>
      <c r="L235" s="43">
        <v>46144</v>
      </c>
      <c r="M235" s="484" t="s">
        <v>119</v>
      </c>
      <c r="N235" s="485" t="s">
        <v>565</v>
      </c>
      <c r="O235" s="483" t="s">
        <v>35</v>
      </c>
      <c r="P235" s="608" t="s">
        <v>19</v>
      </c>
      <c r="Q235" s="851">
        <v>46175</v>
      </c>
      <c r="R235" s="717">
        <v>900</v>
      </c>
      <c r="S235" s="109">
        <f t="shared" si="6"/>
        <v>0</v>
      </c>
      <c r="T235" s="18"/>
      <c r="U235" s="8"/>
      <c r="V235" s="8"/>
      <c r="W235" s="109"/>
      <c r="X235" s="40">
        <f t="shared" si="7"/>
        <v>0</v>
      </c>
      <c r="Y235" s="1"/>
      <c r="Z235" s="1"/>
    </row>
    <row r="236" spans="1:26" s="3" customFormat="1" ht="18" customHeight="1">
      <c r="A236" s="18">
        <v>245</v>
      </c>
      <c r="B236" s="595" t="s">
        <v>731</v>
      </c>
      <c r="C236" s="596" t="s">
        <v>732</v>
      </c>
      <c r="D236" s="595"/>
      <c r="E236" s="595" t="s">
        <v>731</v>
      </c>
      <c r="F236" s="19">
        <v>9892268843</v>
      </c>
      <c r="G236" s="597" t="s">
        <v>38</v>
      </c>
      <c r="H236" s="597" t="s">
        <v>39</v>
      </c>
      <c r="I236" s="596" t="s">
        <v>34</v>
      </c>
      <c r="J236" s="597" t="s">
        <v>94</v>
      </c>
      <c r="K236" s="18">
        <v>2200</v>
      </c>
      <c r="L236" s="43">
        <v>46144</v>
      </c>
      <c r="M236" s="46">
        <v>0.625</v>
      </c>
      <c r="N236" s="595" t="s">
        <v>565</v>
      </c>
      <c r="O236" s="597" t="s">
        <v>35</v>
      </c>
      <c r="P236" s="608" t="s">
        <v>19</v>
      </c>
      <c r="Q236" s="851">
        <v>46175</v>
      </c>
      <c r="R236" s="717">
        <v>2200</v>
      </c>
      <c r="S236" s="109">
        <f t="shared" si="6"/>
        <v>0</v>
      </c>
      <c r="T236" s="613" t="s">
        <v>753</v>
      </c>
      <c r="U236" s="841" t="s">
        <v>963</v>
      </c>
      <c r="V236" s="612"/>
      <c r="W236" s="109"/>
      <c r="X236" s="40">
        <f t="shared" si="7"/>
        <v>0</v>
      </c>
      <c r="Y236" s="1"/>
      <c r="Z236" s="1"/>
    </row>
    <row r="237" spans="1:26" s="3" customFormat="1" ht="19.95" customHeight="1">
      <c r="A237" s="18">
        <v>246</v>
      </c>
      <c r="B237" s="592" t="s">
        <v>727</v>
      </c>
      <c r="C237" s="598" t="s">
        <v>735</v>
      </c>
      <c r="D237" s="941"/>
      <c r="E237" s="592" t="s">
        <v>727</v>
      </c>
      <c r="F237" s="19" t="s">
        <v>728</v>
      </c>
      <c r="G237" s="458" t="s">
        <v>375</v>
      </c>
      <c r="H237" s="594" t="s">
        <v>61</v>
      </c>
      <c r="I237" s="593" t="s">
        <v>34</v>
      </c>
      <c r="J237" s="609" t="s">
        <v>94</v>
      </c>
      <c r="K237" s="18">
        <v>4500</v>
      </c>
      <c r="L237" s="43">
        <v>46145</v>
      </c>
      <c r="M237" s="46">
        <v>0.54166666666666663</v>
      </c>
      <c r="N237" s="592" t="s">
        <v>565</v>
      </c>
      <c r="O237" s="594" t="s">
        <v>35</v>
      </c>
      <c r="P237" s="608" t="s">
        <v>19</v>
      </c>
      <c r="Q237" s="851">
        <v>46176</v>
      </c>
      <c r="R237" s="717">
        <v>2500</v>
      </c>
      <c r="S237" s="109">
        <f t="shared" si="6"/>
        <v>2000</v>
      </c>
      <c r="T237" s="613" t="s">
        <v>754</v>
      </c>
      <c r="U237" s="612"/>
      <c r="V237" s="612"/>
      <c r="W237" s="109"/>
      <c r="X237" s="40">
        <f t="shared" si="7"/>
        <v>2000</v>
      </c>
      <c r="Y237" s="614"/>
      <c r="Z237" s="1"/>
    </row>
    <row r="238" spans="1:26" s="3" customFormat="1" ht="19.95" customHeight="1">
      <c r="A238" s="18">
        <v>247</v>
      </c>
      <c r="B238" s="592" t="s">
        <v>729</v>
      </c>
      <c r="C238" s="611" t="s">
        <v>730</v>
      </c>
      <c r="D238" s="610"/>
      <c r="E238" s="592" t="s">
        <v>729</v>
      </c>
      <c r="F238" s="19">
        <v>9834040340</v>
      </c>
      <c r="G238" s="597" t="s">
        <v>75</v>
      </c>
      <c r="H238" s="597" t="s">
        <v>39</v>
      </c>
      <c r="I238" s="593" t="s">
        <v>34</v>
      </c>
      <c r="J238" s="597" t="s">
        <v>15</v>
      </c>
      <c r="K238" s="18">
        <v>2400</v>
      </c>
      <c r="L238" s="43">
        <v>46148</v>
      </c>
      <c r="M238" s="46">
        <v>0.45833333333333331</v>
      </c>
      <c r="N238" s="620" t="s">
        <v>705</v>
      </c>
      <c r="O238" s="594" t="s">
        <v>35</v>
      </c>
      <c r="P238" s="785" t="s">
        <v>19</v>
      </c>
      <c r="Q238" s="8"/>
      <c r="R238" s="8">
        <v>1200</v>
      </c>
      <c r="S238" s="109">
        <f t="shared" si="6"/>
        <v>1200</v>
      </c>
      <c r="T238" s="18"/>
      <c r="U238" s="8"/>
      <c r="V238" s="8"/>
      <c r="W238" s="109"/>
      <c r="X238" s="40">
        <f t="shared" si="7"/>
        <v>1200</v>
      </c>
      <c r="Y238" s="1"/>
      <c r="Z238" s="1"/>
    </row>
    <row r="239" spans="1:26" s="3" customFormat="1" ht="19.95" customHeight="1">
      <c r="A239" s="18">
        <v>248</v>
      </c>
      <c r="B239" s="595" t="s">
        <v>733</v>
      </c>
      <c r="C239" s="596" t="s">
        <v>734</v>
      </c>
      <c r="D239" s="595"/>
      <c r="E239" s="595" t="s">
        <v>733</v>
      </c>
      <c r="F239" s="19">
        <v>8291618815</v>
      </c>
      <c r="G239" s="597" t="s">
        <v>75</v>
      </c>
      <c r="H239" s="597" t="s">
        <v>39</v>
      </c>
      <c r="I239" s="596" t="s">
        <v>34</v>
      </c>
      <c r="J239" s="597" t="s">
        <v>15</v>
      </c>
      <c r="K239" s="18">
        <v>2000</v>
      </c>
      <c r="L239" s="43">
        <v>46145</v>
      </c>
      <c r="M239" s="46">
        <v>0.375</v>
      </c>
      <c r="N239" s="595" t="s">
        <v>565</v>
      </c>
      <c r="O239" s="597" t="s">
        <v>35</v>
      </c>
      <c r="P239" s="608" t="s">
        <v>19</v>
      </c>
      <c r="Q239" s="717"/>
      <c r="R239" s="717">
        <v>1300</v>
      </c>
      <c r="S239" s="109">
        <f t="shared" si="6"/>
        <v>700</v>
      </c>
      <c r="T239" s="608"/>
      <c r="U239" s="719" t="s">
        <v>1</v>
      </c>
      <c r="V239" s="792">
        <v>46157</v>
      </c>
      <c r="W239" s="109">
        <v>700</v>
      </c>
      <c r="X239" s="40">
        <f t="shared" si="7"/>
        <v>0</v>
      </c>
      <c r="Y239" s="1"/>
      <c r="Z239" s="1"/>
    </row>
    <row r="240" spans="1:26" s="751" customFormat="1" ht="19.95" customHeight="1">
      <c r="A240" s="748">
        <v>249</v>
      </c>
      <c r="B240" s="746" t="s">
        <v>736</v>
      </c>
      <c r="C240" s="745" t="s">
        <v>737</v>
      </c>
      <c r="D240" s="746"/>
      <c r="E240" s="746" t="s">
        <v>736</v>
      </c>
      <c r="F240" s="747">
        <v>9867159149</v>
      </c>
      <c r="G240" s="748" t="s">
        <v>738</v>
      </c>
      <c r="H240" s="748" t="s">
        <v>39</v>
      </c>
      <c r="I240" s="745" t="s">
        <v>34</v>
      </c>
      <c r="J240" s="748" t="s">
        <v>15</v>
      </c>
      <c r="K240" s="748">
        <v>3000</v>
      </c>
      <c r="L240" s="749">
        <v>46145</v>
      </c>
      <c r="M240" s="750">
        <v>0.33333333333333331</v>
      </c>
      <c r="N240" s="746" t="s">
        <v>705</v>
      </c>
      <c r="O240" s="748" t="s">
        <v>35</v>
      </c>
      <c r="P240" s="748" t="s">
        <v>18</v>
      </c>
      <c r="Q240" s="745"/>
      <c r="R240" s="745"/>
      <c r="S240" s="745">
        <f t="shared" si="6"/>
        <v>3000</v>
      </c>
      <c r="T240" s="748"/>
      <c r="U240" s="745"/>
      <c r="V240" s="745"/>
      <c r="W240" s="745"/>
      <c r="X240" s="748">
        <f t="shared" si="7"/>
        <v>3000</v>
      </c>
    </row>
    <row r="241" spans="1:58" s="3" customFormat="1" ht="19.95" customHeight="1">
      <c r="A241" s="18">
        <v>250</v>
      </c>
      <c r="B241" s="599" t="s">
        <v>739</v>
      </c>
      <c r="C241" s="600" t="s">
        <v>740</v>
      </c>
      <c r="D241" s="600"/>
      <c r="E241" s="601" t="s">
        <v>743</v>
      </c>
      <c r="F241" s="19">
        <v>9004187349</v>
      </c>
      <c r="G241" s="601" t="s">
        <v>738</v>
      </c>
      <c r="H241" s="601" t="s">
        <v>291</v>
      </c>
      <c r="I241" s="600" t="s">
        <v>741</v>
      </c>
      <c r="J241" s="601" t="s">
        <v>12</v>
      </c>
      <c r="K241" s="601" t="s">
        <v>742</v>
      </c>
      <c r="L241" s="43">
        <v>46176</v>
      </c>
      <c r="M241" s="46">
        <v>0.54166666666666663</v>
      </c>
      <c r="N241" s="599" t="s">
        <v>135</v>
      </c>
      <c r="O241" s="601" t="s">
        <v>198</v>
      </c>
      <c r="P241" s="608" t="s">
        <v>116</v>
      </c>
      <c r="Q241" s="717"/>
      <c r="R241" s="717"/>
      <c r="S241" s="109" t="e">
        <f t="shared" si="6"/>
        <v>#VALUE!</v>
      </c>
      <c r="T241" s="18"/>
      <c r="U241" s="8"/>
      <c r="V241" s="8"/>
      <c r="W241" s="109"/>
      <c r="X241" s="40" t="e">
        <f t="shared" si="7"/>
        <v>#VALUE!</v>
      </c>
      <c r="Y241" s="1"/>
      <c r="Z241" s="1"/>
    </row>
    <row r="242" spans="1:58" s="3" customFormat="1" ht="19.95" customHeight="1">
      <c r="A242" s="18">
        <v>251</v>
      </c>
      <c r="B242" s="602" t="s">
        <v>745</v>
      </c>
      <c r="C242" s="604" t="s">
        <v>744</v>
      </c>
      <c r="D242" s="602"/>
      <c r="E242" s="602" t="s">
        <v>745</v>
      </c>
      <c r="F242" s="19">
        <v>8793620827</v>
      </c>
      <c r="G242" s="603" t="s">
        <v>38</v>
      </c>
      <c r="H242" s="603" t="s">
        <v>61</v>
      </c>
      <c r="I242" s="600" t="s">
        <v>34</v>
      </c>
      <c r="J242" s="603" t="s">
        <v>12</v>
      </c>
      <c r="K242" s="18">
        <v>1100</v>
      </c>
      <c r="L242" s="43">
        <v>46145</v>
      </c>
      <c r="M242" s="46">
        <v>0.66666666666666663</v>
      </c>
      <c r="N242" s="602" t="s">
        <v>565</v>
      </c>
      <c r="O242" s="603" t="s">
        <v>35</v>
      </c>
      <c r="P242" s="608" t="s">
        <v>19</v>
      </c>
      <c r="Q242" s="717"/>
      <c r="R242" s="717">
        <v>1100</v>
      </c>
      <c r="S242" s="109">
        <f t="shared" si="6"/>
        <v>0</v>
      </c>
      <c r="T242" s="18"/>
      <c r="U242" s="8"/>
      <c r="V242" s="8"/>
      <c r="W242" s="109"/>
      <c r="X242" s="40">
        <f t="shared" si="7"/>
        <v>0</v>
      </c>
      <c r="Y242" s="1"/>
      <c r="Z242" s="1"/>
    </row>
    <row r="243" spans="1:58" ht="19.95" customHeight="1">
      <c r="A243" s="18">
        <v>252</v>
      </c>
      <c r="B243" s="605" t="s">
        <v>746</v>
      </c>
      <c r="C243" s="606" t="s">
        <v>747</v>
      </c>
      <c r="D243" s="605"/>
      <c r="E243" s="605" t="s">
        <v>746</v>
      </c>
      <c r="F243" s="19">
        <v>9284106035</v>
      </c>
      <c r="G243" s="601" t="s">
        <v>738</v>
      </c>
      <c r="H243" s="607" t="s">
        <v>61</v>
      </c>
      <c r="I243" s="600" t="s">
        <v>34</v>
      </c>
      <c r="J243" s="607" t="s">
        <v>15</v>
      </c>
      <c r="K243" s="18">
        <v>3000</v>
      </c>
      <c r="L243" s="43">
        <v>46145</v>
      </c>
      <c r="M243" s="46">
        <v>0.45833333333333331</v>
      </c>
      <c r="N243" s="605" t="s">
        <v>565</v>
      </c>
      <c r="O243" s="607" t="s">
        <v>35</v>
      </c>
      <c r="P243" s="608" t="s">
        <v>1</v>
      </c>
      <c r="Q243" s="717"/>
      <c r="R243" s="717">
        <v>3000</v>
      </c>
      <c r="S243" s="109">
        <f t="shared" si="6"/>
        <v>0</v>
      </c>
      <c r="W243" s="109"/>
      <c r="X243" s="40">
        <f t="shared" si="7"/>
        <v>0</v>
      </c>
    </row>
    <row r="244" spans="1:58" ht="19.95" customHeight="1">
      <c r="A244" s="18">
        <v>253</v>
      </c>
      <c r="B244" s="610" t="s">
        <v>748</v>
      </c>
      <c r="C244" s="611" t="s">
        <v>749</v>
      </c>
      <c r="D244" s="610"/>
      <c r="E244" s="610" t="s">
        <v>748</v>
      </c>
      <c r="F244" s="19">
        <v>9359841394</v>
      </c>
      <c r="G244" s="601" t="s">
        <v>738</v>
      </c>
      <c r="H244" s="609" t="s">
        <v>61</v>
      </c>
      <c r="I244" s="600" t="s">
        <v>34</v>
      </c>
      <c r="J244" s="607" t="s">
        <v>15</v>
      </c>
      <c r="K244" s="18">
        <v>3000</v>
      </c>
      <c r="L244" s="43">
        <v>46146</v>
      </c>
      <c r="M244" s="46">
        <v>0.5</v>
      </c>
      <c r="N244" s="610" t="s">
        <v>705</v>
      </c>
      <c r="O244" s="609" t="s">
        <v>35</v>
      </c>
      <c r="P244" s="621" t="s">
        <v>19</v>
      </c>
      <c r="Q244" s="718"/>
      <c r="R244" s="718">
        <v>3000</v>
      </c>
      <c r="S244" s="109">
        <f t="shared" si="6"/>
        <v>0</v>
      </c>
      <c r="W244" s="109"/>
      <c r="X244" s="40">
        <f t="shared" si="7"/>
        <v>0</v>
      </c>
    </row>
    <row r="245" spans="1:58" ht="19.95" customHeight="1">
      <c r="A245" s="18">
        <v>254</v>
      </c>
      <c r="B245" s="615" t="s">
        <v>760</v>
      </c>
      <c r="C245" s="616" t="s">
        <v>761</v>
      </c>
      <c r="D245" s="615"/>
      <c r="E245" s="615" t="s">
        <v>760</v>
      </c>
      <c r="F245" s="19">
        <v>8928969805</v>
      </c>
      <c r="G245" s="617" t="s">
        <v>38</v>
      </c>
      <c r="H245" s="617" t="s">
        <v>39</v>
      </c>
      <c r="I245" s="616" t="s">
        <v>34</v>
      </c>
      <c r="J245" s="617" t="s">
        <v>12</v>
      </c>
      <c r="K245" s="18">
        <v>800</v>
      </c>
      <c r="L245" s="43">
        <v>46148</v>
      </c>
      <c r="M245" s="46">
        <v>0.375</v>
      </c>
      <c r="N245" s="615" t="s">
        <v>705</v>
      </c>
      <c r="O245" s="617" t="s">
        <v>35</v>
      </c>
      <c r="P245" s="708" t="s">
        <v>19</v>
      </c>
      <c r="Q245" s="719"/>
      <c r="R245" s="8">
        <v>800</v>
      </c>
      <c r="S245" s="109">
        <f t="shared" si="6"/>
        <v>0</v>
      </c>
      <c r="W245" s="109"/>
      <c r="X245" s="40">
        <f t="shared" si="7"/>
        <v>0</v>
      </c>
    </row>
    <row r="246" spans="1:58" ht="19.95" customHeight="1">
      <c r="A246" s="18">
        <v>255</v>
      </c>
      <c r="B246" s="615" t="s">
        <v>762</v>
      </c>
      <c r="C246" s="616" t="s">
        <v>763</v>
      </c>
      <c r="D246" s="615"/>
      <c r="E246" s="615" t="s">
        <v>762</v>
      </c>
      <c r="F246" s="19">
        <v>8446417644</v>
      </c>
      <c r="G246" s="617" t="s">
        <v>75</v>
      </c>
      <c r="H246" s="617" t="s">
        <v>39</v>
      </c>
      <c r="I246" s="616" t="s">
        <v>34</v>
      </c>
      <c r="J246" s="617" t="s">
        <v>15</v>
      </c>
      <c r="K246" s="18">
        <v>2500</v>
      </c>
      <c r="L246" s="43">
        <v>46148</v>
      </c>
      <c r="M246" s="46">
        <v>0.5</v>
      </c>
      <c r="N246" s="615" t="s">
        <v>705</v>
      </c>
      <c r="O246" s="617" t="s">
        <v>35</v>
      </c>
      <c r="P246" s="727" t="s">
        <v>1</v>
      </c>
      <c r="Q246" s="733"/>
      <c r="R246" s="8">
        <v>2500</v>
      </c>
      <c r="S246" s="109">
        <f t="shared" si="6"/>
        <v>0</v>
      </c>
      <c r="W246" s="109"/>
      <c r="X246" s="40">
        <f t="shared" si="7"/>
        <v>0</v>
      </c>
    </row>
    <row r="247" spans="1:58" s="791" customFormat="1" ht="19.95" customHeight="1">
      <c r="A247" s="785">
        <v>256</v>
      </c>
      <c r="B247" s="786" t="s">
        <v>768</v>
      </c>
      <c r="C247" s="787" t="s">
        <v>767</v>
      </c>
      <c r="D247" s="786"/>
      <c r="E247" s="786" t="s">
        <v>591</v>
      </c>
      <c r="F247" s="788" t="s">
        <v>766</v>
      </c>
      <c r="G247" s="785" t="s">
        <v>75</v>
      </c>
      <c r="H247" s="785" t="s">
        <v>39</v>
      </c>
      <c r="I247" s="787" t="s">
        <v>34</v>
      </c>
      <c r="J247" s="785" t="s">
        <v>15</v>
      </c>
      <c r="K247" s="785">
        <v>1000</v>
      </c>
      <c r="L247" s="789">
        <v>46148</v>
      </c>
      <c r="M247" s="790">
        <v>0.58333333333333337</v>
      </c>
      <c r="N247" s="786" t="s">
        <v>705</v>
      </c>
      <c r="O247" s="785" t="s">
        <v>911</v>
      </c>
      <c r="P247" s="785" t="s">
        <v>1</v>
      </c>
      <c r="Q247" s="787"/>
      <c r="R247" s="787">
        <v>1000</v>
      </c>
      <c r="S247" s="787">
        <f t="shared" si="6"/>
        <v>0</v>
      </c>
      <c r="T247" s="785"/>
      <c r="U247" s="787"/>
      <c r="V247" s="787"/>
      <c r="W247" s="787"/>
      <c r="X247" s="785">
        <f t="shared" si="7"/>
        <v>0</v>
      </c>
    </row>
    <row r="248" spans="1:58" s="3" customFormat="1" ht="19.95" customHeight="1">
      <c r="A248" s="18">
        <v>257</v>
      </c>
      <c r="B248" s="624" t="s">
        <v>769</v>
      </c>
      <c r="C248" s="626" t="s">
        <v>770</v>
      </c>
      <c r="D248" s="625"/>
      <c r="E248" s="624" t="s">
        <v>769</v>
      </c>
      <c r="F248" s="619">
        <v>9004040613</v>
      </c>
      <c r="G248" s="632" t="s">
        <v>38</v>
      </c>
      <c r="H248" s="622" t="s">
        <v>61</v>
      </c>
      <c r="I248" s="623" t="s">
        <v>34</v>
      </c>
      <c r="J248" s="622" t="s">
        <v>12</v>
      </c>
      <c r="K248" s="18">
        <v>900</v>
      </c>
      <c r="L248" s="43">
        <v>46148</v>
      </c>
      <c r="M248" s="46">
        <v>0.41666666666666669</v>
      </c>
      <c r="N248" s="625" t="s">
        <v>148</v>
      </c>
      <c r="O248" s="622" t="s">
        <v>35</v>
      </c>
      <c r="P248" s="785" t="s">
        <v>1</v>
      </c>
      <c r="Q248" s="715"/>
      <c r="R248" s="715"/>
      <c r="S248" s="109">
        <f t="shared" si="6"/>
        <v>900</v>
      </c>
      <c r="T248" s="18"/>
      <c r="U248" s="8"/>
      <c r="V248" s="8"/>
      <c r="W248" s="109"/>
      <c r="X248" s="40">
        <f t="shared" si="7"/>
        <v>900</v>
      </c>
      <c r="Y248" s="1"/>
      <c r="Z248" s="1"/>
    </row>
    <row r="249" spans="1:58" ht="19.95" customHeight="1">
      <c r="A249" s="18">
        <v>258</v>
      </c>
      <c r="B249" s="628" t="s">
        <v>771</v>
      </c>
      <c r="C249" s="627" t="s">
        <v>772</v>
      </c>
      <c r="D249" s="628"/>
      <c r="E249" s="628" t="s">
        <v>771</v>
      </c>
      <c r="F249" s="19">
        <v>9850867982</v>
      </c>
      <c r="G249" s="617" t="s">
        <v>75</v>
      </c>
      <c r="H249" s="629" t="s">
        <v>61</v>
      </c>
      <c r="I249" s="627" t="s">
        <v>34</v>
      </c>
      <c r="J249" s="629" t="s">
        <v>15</v>
      </c>
      <c r="K249" s="18">
        <v>2600</v>
      </c>
      <c r="L249" s="43">
        <v>46148</v>
      </c>
      <c r="M249" s="46">
        <v>0.66666666666666663</v>
      </c>
      <c r="N249" s="628" t="s">
        <v>705</v>
      </c>
      <c r="O249" s="629" t="s">
        <v>35</v>
      </c>
      <c r="P249" s="708" t="s">
        <v>19</v>
      </c>
      <c r="Q249" s="719"/>
      <c r="R249" s="8">
        <v>2600</v>
      </c>
      <c r="S249" s="109">
        <f t="shared" si="6"/>
        <v>0</v>
      </c>
      <c r="W249" s="109"/>
      <c r="X249" s="40">
        <f t="shared" si="7"/>
        <v>0</v>
      </c>
    </row>
    <row r="250" spans="1:58" ht="19.95" customHeight="1">
      <c r="A250" s="18">
        <v>259</v>
      </c>
      <c r="B250" s="630" t="s">
        <v>778</v>
      </c>
      <c r="C250" s="631" t="s">
        <v>779</v>
      </c>
      <c r="D250" s="630"/>
      <c r="E250" s="630" t="s">
        <v>778</v>
      </c>
      <c r="F250" s="633" t="s">
        <v>780</v>
      </c>
      <c r="G250" s="617" t="s">
        <v>38</v>
      </c>
      <c r="H250" s="632" t="s">
        <v>39</v>
      </c>
      <c r="I250" s="631" t="s">
        <v>34</v>
      </c>
      <c r="J250" s="632" t="s">
        <v>12</v>
      </c>
      <c r="K250" s="18">
        <v>900</v>
      </c>
      <c r="L250" s="43">
        <v>46148</v>
      </c>
      <c r="M250" s="46">
        <v>0.70833333333333337</v>
      </c>
      <c r="N250" s="630" t="s">
        <v>705</v>
      </c>
      <c r="O250" s="632" t="s">
        <v>35</v>
      </c>
      <c r="P250" s="785" t="s">
        <v>1</v>
      </c>
      <c r="R250" s="8">
        <v>900</v>
      </c>
      <c r="S250" s="109">
        <f t="shared" si="6"/>
        <v>0</v>
      </c>
      <c r="W250" s="109"/>
      <c r="X250" s="40">
        <f t="shared" si="7"/>
        <v>0</v>
      </c>
    </row>
    <row r="251" spans="1:58" ht="19.95" customHeight="1">
      <c r="A251" s="18">
        <v>259</v>
      </c>
      <c r="B251" s="630" t="s">
        <v>773</v>
      </c>
      <c r="C251" s="631" t="s">
        <v>774</v>
      </c>
      <c r="D251" s="631"/>
      <c r="E251" s="632" t="s">
        <v>775</v>
      </c>
      <c r="F251" s="19">
        <v>9594883047</v>
      </c>
      <c r="G251" s="632" t="s">
        <v>777</v>
      </c>
      <c r="H251" s="632" t="s">
        <v>571</v>
      </c>
      <c r="I251" s="631" t="s">
        <v>776</v>
      </c>
      <c r="J251" s="632" t="s">
        <v>12</v>
      </c>
      <c r="K251" s="18">
        <v>1500</v>
      </c>
      <c r="L251" s="43">
        <v>46149</v>
      </c>
      <c r="M251" s="46">
        <v>0.54166666666666663</v>
      </c>
      <c r="N251" s="630" t="s">
        <v>231</v>
      </c>
      <c r="O251" s="632" t="s">
        <v>148</v>
      </c>
      <c r="P251" s="785" t="s">
        <v>890</v>
      </c>
      <c r="R251" s="8">
        <v>1500</v>
      </c>
      <c r="S251" s="109">
        <f t="shared" si="6"/>
        <v>0</v>
      </c>
      <c r="W251" s="109"/>
      <c r="X251" s="40">
        <f t="shared" si="7"/>
        <v>0</v>
      </c>
    </row>
    <row r="252" spans="1:58" ht="19.95" customHeight="1">
      <c r="A252" s="18">
        <v>260</v>
      </c>
      <c r="B252" s="720" t="s">
        <v>782</v>
      </c>
      <c r="C252" s="631" t="s">
        <v>783</v>
      </c>
      <c r="D252" s="630"/>
      <c r="E252" s="630" t="s">
        <v>782</v>
      </c>
      <c r="F252" s="19">
        <v>7208727824</v>
      </c>
      <c r="G252" s="458" t="s">
        <v>375</v>
      </c>
      <c r="H252" s="632" t="s">
        <v>39</v>
      </c>
      <c r="I252" s="631" t="s">
        <v>34</v>
      </c>
      <c r="J252" s="632" t="s">
        <v>12</v>
      </c>
      <c r="K252" s="18">
        <v>2000</v>
      </c>
      <c r="L252" s="43">
        <v>46150</v>
      </c>
      <c r="M252" s="46">
        <v>0.45833333333333331</v>
      </c>
      <c r="N252" s="630" t="s">
        <v>231</v>
      </c>
      <c r="O252" s="632" t="s">
        <v>197</v>
      </c>
      <c r="P252" s="785" t="s">
        <v>1</v>
      </c>
      <c r="Q252" s="529">
        <v>46150</v>
      </c>
      <c r="R252" s="8">
        <v>2000</v>
      </c>
      <c r="S252" s="109">
        <f t="shared" si="6"/>
        <v>0</v>
      </c>
      <c r="W252" s="109"/>
      <c r="X252" s="40">
        <f t="shared" si="7"/>
        <v>0</v>
      </c>
    </row>
    <row r="253" spans="1:58" ht="19.95" customHeight="1">
      <c r="A253" s="18">
        <v>261</v>
      </c>
      <c r="B253" s="1007" t="s">
        <v>785</v>
      </c>
      <c r="C253" s="719" t="s">
        <v>784</v>
      </c>
      <c r="D253" s="720"/>
      <c r="E253" s="630" t="s">
        <v>786</v>
      </c>
      <c r="F253" s="725" t="s">
        <v>787</v>
      </c>
      <c r="G253" s="632" t="s">
        <v>38</v>
      </c>
      <c r="H253" s="632" t="s">
        <v>61</v>
      </c>
      <c r="I253" s="631" t="s">
        <v>34</v>
      </c>
      <c r="J253" s="632" t="s">
        <v>94</v>
      </c>
      <c r="K253" s="18">
        <v>3050</v>
      </c>
      <c r="L253" s="43">
        <v>46158</v>
      </c>
      <c r="M253" s="46">
        <v>0.5</v>
      </c>
      <c r="N253" s="695" t="s">
        <v>852</v>
      </c>
      <c r="O253" s="632" t="s">
        <v>197</v>
      </c>
      <c r="P253" s="785" t="s">
        <v>922</v>
      </c>
      <c r="Q253" s="529">
        <v>46158</v>
      </c>
      <c r="R253" s="8">
        <v>3050</v>
      </c>
      <c r="S253" s="109">
        <f t="shared" si="6"/>
        <v>0</v>
      </c>
      <c r="T253" s="708" t="s">
        <v>874</v>
      </c>
      <c r="W253" s="109"/>
      <c r="X253" s="40">
        <f t="shared" si="7"/>
        <v>0</v>
      </c>
    </row>
    <row r="254" spans="1:58" s="3" customFormat="1" ht="19.95" customHeight="1">
      <c r="A254" s="18">
        <v>262</v>
      </c>
      <c r="B254" s="630" t="s">
        <v>789</v>
      </c>
      <c r="C254" s="631" t="s">
        <v>788</v>
      </c>
      <c r="D254" s="630"/>
      <c r="E254" s="630" t="s">
        <v>789</v>
      </c>
      <c r="F254" s="19">
        <v>9223305852</v>
      </c>
      <c r="G254" s="269" t="s">
        <v>75</v>
      </c>
      <c r="H254" s="269" t="s">
        <v>39</v>
      </c>
      <c r="I254" s="268" t="s">
        <v>34</v>
      </c>
      <c r="J254" s="269" t="s">
        <v>15</v>
      </c>
      <c r="K254" s="18">
        <v>2500</v>
      </c>
      <c r="L254" s="43">
        <v>46153</v>
      </c>
      <c r="M254" s="46">
        <v>0.58333333333333337</v>
      </c>
      <c r="N254" s="720" t="s">
        <v>852</v>
      </c>
      <c r="O254" s="269" t="s">
        <v>197</v>
      </c>
      <c r="P254" s="708" t="s">
        <v>19</v>
      </c>
      <c r="Q254" s="792">
        <v>46153</v>
      </c>
      <c r="R254" s="359">
        <v>2500</v>
      </c>
      <c r="S254" s="109">
        <f t="shared" si="6"/>
        <v>0</v>
      </c>
      <c r="T254" s="18"/>
      <c r="U254" s="8"/>
      <c r="V254" s="8"/>
      <c r="W254" s="109"/>
      <c r="X254" s="40">
        <f t="shared" si="7"/>
        <v>0</v>
      </c>
      <c r="Y254" s="1"/>
      <c r="Z254" s="1"/>
    </row>
    <row r="255" spans="1:58" s="752" customFormat="1" ht="19.95" customHeight="1">
      <c r="A255" s="748">
        <v>263</v>
      </c>
      <c r="B255" s="746" t="s">
        <v>790</v>
      </c>
      <c r="C255" s="745" t="s">
        <v>791</v>
      </c>
      <c r="D255" s="746"/>
      <c r="E255" s="746" t="s">
        <v>790</v>
      </c>
      <c r="F255" s="747">
        <v>9160470366</v>
      </c>
      <c r="G255" s="748" t="s">
        <v>38</v>
      </c>
      <c r="H255" s="748" t="s">
        <v>61</v>
      </c>
      <c r="I255" s="745" t="s">
        <v>34</v>
      </c>
      <c r="J255" s="748" t="s">
        <v>12</v>
      </c>
      <c r="K255" s="748">
        <v>1100</v>
      </c>
      <c r="L255" s="749">
        <v>46149</v>
      </c>
      <c r="M255" s="750">
        <v>0.66666666666666663</v>
      </c>
      <c r="N255" s="746" t="s">
        <v>705</v>
      </c>
      <c r="O255" s="748" t="s">
        <v>35</v>
      </c>
      <c r="P255" s="748"/>
      <c r="Q255" s="745"/>
      <c r="R255" s="745"/>
      <c r="S255" s="745">
        <f t="shared" si="6"/>
        <v>1100</v>
      </c>
      <c r="T255" s="748" t="s">
        <v>934</v>
      </c>
      <c r="U255" s="745"/>
      <c r="V255" s="745"/>
      <c r="W255" s="745"/>
      <c r="X255" s="748">
        <f t="shared" si="7"/>
        <v>1100</v>
      </c>
      <c r="Y255" s="751"/>
      <c r="Z255" s="751"/>
      <c r="AA255" s="751"/>
      <c r="AB255" s="751"/>
      <c r="AC255" s="751"/>
      <c r="AD255" s="751"/>
      <c r="AE255" s="751"/>
      <c r="AF255" s="751"/>
      <c r="AG255" s="751"/>
      <c r="AH255" s="751"/>
      <c r="AI255" s="751"/>
      <c r="AJ255" s="751"/>
      <c r="AK255" s="751"/>
      <c r="AL255" s="751"/>
      <c r="AM255" s="751"/>
      <c r="AN255" s="751"/>
      <c r="AO255" s="751"/>
      <c r="AP255" s="751"/>
      <c r="AQ255" s="751"/>
      <c r="AR255" s="751"/>
      <c r="AS255" s="751"/>
      <c r="AT255" s="751"/>
      <c r="AU255" s="751"/>
      <c r="AV255" s="751"/>
      <c r="AW255" s="751"/>
      <c r="AX255" s="751"/>
      <c r="AY255" s="751"/>
      <c r="AZ255" s="751"/>
      <c r="BA255" s="751"/>
      <c r="BB255" s="751"/>
      <c r="BC255" s="751"/>
      <c r="BD255" s="751"/>
      <c r="BE255" s="751"/>
      <c r="BF255" s="751"/>
    </row>
    <row r="256" spans="1:58" s="3" customFormat="1" ht="19.95" customHeight="1">
      <c r="A256" s="18">
        <v>264</v>
      </c>
      <c r="B256" s="634" t="s">
        <v>792</v>
      </c>
      <c r="C256" s="635" t="s">
        <v>793</v>
      </c>
      <c r="D256" s="634"/>
      <c r="E256" s="634" t="s">
        <v>792</v>
      </c>
      <c r="F256" s="19"/>
      <c r="G256" s="636" t="s">
        <v>38</v>
      </c>
      <c r="H256" s="636" t="s">
        <v>61</v>
      </c>
      <c r="I256" s="635" t="s">
        <v>34</v>
      </c>
      <c r="J256" s="636" t="s">
        <v>12</v>
      </c>
      <c r="K256" s="18">
        <v>1000</v>
      </c>
      <c r="L256" s="43">
        <v>46149</v>
      </c>
      <c r="M256" s="46">
        <v>0.5</v>
      </c>
      <c r="N256" s="634" t="s">
        <v>705</v>
      </c>
      <c r="O256" s="636" t="s">
        <v>35</v>
      </c>
      <c r="P256" s="708" t="s">
        <v>19</v>
      </c>
      <c r="Q256" s="792">
        <v>46149</v>
      </c>
      <c r="R256" s="359">
        <v>1000</v>
      </c>
      <c r="S256" s="109">
        <f t="shared" si="6"/>
        <v>0</v>
      </c>
      <c r="T256" s="18"/>
      <c r="U256" s="8"/>
      <c r="V256" s="8"/>
      <c r="W256" s="109"/>
      <c r="X256" s="40">
        <f t="shared" si="7"/>
        <v>0</v>
      </c>
      <c r="Y256" s="1"/>
      <c r="Z256" s="1"/>
    </row>
    <row r="257" spans="1:58" ht="19.95" customHeight="1">
      <c r="A257" s="18">
        <v>265</v>
      </c>
      <c r="B257" s="637" t="s">
        <v>794</v>
      </c>
      <c r="C257" s="638" t="s">
        <v>795</v>
      </c>
      <c r="D257" s="637"/>
      <c r="E257" s="637" t="s">
        <v>794</v>
      </c>
      <c r="F257" s="19">
        <v>7710007095</v>
      </c>
      <c r="G257" s="639" t="s">
        <v>38</v>
      </c>
      <c r="H257" s="639" t="s">
        <v>61</v>
      </c>
      <c r="I257" s="638" t="s">
        <v>34</v>
      </c>
      <c r="J257" s="639" t="s">
        <v>12</v>
      </c>
      <c r="K257" s="18">
        <v>1000</v>
      </c>
      <c r="L257" s="43">
        <v>46151</v>
      </c>
      <c r="M257" s="640" t="s">
        <v>356</v>
      </c>
      <c r="N257" s="637" t="s">
        <v>705</v>
      </c>
      <c r="O257" s="639" t="s">
        <v>35</v>
      </c>
      <c r="P257" s="708" t="s">
        <v>19</v>
      </c>
      <c r="Q257" s="792">
        <v>46151</v>
      </c>
      <c r="R257" s="8">
        <v>1000</v>
      </c>
      <c r="S257" s="109">
        <f t="shared" si="6"/>
        <v>0</v>
      </c>
      <c r="T257" s="617"/>
      <c r="U257" s="616"/>
      <c r="V257" s="616"/>
      <c r="W257" s="109"/>
      <c r="X257" s="40">
        <f t="shared" si="7"/>
        <v>0</v>
      </c>
    </row>
    <row r="258" spans="1:58" ht="19.95" customHeight="1">
      <c r="A258" s="18">
        <v>266</v>
      </c>
      <c r="B258" s="641" t="s">
        <v>796</v>
      </c>
      <c r="C258" s="719" t="s">
        <v>872</v>
      </c>
      <c r="D258" s="720"/>
      <c r="E258" s="641" t="s">
        <v>796</v>
      </c>
      <c r="F258" s="19">
        <v>9428008550</v>
      </c>
      <c r="G258" s="643" t="s">
        <v>38</v>
      </c>
      <c r="H258" s="643" t="s">
        <v>39</v>
      </c>
      <c r="I258" s="642" t="s">
        <v>34</v>
      </c>
      <c r="J258" s="643" t="s">
        <v>94</v>
      </c>
      <c r="K258" s="18">
        <v>2800</v>
      </c>
      <c r="L258" s="43">
        <v>46150</v>
      </c>
      <c r="M258" s="46">
        <v>0.5</v>
      </c>
      <c r="N258" s="695" t="s">
        <v>852</v>
      </c>
      <c r="O258" s="643" t="s">
        <v>197</v>
      </c>
      <c r="P258" s="708" t="s">
        <v>19</v>
      </c>
      <c r="Q258" s="792">
        <v>46150</v>
      </c>
      <c r="R258" s="8">
        <v>2800</v>
      </c>
      <c r="S258" s="109">
        <f t="shared" si="6"/>
        <v>0</v>
      </c>
      <c r="T258" s="876" t="s">
        <v>1006</v>
      </c>
      <c r="W258" s="109"/>
      <c r="X258" s="40">
        <f t="shared" si="7"/>
        <v>0</v>
      </c>
    </row>
    <row r="259" spans="1:58" ht="19.95" customHeight="1">
      <c r="A259" s="18">
        <v>267</v>
      </c>
      <c r="B259" s="641" t="s">
        <v>797</v>
      </c>
      <c r="C259" s="719" t="s">
        <v>798</v>
      </c>
      <c r="D259" s="720"/>
      <c r="E259" s="641" t="s">
        <v>797</v>
      </c>
      <c r="F259" s="19">
        <v>8879335511</v>
      </c>
      <c r="G259" s="643" t="s">
        <v>38</v>
      </c>
      <c r="H259" s="643" t="s">
        <v>61</v>
      </c>
      <c r="I259" s="642" t="s">
        <v>34</v>
      </c>
      <c r="J259" s="849" t="s">
        <v>12</v>
      </c>
      <c r="K259" s="18">
        <v>1000</v>
      </c>
      <c r="L259" s="43">
        <v>46150</v>
      </c>
      <c r="M259" s="46">
        <v>0.66666666666666663</v>
      </c>
      <c r="N259" s="856" t="s">
        <v>565</v>
      </c>
      <c r="O259" s="643" t="s">
        <v>35</v>
      </c>
      <c r="P259" s="785" t="s">
        <v>1</v>
      </c>
      <c r="Q259" s="850" t="s">
        <v>975</v>
      </c>
      <c r="R259" s="8">
        <v>1000</v>
      </c>
      <c r="S259" s="109">
        <f t="shared" ref="S259:S322" si="8">K259-R259</f>
        <v>0</v>
      </c>
      <c r="W259" s="109"/>
      <c r="X259" s="40">
        <f t="shared" ref="X259:X322" si="9">S259-W259</f>
        <v>0</v>
      </c>
    </row>
    <row r="260" spans="1:58" s="752" customFormat="1" ht="19.95" customHeight="1">
      <c r="A260" s="748">
        <v>268</v>
      </c>
      <c r="B260" s="746" t="s">
        <v>799</v>
      </c>
      <c r="C260" s="745" t="s">
        <v>800</v>
      </c>
      <c r="D260" s="745"/>
      <c r="E260" s="748"/>
      <c r="F260" s="747"/>
      <c r="G260" s="748" t="s">
        <v>375</v>
      </c>
      <c r="H260" s="748" t="s">
        <v>801</v>
      </c>
      <c r="I260" s="745" t="s">
        <v>802</v>
      </c>
      <c r="J260" s="748" t="s">
        <v>94</v>
      </c>
      <c r="K260" s="748">
        <v>7000</v>
      </c>
      <c r="L260" s="749">
        <v>46153</v>
      </c>
      <c r="M260" s="750">
        <v>0.625</v>
      </c>
      <c r="N260" s="746" t="s">
        <v>705</v>
      </c>
      <c r="O260" s="748" t="s">
        <v>35</v>
      </c>
      <c r="P260" s="748"/>
      <c r="Q260" s="745"/>
      <c r="R260" s="745"/>
      <c r="S260" s="745">
        <f t="shared" si="8"/>
        <v>7000</v>
      </c>
      <c r="T260" s="748"/>
      <c r="U260" s="745"/>
      <c r="V260" s="745"/>
      <c r="W260" s="745"/>
      <c r="X260" s="748">
        <f t="shared" si="9"/>
        <v>7000</v>
      </c>
      <c r="Y260" s="751"/>
      <c r="Z260" s="751"/>
      <c r="AA260" s="751"/>
      <c r="AB260" s="751"/>
      <c r="AC260" s="751"/>
      <c r="AD260" s="751"/>
      <c r="AE260" s="751"/>
      <c r="AF260" s="751"/>
      <c r="AG260" s="751"/>
      <c r="AH260" s="751"/>
      <c r="AI260" s="751"/>
      <c r="AJ260" s="751"/>
      <c r="AK260" s="751"/>
      <c r="AL260" s="751"/>
      <c r="AM260" s="751"/>
      <c r="AN260" s="751"/>
      <c r="AO260" s="751"/>
      <c r="AP260" s="751"/>
      <c r="AQ260" s="751"/>
      <c r="AR260" s="751"/>
      <c r="AS260" s="751"/>
      <c r="AT260" s="751"/>
      <c r="AU260" s="751"/>
      <c r="AV260" s="751"/>
      <c r="AW260" s="751"/>
      <c r="AX260" s="751"/>
      <c r="AY260" s="751"/>
      <c r="AZ260" s="751"/>
      <c r="BA260" s="751"/>
      <c r="BB260" s="751"/>
      <c r="BC260" s="751"/>
      <c r="BD260" s="751"/>
      <c r="BE260" s="751"/>
      <c r="BF260" s="751"/>
    </row>
    <row r="261" spans="1:58" ht="19.95" customHeight="1">
      <c r="A261" s="18">
        <v>269</v>
      </c>
      <c r="B261" s="644" t="s">
        <v>803</v>
      </c>
      <c r="C261" s="645" t="s">
        <v>804</v>
      </c>
      <c r="D261" s="644"/>
      <c r="E261" s="644" t="s">
        <v>803</v>
      </c>
      <c r="G261" s="646" t="s">
        <v>38</v>
      </c>
      <c r="H261" s="646" t="s">
        <v>39</v>
      </c>
      <c r="I261" s="645" t="s">
        <v>34</v>
      </c>
      <c r="J261" s="646" t="s">
        <v>12</v>
      </c>
      <c r="K261" s="18">
        <v>800</v>
      </c>
      <c r="L261" s="43">
        <v>46150</v>
      </c>
      <c r="M261" s="46">
        <v>0.79166666666666663</v>
      </c>
      <c r="N261" s="644" t="s">
        <v>705</v>
      </c>
      <c r="O261" s="646" t="s">
        <v>35</v>
      </c>
      <c r="P261" s="708" t="s">
        <v>19</v>
      </c>
      <c r="Q261" s="792">
        <v>46150</v>
      </c>
      <c r="R261" s="8">
        <v>800</v>
      </c>
      <c r="S261" s="109">
        <f t="shared" si="8"/>
        <v>0</v>
      </c>
      <c r="W261" s="109"/>
      <c r="X261" s="40">
        <f t="shared" si="9"/>
        <v>0</v>
      </c>
    </row>
    <row r="262" spans="1:58" ht="19.95" customHeight="1">
      <c r="A262" s="18">
        <v>270</v>
      </c>
      <c r="B262" s="726" t="s">
        <v>875</v>
      </c>
      <c r="C262" s="648" t="s">
        <v>806</v>
      </c>
      <c r="D262" s="647"/>
      <c r="E262" s="647" t="s">
        <v>805</v>
      </c>
      <c r="F262" s="649" t="s">
        <v>807</v>
      </c>
      <c r="G262" s="269" t="s">
        <v>75</v>
      </c>
      <c r="H262" s="650" t="s">
        <v>39</v>
      </c>
      <c r="I262" s="648" t="s">
        <v>34</v>
      </c>
      <c r="J262" s="650" t="s">
        <v>15</v>
      </c>
      <c r="K262" s="18">
        <v>2500</v>
      </c>
      <c r="L262" s="43">
        <v>46151</v>
      </c>
      <c r="M262" s="651" t="s">
        <v>649</v>
      </c>
      <c r="N262" s="647" t="s">
        <v>705</v>
      </c>
      <c r="O262" s="650" t="s">
        <v>35</v>
      </c>
      <c r="P262" s="740" t="s">
        <v>19</v>
      </c>
      <c r="Q262" s="529">
        <v>46151</v>
      </c>
      <c r="R262" s="8">
        <v>1250</v>
      </c>
      <c r="S262" s="109">
        <f t="shared" si="8"/>
        <v>1250</v>
      </c>
      <c r="U262" s="742" t="s">
        <v>19</v>
      </c>
      <c r="V262" s="529">
        <v>46163</v>
      </c>
      <c r="W262" s="109">
        <v>1250</v>
      </c>
      <c r="X262" s="40">
        <f t="shared" si="9"/>
        <v>0</v>
      </c>
    </row>
    <row r="263" spans="1:58" ht="19.95" customHeight="1">
      <c r="A263" s="18">
        <v>271</v>
      </c>
      <c r="B263" s="856" t="s">
        <v>974</v>
      </c>
      <c r="C263" s="648" t="s">
        <v>809</v>
      </c>
      <c r="D263" s="647"/>
      <c r="E263" s="647" t="s">
        <v>808</v>
      </c>
      <c r="G263" s="650" t="s">
        <v>38</v>
      </c>
      <c r="H263" s="650" t="s">
        <v>61</v>
      </c>
      <c r="I263" s="648" t="s">
        <v>34</v>
      </c>
      <c r="J263" s="849" t="s">
        <v>12</v>
      </c>
      <c r="K263" s="18">
        <v>1000</v>
      </c>
      <c r="L263" s="43">
        <v>46151</v>
      </c>
      <c r="M263" s="46">
        <v>0.5</v>
      </c>
      <c r="N263" s="647" t="s">
        <v>705</v>
      </c>
      <c r="O263" s="650" t="s">
        <v>35</v>
      </c>
      <c r="P263" s="708" t="s">
        <v>19</v>
      </c>
      <c r="Q263" s="792">
        <v>46151</v>
      </c>
      <c r="R263" s="8">
        <v>1000</v>
      </c>
      <c r="S263" s="109">
        <f t="shared" si="8"/>
        <v>0</v>
      </c>
      <c r="W263" s="109"/>
      <c r="X263" s="40">
        <f t="shared" si="9"/>
        <v>0</v>
      </c>
    </row>
    <row r="264" spans="1:58" ht="19.95" customHeight="1">
      <c r="A264" s="18">
        <v>272</v>
      </c>
      <c r="B264" s="652" t="s">
        <v>810</v>
      </c>
      <c r="C264" s="690" t="s">
        <v>811</v>
      </c>
      <c r="D264" s="942"/>
      <c r="E264" s="652" t="s">
        <v>810</v>
      </c>
      <c r="F264" s="19">
        <v>9930401964</v>
      </c>
      <c r="G264" s="654" t="s">
        <v>38</v>
      </c>
      <c r="H264" s="654" t="s">
        <v>55</v>
      </c>
      <c r="I264" s="653" t="s">
        <v>34</v>
      </c>
      <c r="J264" s="654" t="s">
        <v>12</v>
      </c>
      <c r="K264" s="18">
        <v>800</v>
      </c>
      <c r="L264" s="43">
        <v>46151</v>
      </c>
      <c r="M264" s="46">
        <v>0.41666666666666669</v>
      </c>
      <c r="N264" s="652" t="s">
        <v>705</v>
      </c>
      <c r="O264" s="654" t="s">
        <v>35</v>
      </c>
      <c r="P264" s="708" t="s">
        <v>19</v>
      </c>
      <c r="Q264" s="792">
        <v>46151</v>
      </c>
      <c r="R264" s="8">
        <v>800</v>
      </c>
      <c r="S264" s="109">
        <f t="shared" si="8"/>
        <v>0</v>
      </c>
      <c r="W264" s="109"/>
      <c r="X264" s="40">
        <f t="shared" si="9"/>
        <v>0</v>
      </c>
    </row>
    <row r="265" spans="1:58" ht="19.95" customHeight="1">
      <c r="A265" s="18">
        <v>273</v>
      </c>
      <c r="B265" s="655" t="s">
        <v>812</v>
      </c>
      <c r="C265" s="719" t="s">
        <v>813</v>
      </c>
      <c r="D265" s="720"/>
      <c r="E265" s="655" t="s">
        <v>812</v>
      </c>
      <c r="F265" s="19">
        <v>9970103052</v>
      </c>
      <c r="G265" s="671" t="s">
        <v>375</v>
      </c>
      <c r="H265" s="657" t="s">
        <v>39</v>
      </c>
      <c r="I265" s="656" t="s">
        <v>34</v>
      </c>
      <c r="J265" s="657" t="s">
        <v>15</v>
      </c>
      <c r="K265" s="18">
        <v>2000</v>
      </c>
      <c r="L265" s="43">
        <v>46151</v>
      </c>
      <c r="M265" s="46">
        <v>0.54166666666666663</v>
      </c>
      <c r="N265" s="655" t="s">
        <v>705</v>
      </c>
      <c r="O265" s="657" t="s">
        <v>35</v>
      </c>
      <c r="P265" s="785" t="s">
        <v>1</v>
      </c>
      <c r="Q265" s="529">
        <v>46182</v>
      </c>
      <c r="R265" s="8">
        <v>2000</v>
      </c>
      <c r="S265" s="109">
        <f t="shared" si="8"/>
        <v>0</v>
      </c>
      <c r="W265" s="109"/>
      <c r="X265" s="40">
        <f t="shared" si="9"/>
        <v>0</v>
      </c>
    </row>
    <row r="266" spans="1:58" ht="19.95" customHeight="1">
      <c r="A266" s="18">
        <v>274</v>
      </c>
      <c r="B266" s="658" t="s">
        <v>816</v>
      </c>
      <c r="C266" s="719" t="s">
        <v>814</v>
      </c>
      <c r="D266" s="720"/>
      <c r="E266" s="658" t="s">
        <v>816</v>
      </c>
      <c r="F266" s="19">
        <v>9860594005</v>
      </c>
      <c r="G266" s="660" t="s">
        <v>38</v>
      </c>
      <c r="H266" s="660" t="s">
        <v>61</v>
      </c>
      <c r="I266" s="659" t="s">
        <v>34</v>
      </c>
      <c r="J266" s="660" t="s">
        <v>94</v>
      </c>
      <c r="K266" s="18">
        <v>3000</v>
      </c>
      <c r="L266" s="43">
        <v>46152</v>
      </c>
      <c r="M266" s="46">
        <v>0.5</v>
      </c>
      <c r="N266" s="658" t="s">
        <v>705</v>
      </c>
      <c r="O266" s="660" t="s">
        <v>35</v>
      </c>
      <c r="P266" s="708" t="s">
        <v>19</v>
      </c>
      <c r="Q266" s="792">
        <v>46152</v>
      </c>
      <c r="R266" s="8">
        <v>3000</v>
      </c>
      <c r="S266" s="109">
        <f t="shared" si="8"/>
        <v>0</v>
      </c>
      <c r="T266" s="876" t="s">
        <v>1003</v>
      </c>
      <c r="W266" s="109"/>
      <c r="X266" s="40">
        <f t="shared" si="9"/>
        <v>0</v>
      </c>
    </row>
    <row r="267" spans="1:58" s="752" customFormat="1" ht="19.95" customHeight="1">
      <c r="A267" s="748">
        <v>275</v>
      </c>
      <c r="B267" s="746" t="s">
        <v>815</v>
      </c>
      <c r="C267" s="745" t="s">
        <v>817</v>
      </c>
      <c r="D267" s="746"/>
      <c r="E267" s="746" t="s">
        <v>815</v>
      </c>
      <c r="F267" s="747">
        <v>8652750036</v>
      </c>
      <c r="G267" s="748" t="s">
        <v>38</v>
      </c>
      <c r="H267" s="748" t="s">
        <v>61</v>
      </c>
      <c r="I267" s="745" t="s">
        <v>34</v>
      </c>
      <c r="J267" s="748" t="s">
        <v>94</v>
      </c>
      <c r="K267" s="748">
        <v>3000</v>
      </c>
      <c r="L267" s="749">
        <v>46152</v>
      </c>
      <c r="M267" s="750">
        <v>0.41666666666666669</v>
      </c>
      <c r="N267" s="746" t="s">
        <v>705</v>
      </c>
      <c r="O267" s="748" t="s">
        <v>35</v>
      </c>
      <c r="P267" s="748"/>
      <c r="Q267" s="745"/>
      <c r="R267" s="745"/>
      <c r="S267" s="745">
        <f t="shared" si="8"/>
        <v>3000</v>
      </c>
      <c r="T267" s="748"/>
      <c r="U267" s="745"/>
      <c r="V267" s="745"/>
      <c r="W267" s="745"/>
      <c r="X267" s="748">
        <f t="shared" si="9"/>
        <v>3000</v>
      </c>
      <c r="Y267" s="751"/>
      <c r="Z267" s="751"/>
      <c r="AA267" s="751"/>
      <c r="AB267" s="751"/>
      <c r="AC267" s="751"/>
      <c r="AD267" s="751"/>
      <c r="AE267" s="751"/>
      <c r="AF267" s="751"/>
      <c r="AG267" s="751"/>
      <c r="AH267" s="751"/>
      <c r="AI267" s="751"/>
      <c r="AJ267" s="751"/>
      <c r="AK267" s="751"/>
      <c r="AL267" s="751"/>
      <c r="AM267" s="751"/>
      <c r="AN267" s="751"/>
      <c r="AO267" s="751"/>
      <c r="AP267" s="751"/>
      <c r="AQ267" s="751"/>
      <c r="AR267" s="751"/>
      <c r="AS267" s="751"/>
      <c r="AT267" s="751"/>
      <c r="AU267" s="751"/>
      <c r="AV267" s="751"/>
      <c r="AW267" s="751"/>
      <c r="AX267" s="751"/>
      <c r="AY267" s="751"/>
      <c r="AZ267" s="751"/>
      <c r="BA267" s="751"/>
      <c r="BB267" s="751"/>
      <c r="BC267" s="751"/>
      <c r="BD267" s="751"/>
      <c r="BE267" s="751"/>
      <c r="BF267" s="751"/>
    </row>
    <row r="268" spans="1:58" ht="19.95" customHeight="1">
      <c r="A268" s="18">
        <v>276</v>
      </c>
      <c r="B268" s="662" t="s">
        <v>818</v>
      </c>
      <c r="C268" s="661" t="s">
        <v>819</v>
      </c>
      <c r="D268" s="662"/>
      <c r="E268" s="662" t="s">
        <v>818</v>
      </c>
      <c r="F268" s="19">
        <v>9172306476</v>
      </c>
      <c r="G268" s="663" t="s">
        <v>38</v>
      </c>
      <c r="H268" s="663" t="s">
        <v>61</v>
      </c>
      <c r="I268" s="661" t="s">
        <v>34</v>
      </c>
      <c r="J268" s="663" t="s">
        <v>12</v>
      </c>
      <c r="K268" s="18">
        <v>1100</v>
      </c>
      <c r="L268" s="43">
        <v>46154</v>
      </c>
      <c r="M268" s="46">
        <v>0.54166666666666663</v>
      </c>
      <c r="N268" s="662" t="s">
        <v>705</v>
      </c>
      <c r="O268" s="663" t="s">
        <v>35</v>
      </c>
      <c r="P268" s="708" t="s">
        <v>19</v>
      </c>
      <c r="Q268" s="792">
        <v>46154</v>
      </c>
      <c r="R268" s="8">
        <v>1100</v>
      </c>
      <c r="S268" s="109">
        <f t="shared" si="8"/>
        <v>0</v>
      </c>
      <c r="W268" s="109"/>
      <c r="X268" s="40">
        <f t="shared" si="9"/>
        <v>0</v>
      </c>
    </row>
    <row r="269" spans="1:58" ht="19.95" customHeight="1">
      <c r="A269" s="18">
        <v>277</v>
      </c>
      <c r="B269" s="662" t="s">
        <v>820</v>
      </c>
      <c r="C269" s="661" t="s">
        <v>821</v>
      </c>
      <c r="D269" s="662"/>
      <c r="E269" s="662" t="s">
        <v>820</v>
      </c>
      <c r="F269" s="19">
        <v>9168217745</v>
      </c>
      <c r="G269" s="269" t="s">
        <v>75</v>
      </c>
      <c r="H269" s="663" t="s">
        <v>39</v>
      </c>
      <c r="I269" s="661" t="s">
        <v>34</v>
      </c>
      <c r="J269" s="663" t="s">
        <v>12</v>
      </c>
      <c r="K269" s="18">
        <v>1400</v>
      </c>
      <c r="L269" s="43">
        <v>46154</v>
      </c>
      <c r="M269" s="664" t="s">
        <v>247</v>
      </c>
      <c r="N269" s="662" t="s">
        <v>705</v>
      </c>
      <c r="O269" s="663" t="s">
        <v>35</v>
      </c>
      <c r="P269" s="708" t="s">
        <v>1</v>
      </c>
      <c r="Q269" s="792">
        <v>46154</v>
      </c>
      <c r="R269" s="8">
        <v>1400</v>
      </c>
      <c r="S269" s="109">
        <f t="shared" si="8"/>
        <v>0</v>
      </c>
      <c r="W269" s="109"/>
      <c r="X269" s="40">
        <f t="shared" si="9"/>
        <v>0</v>
      </c>
    </row>
    <row r="270" spans="1:58" ht="19.95" customHeight="1">
      <c r="A270" s="18">
        <v>278</v>
      </c>
      <c r="B270" s="667" t="s">
        <v>824</v>
      </c>
      <c r="C270" s="668" t="s">
        <v>825</v>
      </c>
      <c r="D270" s="667"/>
      <c r="E270" s="667" t="s">
        <v>824</v>
      </c>
      <c r="F270" s="19">
        <v>9273607678</v>
      </c>
      <c r="G270" s="669" t="s">
        <v>38</v>
      </c>
      <c r="H270" s="669" t="s">
        <v>39</v>
      </c>
      <c r="I270" s="668" t="s">
        <v>34</v>
      </c>
      <c r="J270" s="669" t="s">
        <v>12</v>
      </c>
      <c r="K270" s="18">
        <v>700</v>
      </c>
      <c r="L270" s="43">
        <v>46154</v>
      </c>
      <c r="M270" s="46">
        <v>0.625</v>
      </c>
      <c r="N270" s="667" t="s">
        <v>148</v>
      </c>
      <c r="O270" s="669" t="s">
        <v>35</v>
      </c>
      <c r="P270" s="708" t="s">
        <v>1</v>
      </c>
      <c r="Q270" s="792">
        <v>46154</v>
      </c>
      <c r="R270" s="8">
        <v>700</v>
      </c>
      <c r="S270" s="109">
        <f t="shared" si="8"/>
        <v>0</v>
      </c>
      <c r="W270" s="109"/>
      <c r="X270" s="40">
        <f t="shared" si="9"/>
        <v>0</v>
      </c>
    </row>
    <row r="271" spans="1:58" ht="19.95" customHeight="1">
      <c r="A271" s="18">
        <v>279</v>
      </c>
      <c r="B271" s="667" t="s">
        <v>826</v>
      </c>
      <c r="C271" s="719" t="s">
        <v>827</v>
      </c>
      <c r="D271" s="720"/>
      <c r="E271" s="667" t="s">
        <v>826</v>
      </c>
      <c r="F271" s="725" t="s">
        <v>828</v>
      </c>
      <c r="G271" s="708" t="s">
        <v>829</v>
      </c>
      <c r="H271" s="671" t="s">
        <v>227</v>
      </c>
      <c r="I271" s="670" t="s">
        <v>830</v>
      </c>
      <c r="J271" s="671" t="s">
        <v>94</v>
      </c>
      <c r="K271" s="705">
        <v>11000</v>
      </c>
      <c r="L271" s="43">
        <v>46155</v>
      </c>
      <c r="M271" s="46">
        <v>0.45833333333333331</v>
      </c>
      <c r="N271" s="695" t="s">
        <v>851</v>
      </c>
      <c r="O271" s="671" t="s">
        <v>35</v>
      </c>
      <c r="P271" s="708" t="s">
        <v>19</v>
      </c>
      <c r="Q271" s="792">
        <v>46155</v>
      </c>
      <c r="R271" s="8">
        <v>6500</v>
      </c>
      <c r="S271" s="109">
        <f t="shared" si="8"/>
        <v>4500</v>
      </c>
      <c r="T271" s="708" t="s">
        <v>873</v>
      </c>
      <c r="U271" s="616"/>
      <c r="V271" s="616"/>
      <c r="W271" s="109"/>
      <c r="X271" s="40">
        <f t="shared" si="9"/>
        <v>4500</v>
      </c>
    </row>
    <row r="272" spans="1:58" ht="19.95" customHeight="1">
      <c r="A272" s="18">
        <v>280</v>
      </c>
      <c r="B272" s="675" t="s">
        <v>831</v>
      </c>
      <c r="C272" s="676" t="s">
        <v>832</v>
      </c>
      <c r="D272" s="675"/>
      <c r="E272" s="675" t="s">
        <v>831</v>
      </c>
      <c r="F272" s="19">
        <v>9309202267</v>
      </c>
      <c r="G272" s="269" t="s">
        <v>75</v>
      </c>
      <c r="H272" s="672" t="s">
        <v>55</v>
      </c>
      <c r="I272" s="673" t="s">
        <v>34</v>
      </c>
      <c r="J272" s="672" t="s">
        <v>15</v>
      </c>
      <c r="K272" s="18">
        <v>2400</v>
      </c>
      <c r="L272" s="43">
        <v>46155</v>
      </c>
      <c r="M272" s="46">
        <v>0.66666666666666663</v>
      </c>
      <c r="N272" s="674" t="s">
        <v>705</v>
      </c>
      <c r="O272" s="672" t="s">
        <v>35</v>
      </c>
      <c r="P272" s="708" t="s">
        <v>1</v>
      </c>
      <c r="Q272" s="792">
        <v>46155</v>
      </c>
      <c r="R272" s="8">
        <v>1200</v>
      </c>
      <c r="S272" s="109">
        <f t="shared" si="8"/>
        <v>1200</v>
      </c>
      <c r="W272" s="109"/>
      <c r="X272" s="40">
        <f t="shared" si="9"/>
        <v>1200</v>
      </c>
    </row>
    <row r="273" spans="1:25" ht="19.95" customHeight="1">
      <c r="A273" s="18">
        <v>281</v>
      </c>
      <c r="B273" s="677" t="s">
        <v>833</v>
      </c>
      <c r="C273" s="678" t="s">
        <v>834</v>
      </c>
      <c r="D273" s="677"/>
      <c r="E273" s="677" t="s">
        <v>833</v>
      </c>
      <c r="F273" s="19">
        <v>9137821462</v>
      </c>
      <c r="G273" s="679" t="s">
        <v>781</v>
      </c>
      <c r="H273" s="672" t="s">
        <v>55</v>
      </c>
      <c r="I273" s="673" t="s">
        <v>34</v>
      </c>
      <c r="J273" s="679" t="s">
        <v>12</v>
      </c>
      <c r="K273" s="18">
        <v>1200</v>
      </c>
      <c r="L273" s="43">
        <v>46157</v>
      </c>
      <c r="M273" s="46">
        <v>0.70833333333333337</v>
      </c>
      <c r="N273" s="677" t="s">
        <v>705</v>
      </c>
      <c r="O273" s="679" t="s">
        <v>35</v>
      </c>
      <c r="P273" s="708" t="s">
        <v>1</v>
      </c>
      <c r="Q273" s="792">
        <v>46157</v>
      </c>
      <c r="R273" s="8">
        <v>1200</v>
      </c>
      <c r="S273" s="109">
        <f t="shared" si="8"/>
        <v>0</v>
      </c>
      <c r="W273" s="109"/>
      <c r="X273" s="40">
        <f t="shared" si="9"/>
        <v>0</v>
      </c>
    </row>
    <row r="274" spans="1:25" ht="19.95" customHeight="1">
      <c r="A274" s="18">
        <v>282</v>
      </c>
      <c r="B274" s="665" t="s">
        <v>822</v>
      </c>
      <c r="C274" s="719" t="s">
        <v>871</v>
      </c>
      <c r="D274" s="720"/>
      <c r="E274" s="665" t="s">
        <v>822</v>
      </c>
      <c r="F274" s="19">
        <v>8898123039</v>
      </c>
      <c r="G274" s="458" t="s">
        <v>375</v>
      </c>
      <c r="H274" s="666" t="s">
        <v>61</v>
      </c>
      <c r="I274" s="656" t="s">
        <v>34</v>
      </c>
      <c r="J274" s="666" t="s">
        <v>823</v>
      </c>
      <c r="K274" s="18">
        <v>4000</v>
      </c>
      <c r="L274" s="43">
        <v>46158</v>
      </c>
      <c r="M274" s="46">
        <v>0.41666666666666669</v>
      </c>
      <c r="N274" s="695" t="s">
        <v>851</v>
      </c>
      <c r="O274" s="657" t="s">
        <v>35</v>
      </c>
      <c r="P274" s="708" t="s">
        <v>19</v>
      </c>
      <c r="Q274" s="792">
        <v>46158</v>
      </c>
      <c r="R274" s="8">
        <v>1500</v>
      </c>
      <c r="S274" s="109">
        <f t="shared" si="8"/>
        <v>2500</v>
      </c>
      <c r="T274" s="876" t="s">
        <v>1005</v>
      </c>
      <c r="W274" s="109"/>
      <c r="X274" s="40">
        <f t="shared" si="9"/>
        <v>2500</v>
      </c>
    </row>
    <row r="275" spans="1:25" ht="19.95" customHeight="1">
      <c r="A275" s="18">
        <v>283</v>
      </c>
      <c r="B275" s="684" t="s">
        <v>841</v>
      </c>
      <c r="C275" s="685" t="s">
        <v>842</v>
      </c>
      <c r="D275" s="684"/>
      <c r="E275" s="684" t="s">
        <v>841</v>
      </c>
      <c r="F275" s="19">
        <v>9819038317</v>
      </c>
      <c r="G275" s="686" t="s">
        <v>38</v>
      </c>
      <c r="H275" s="686" t="s">
        <v>61</v>
      </c>
      <c r="I275" s="685" t="s">
        <v>34</v>
      </c>
      <c r="J275" s="686" t="s">
        <v>12</v>
      </c>
      <c r="K275" s="18">
        <v>1600</v>
      </c>
      <c r="L275" s="43">
        <v>46158</v>
      </c>
      <c r="M275" s="46">
        <v>0.66666666666666663</v>
      </c>
      <c r="N275" s="695" t="s">
        <v>851</v>
      </c>
      <c r="O275" s="686" t="s">
        <v>35</v>
      </c>
      <c r="P275" s="708" t="s">
        <v>19</v>
      </c>
      <c r="Q275" s="792">
        <v>46158</v>
      </c>
      <c r="R275" s="719">
        <v>1600</v>
      </c>
      <c r="S275" s="109">
        <f t="shared" si="8"/>
        <v>0</v>
      </c>
      <c r="W275" s="109"/>
      <c r="X275" s="40">
        <f t="shared" si="9"/>
        <v>0</v>
      </c>
    </row>
    <row r="276" spans="1:25" ht="19.95" customHeight="1">
      <c r="A276" s="18">
        <v>284</v>
      </c>
      <c r="B276" s="687" t="s">
        <v>843</v>
      </c>
      <c r="C276" s="689" t="s">
        <v>844</v>
      </c>
      <c r="D276" s="687"/>
      <c r="E276" s="687" t="s">
        <v>843</v>
      </c>
      <c r="F276" s="19">
        <v>8291305036</v>
      </c>
      <c r="G276" s="679" t="s">
        <v>781</v>
      </c>
      <c r="H276" s="672" t="s">
        <v>55</v>
      </c>
      <c r="I276" s="673" t="s">
        <v>34</v>
      </c>
      <c r="J276" s="688" t="s">
        <v>15</v>
      </c>
      <c r="K276" s="18">
        <v>2500</v>
      </c>
      <c r="L276" s="43">
        <v>46158</v>
      </c>
      <c r="M276" s="46">
        <v>0.66666666666666663</v>
      </c>
      <c r="N276" s="695" t="s">
        <v>851</v>
      </c>
      <c r="O276" s="688" t="s">
        <v>35</v>
      </c>
      <c r="P276" s="708" t="s">
        <v>19</v>
      </c>
      <c r="Q276" s="792">
        <v>46158</v>
      </c>
      <c r="R276" s="8">
        <v>1300</v>
      </c>
      <c r="S276" s="109">
        <f t="shared" si="8"/>
        <v>1200</v>
      </c>
      <c r="W276" s="109"/>
      <c r="X276" s="40">
        <f t="shared" si="9"/>
        <v>1200</v>
      </c>
    </row>
    <row r="277" spans="1:25" ht="19.95" customHeight="1">
      <c r="A277" s="18">
        <v>285</v>
      </c>
      <c r="B277" s="720" t="s">
        <v>845</v>
      </c>
      <c r="C277" s="719" t="s">
        <v>846</v>
      </c>
      <c r="D277" s="720"/>
      <c r="E277" s="695" t="s">
        <v>845</v>
      </c>
      <c r="F277" s="19">
        <v>7738259556</v>
      </c>
      <c r="G277" s="693" t="s">
        <v>38</v>
      </c>
      <c r="H277" s="694" t="s">
        <v>61</v>
      </c>
      <c r="I277" s="692" t="s">
        <v>34</v>
      </c>
      <c r="J277" s="700" t="s">
        <v>94</v>
      </c>
      <c r="K277" s="18">
        <v>3500</v>
      </c>
      <c r="L277" s="43">
        <v>46158</v>
      </c>
      <c r="M277" s="46">
        <v>0.5</v>
      </c>
      <c r="N277" s="695" t="s">
        <v>851</v>
      </c>
      <c r="O277" s="693" t="s">
        <v>35</v>
      </c>
      <c r="P277" s="700" t="s">
        <v>19</v>
      </c>
      <c r="Q277" s="744">
        <v>46158</v>
      </c>
      <c r="R277" s="701">
        <v>3500</v>
      </c>
      <c r="S277" s="109">
        <f t="shared" si="8"/>
        <v>0</v>
      </c>
      <c r="T277" s="876" t="s">
        <v>1002</v>
      </c>
      <c r="W277" s="109"/>
      <c r="X277" s="40">
        <f t="shared" si="9"/>
        <v>0</v>
      </c>
    </row>
    <row r="278" spans="1:25" ht="19.95" customHeight="1">
      <c r="A278" s="8">
        <v>286</v>
      </c>
      <c r="B278" s="695" t="s">
        <v>850</v>
      </c>
      <c r="C278" s="692" t="s">
        <v>848</v>
      </c>
      <c r="D278" s="691"/>
      <c r="E278" s="695" t="s">
        <v>850</v>
      </c>
      <c r="F278" s="14" t="s">
        <v>847</v>
      </c>
      <c r="G278" s="692" t="s">
        <v>38</v>
      </c>
      <c r="H278" s="692" t="s">
        <v>39</v>
      </c>
      <c r="I278" s="692" t="s">
        <v>34</v>
      </c>
      <c r="J278" s="692" t="s">
        <v>12</v>
      </c>
      <c r="K278" s="706" t="s">
        <v>860</v>
      </c>
      <c r="L278" s="43">
        <v>46158</v>
      </c>
      <c r="M278" s="46">
        <v>0.45833333333333331</v>
      </c>
      <c r="N278" s="698" t="s">
        <v>852</v>
      </c>
      <c r="O278" s="691" t="s">
        <v>849</v>
      </c>
      <c r="P278" s="701" t="s">
        <v>16</v>
      </c>
      <c r="Q278" s="744">
        <v>46158</v>
      </c>
      <c r="R278" s="850" t="s">
        <v>16</v>
      </c>
      <c r="S278" s="109" t="e">
        <f t="shared" si="8"/>
        <v>#VALUE!</v>
      </c>
      <c r="T278" s="8"/>
      <c r="W278" s="109"/>
      <c r="X278" s="40" t="e">
        <f t="shared" si="9"/>
        <v>#VALUE!</v>
      </c>
    </row>
    <row r="279" spans="1:25" ht="19.95" customHeight="1">
      <c r="A279" s="18">
        <v>287</v>
      </c>
      <c r="B279" s="680" t="s">
        <v>835</v>
      </c>
      <c r="C279" s="681" t="s">
        <v>836</v>
      </c>
      <c r="D279" s="681"/>
      <c r="F279" s="682" t="s">
        <v>837</v>
      </c>
      <c r="G279" s="269" t="s">
        <v>75</v>
      </c>
      <c r="H279" s="683" t="s">
        <v>838</v>
      </c>
      <c r="I279" s="656" t="s">
        <v>34</v>
      </c>
      <c r="J279" s="672" t="s">
        <v>15</v>
      </c>
      <c r="K279" s="18">
        <v>12600</v>
      </c>
      <c r="L279" s="43">
        <v>46159</v>
      </c>
      <c r="M279" s="46">
        <v>0.41666666666666669</v>
      </c>
      <c r="N279" s="655" t="s">
        <v>705</v>
      </c>
      <c r="O279" s="657" t="s">
        <v>35</v>
      </c>
      <c r="P279" s="740" t="s">
        <v>890</v>
      </c>
      <c r="Q279" s="743">
        <v>46164</v>
      </c>
      <c r="R279" s="8">
        <v>12600</v>
      </c>
      <c r="S279" s="109">
        <f t="shared" si="8"/>
        <v>0</v>
      </c>
      <c r="W279" s="109"/>
      <c r="X279" s="40">
        <f t="shared" si="9"/>
        <v>0</v>
      </c>
    </row>
    <row r="280" spans="1:25" ht="19.95" customHeight="1">
      <c r="A280" s="8">
        <v>288</v>
      </c>
      <c r="B280" s="696" t="s">
        <v>853</v>
      </c>
      <c r="C280" s="697" t="s">
        <v>854</v>
      </c>
      <c r="D280" s="696"/>
      <c r="E280" s="696" t="s">
        <v>853</v>
      </c>
      <c r="F280" s="14">
        <v>7387489855</v>
      </c>
      <c r="G280" s="697" t="s">
        <v>38</v>
      </c>
      <c r="H280" s="697" t="s">
        <v>39</v>
      </c>
      <c r="I280" s="697" t="s">
        <v>34</v>
      </c>
      <c r="J280" s="697" t="s">
        <v>12</v>
      </c>
      <c r="K280" s="8">
        <v>800</v>
      </c>
      <c r="L280" s="43">
        <v>46159</v>
      </c>
      <c r="M280" s="46">
        <v>0.625</v>
      </c>
      <c r="N280" s="696" t="s">
        <v>705</v>
      </c>
      <c r="O280" s="697" t="s">
        <v>35</v>
      </c>
      <c r="P280" s="701" t="s">
        <v>1</v>
      </c>
      <c r="Q280" s="744">
        <v>46159</v>
      </c>
      <c r="R280" s="701">
        <v>800</v>
      </c>
      <c r="S280" s="109">
        <f t="shared" si="8"/>
        <v>0</v>
      </c>
      <c r="T280" s="8"/>
      <c r="W280" s="109"/>
      <c r="X280" s="40">
        <f t="shared" si="9"/>
        <v>0</v>
      </c>
    </row>
    <row r="281" spans="1:25" ht="19.95" customHeight="1">
      <c r="A281" s="18">
        <v>289</v>
      </c>
      <c r="B281" s="720" t="s">
        <v>855</v>
      </c>
      <c r="C281" s="719" t="s">
        <v>839</v>
      </c>
      <c r="D281" s="719"/>
      <c r="E281" s="18" t="s">
        <v>856</v>
      </c>
      <c r="F281" s="19">
        <v>7977121140</v>
      </c>
      <c r="G281" s="458" t="s">
        <v>375</v>
      </c>
      <c r="H281" s="683" t="s">
        <v>617</v>
      </c>
      <c r="I281" s="457" t="s">
        <v>395</v>
      </c>
      <c r="J281" s="666" t="s">
        <v>823</v>
      </c>
      <c r="K281" s="18">
        <v>3500</v>
      </c>
      <c r="L281" s="43">
        <v>46160</v>
      </c>
      <c r="M281" s="46">
        <v>0.45833333333333331</v>
      </c>
      <c r="N281" s="696" t="s">
        <v>135</v>
      </c>
      <c r="O281" s="683" t="s">
        <v>148</v>
      </c>
      <c r="P281" s="740" t="s">
        <v>19</v>
      </c>
      <c r="Q281" s="529">
        <v>46162</v>
      </c>
      <c r="R281" s="8">
        <v>2500</v>
      </c>
      <c r="S281" s="109">
        <f t="shared" si="8"/>
        <v>1000</v>
      </c>
      <c r="T281" s="876" t="s">
        <v>1004</v>
      </c>
      <c r="W281" s="109"/>
      <c r="X281" s="40">
        <f t="shared" si="9"/>
        <v>1000</v>
      </c>
      <c r="Y281" s="741" t="s">
        <v>889</v>
      </c>
    </row>
    <row r="282" spans="1:25" ht="19.95" customHeight="1">
      <c r="A282" s="18">
        <v>290</v>
      </c>
      <c r="B282" s="615" t="s">
        <v>764</v>
      </c>
      <c r="C282" s="616" t="s">
        <v>765</v>
      </c>
      <c r="D282" s="615"/>
      <c r="E282" s="615" t="s">
        <v>764</v>
      </c>
      <c r="F282" s="19">
        <v>9763619094</v>
      </c>
      <c r="G282" s="617" t="s">
        <v>38</v>
      </c>
      <c r="H282" s="617" t="s">
        <v>39</v>
      </c>
      <c r="I282" s="616" t="s">
        <v>34</v>
      </c>
      <c r="J282" s="597" t="s">
        <v>94</v>
      </c>
      <c r="K282" s="18">
        <v>2400</v>
      </c>
      <c r="L282" s="43">
        <v>46160</v>
      </c>
      <c r="M282" s="46">
        <v>0.5</v>
      </c>
      <c r="N282" s="615" t="s">
        <v>705</v>
      </c>
      <c r="O282" s="617" t="s">
        <v>198</v>
      </c>
      <c r="P282" s="732" t="s">
        <v>1</v>
      </c>
      <c r="Q282" s="43">
        <v>46160</v>
      </c>
      <c r="R282" s="8">
        <v>1200</v>
      </c>
      <c r="S282" s="109">
        <f t="shared" si="8"/>
        <v>1200</v>
      </c>
      <c r="T282" s="876" t="s">
        <v>1001</v>
      </c>
      <c r="U282" s="616"/>
      <c r="V282" s="616"/>
      <c r="W282" s="109"/>
      <c r="X282" s="40">
        <f t="shared" si="9"/>
        <v>1200</v>
      </c>
    </row>
    <row r="283" spans="1:25" ht="19.95" customHeight="1">
      <c r="A283" s="18">
        <v>291</v>
      </c>
      <c r="B283" s="699" t="s">
        <v>858</v>
      </c>
      <c r="C283" s="701" t="s">
        <v>859</v>
      </c>
      <c r="D283" s="699"/>
      <c r="E283" s="699" t="s">
        <v>858</v>
      </c>
      <c r="F283" s="19" t="s">
        <v>857</v>
      </c>
      <c r="G283" s="269" t="s">
        <v>75</v>
      </c>
      <c r="H283" s="700" t="s">
        <v>61</v>
      </c>
      <c r="I283" s="701" t="s">
        <v>34</v>
      </c>
      <c r="J283" s="700" t="s">
        <v>15</v>
      </c>
      <c r="K283" s="18">
        <v>2500</v>
      </c>
      <c r="L283" s="43">
        <v>46161</v>
      </c>
      <c r="M283" s="46">
        <v>0.54166666666666663</v>
      </c>
      <c r="N283" s="699" t="s">
        <v>705</v>
      </c>
      <c r="O283" s="700" t="s">
        <v>35</v>
      </c>
      <c r="P283" s="732" t="s">
        <v>19</v>
      </c>
      <c r="Q283" s="43">
        <v>46161</v>
      </c>
      <c r="R283" s="8">
        <v>1250</v>
      </c>
      <c r="S283" s="109">
        <v>1250</v>
      </c>
      <c r="U283" s="909" t="s">
        <v>19</v>
      </c>
      <c r="V283" s="529">
        <v>46184</v>
      </c>
      <c r="W283" s="109">
        <v>1250</v>
      </c>
      <c r="X283" s="40">
        <f t="shared" si="9"/>
        <v>0</v>
      </c>
    </row>
    <row r="284" spans="1:25" ht="19.95" customHeight="1">
      <c r="A284" s="18">
        <v>292</v>
      </c>
      <c r="B284" s="707" t="s">
        <v>863</v>
      </c>
      <c r="C284" s="707" t="s">
        <v>865</v>
      </c>
      <c r="D284" s="707"/>
      <c r="E284" s="699" t="s">
        <v>861</v>
      </c>
      <c r="F284" s="19">
        <v>9049214423</v>
      </c>
      <c r="G284" s="700" t="s">
        <v>862</v>
      </c>
      <c r="H284" s="700" t="s">
        <v>864</v>
      </c>
      <c r="I284" s="701" t="s">
        <v>866</v>
      </c>
      <c r="J284" s="700" t="s">
        <v>867</v>
      </c>
      <c r="L284" s="43">
        <v>46161</v>
      </c>
      <c r="M284" s="46">
        <v>0.54166666666666663</v>
      </c>
      <c r="N284" s="699" t="s">
        <v>135</v>
      </c>
      <c r="O284" s="700" t="s">
        <v>197</v>
      </c>
      <c r="P284" s="849" t="s">
        <v>116</v>
      </c>
      <c r="S284" s="109">
        <f t="shared" si="8"/>
        <v>0</v>
      </c>
      <c r="T284" s="617"/>
      <c r="U284" s="616"/>
      <c r="V284" s="616"/>
      <c r="W284" s="109"/>
      <c r="X284" s="40">
        <f t="shared" si="9"/>
        <v>0</v>
      </c>
    </row>
    <row r="285" spans="1:25" ht="19.95" customHeight="1">
      <c r="A285" s="18">
        <v>295</v>
      </c>
      <c r="B285" s="728" t="s">
        <v>876</v>
      </c>
      <c r="C285" s="729" t="s">
        <v>877</v>
      </c>
      <c r="D285" s="728"/>
      <c r="E285" s="728" t="s">
        <v>876</v>
      </c>
      <c r="F285" s="19">
        <v>8308696084</v>
      </c>
      <c r="G285" s="730" t="s">
        <v>38</v>
      </c>
      <c r="H285" s="730" t="s">
        <v>39</v>
      </c>
      <c r="I285" s="729" t="s">
        <v>34</v>
      </c>
      <c r="J285" s="730" t="s">
        <v>12</v>
      </c>
      <c r="K285" s="18">
        <v>500</v>
      </c>
      <c r="L285" s="43">
        <v>46162</v>
      </c>
      <c r="M285" s="731" t="s">
        <v>356</v>
      </c>
      <c r="N285" s="728" t="s">
        <v>705</v>
      </c>
      <c r="O285" s="730" t="s">
        <v>198</v>
      </c>
      <c r="P285" s="740" t="s">
        <v>19</v>
      </c>
      <c r="Q285" s="529">
        <v>46162</v>
      </c>
      <c r="R285" s="8">
        <v>500</v>
      </c>
      <c r="S285" s="109">
        <f t="shared" si="8"/>
        <v>0</v>
      </c>
      <c r="W285" s="109"/>
      <c r="X285" s="40">
        <f t="shared" si="9"/>
        <v>0</v>
      </c>
    </row>
    <row r="286" spans="1:25" ht="19.95" customHeight="1">
      <c r="A286" s="18">
        <v>296</v>
      </c>
      <c r="B286" s="734" t="s">
        <v>879</v>
      </c>
      <c r="C286" s="735" t="s">
        <v>880</v>
      </c>
      <c r="D286" s="735"/>
      <c r="E286" s="736" t="s">
        <v>881</v>
      </c>
      <c r="F286" s="19">
        <v>8291076386</v>
      </c>
      <c r="G286" s="736" t="s">
        <v>38</v>
      </c>
      <c r="H286" s="736" t="s">
        <v>61</v>
      </c>
      <c r="I286" s="735" t="s">
        <v>34</v>
      </c>
      <c r="J286" s="736" t="s">
        <v>94</v>
      </c>
      <c r="K286" s="18">
        <v>2800</v>
      </c>
      <c r="L286" s="43">
        <v>46163</v>
      </c>
      <c r="M286" s="46">
        <v>0.58333333333333337</v>
      </c>
      <c r="N286" s="734" t="s">
        <v>565</v>
      </c>
      <c r="O286" s="736" t="s">
        <v>35</v>
      </c>
      <c r="P286" s="736" t="s">
        <v>1</v>
      </c>
      <c r="Q286" s="529">
        <v>46163</v>
      </c>
      <c r="R286" s="8">
        <v>2800</v>
      </c>
      <c r="S286" s="109">
        <f t="shared" si="8"/>
        <v>0</v>
      </c>
      <c r="T286" s="876" t="s">
        <v>1007</v>
      </c>
      <c r="W286" s="109"/>
      <c r="X286" s="40">
        <f t="shared" si="9"/>
        <v>0</v>
      </c>
    </row>
    <row r="287" spans="1:25" ht="19.95" customHeight="1">
      <c r="A287" s="18">
        <v>297</v>
      </c>
      <c r="B287" s="734" t="s">
        <v>882</v>
      </c>
      <c r="C287" s="735" t="s">
        <v>883</v>
      </c>
      <c r="D287" s="735"/>
      <c r="E287" s="736" t="s">
        <v>882</v>
      </c>
      <c r="F287" s="19">
        <v>8793062212</v>
      </c>
      <c r="G287" s="736" t="s">
        <v>884</v>
      </c>
      <c r="H287" s="736" t="s">
        <v>61</v>
      </c>
      <c r="I287" s="735" t="s">
        <v>34</v>
      </c>
      <c r="J287" s="736" t="s">
        <v>885</v>
      </c>
      <c r="K287" s="18">
        <v>5000</v>
      </c>
      <c r="L287" s="43">
        <v>46166</v>
      </c>
      <c r="M287" s="46">
        <v>0.58333333333333337</v>
      </c>
      <c r="N287" s="734" t="s">
        <v>231</v>
      </c>
      <c r="O287" s="736" t="s">
        <v>35</v>
      </c>
      <c r="P287" s="765" t="s">
        <v>1</v>
      </c>
      <c r="Q287" s="529">
        <v>46166</v>
      </c>
      <c r="R287" s="8">
        <v>5000</v>
      </c>
      <c r="S287" s="109">
        <f t="shared" si="8"/>
        <v>0</v>
      </c>
      <c r="W287" s="109"/>
      <c r="X287" s="40">
        <f t="shared" si="9"/>
        <v>0</v>
      </c>
    </row>
    <row r="288" spans="1:25" ht="19.95" customHeight="1">
      <c r="A288" s="18">
        <v>298</v>
      </c>
      <c r="B288" s="737" t="s">
        <v>886</v>
      </c>
      <c r="C288" s="738" t="s">
        <v>887</v>
      </c>
      <c r="D288" s="738"/>
      <c r="E288" s="739" t="s">
        <v>888</v>
      </c>
      <c r="F288" s="19">
        <v>9820335581</v>
      </c>
      <c r="G288" s="739" t="s">
        <v>286</v>
      </c>
      <c r="H288" s="739" t="s">
        <v>227</v>
      </c>
      <c r="I288" s="738" t="s">
        <v>34</v>
      </c>
      <c r="J288" s="739" t="s">
        <v>12</v>
      </c>
      <c r="K288" s="18">
        <v>650</v>
      </c>
      <c r="L288" s="43">
        <v>46164</v>
      </c>
      <c r="M288" s="46">
        <v>0.58333333333333337</v>
      </c>
      <c r="N288" s="737" t="s">
        <v>231</v>
      </c>
      <c r="O288" s="760" t="s">
        <v>148</v>
      </c>
      <c r="S288" s="109">
        <f t="shared" si="8"/>
        <v>650</v>
      </c>
      <c r="W288" s="109"/>
      <c r="X288" s="40">
        <f t="shared" si="9"/>
        <v>650</v>
      </c>
    </row>
    <row r="289" spans="1:58" ht="19.95" customHeight="1">
      <c r="A289" s="18">
        <v>299</v>
      </c>
      <c r="B289" s="754" t="s">
        <v>891</v>
      </c>
      <c r="C289" s="755" t="s">
        <v>892</v>
      </c>
      <c r="D289" s="755"/>
      <c r="E289" s="757" t="s">
        <v>893</v>
      </c>
      <c r="F289" s="756">
        <v>9004843834</v>
      </c>
      <c r="G289" s="757" t="s">
        <v>894</v>
      </c>
      <c r="H289" s="757" t="s">
        <v>39</v>
      </c>
      <c r="I289" s="755" t="s">
        <v>34</v>
      </c>
      <c r="J289" s="757" t="s">
        <v>12</v>
      </c>
      <c r="L289" s="43">
        <v>46165</v>
      </c>
      <c r="M289" s="46">
        <v>0.41666666666666669</v>
      </c>
      <c r="N289" s="823" t="s">
        <v>231</v>
      </c>
      <c r="O289" s="757" t="s">
        <v>198</v>
      </c>
      <c r="P289" s="803" t="s">
        <v>16</v>
      </c>
      <c r="Q289" s="529">
        <v>46165</v>
      </c>
      <c r="R289" s="850" t="s">
        <v>16</v>
      </c>
      <c r="S289" s="109"/>
      <c r="W289" s="109"/>
      <c r="X289" s="40">
        <f t="shared" si="9"/>
        <v>0</v>
      </c>
    </row>
    <row r="290" spans="1:58" ht="19.95" customHeight="1">
      <c r="A290" s="18">
        <v>300</v>
      </c>
      <c r="B290" s="758" t="s">
        <v>895</v>
      </c>
      <c r="C290" s="759" t="s">
        <v>896</v>
      </c>
      <c r="D290" s="759"/>
      <c r="E290" s="760" t="s">
        <v>897</v>
      </c>
      <c r="F290" s="19">
        <v>9799405582</v>
      </c>
      <c r="G290" s="760" t="s">
        <v>38</v>
      </c>
      <c r="H290" s="760" t="s">
        <v>39</v>
      </c>
      <c r="I290" s="759" t="s">
        <v>34</v>
      </c>
      <c r="J290" s="760" t="s">
        <v>12</v>
      </c>
      <c r="K290" s="18">
        <v>900</v>
      </c>
      <c r="L290" s="43">
        <v>46166</v>
      </c>
      <c r="M290" s="46">
        <v>0.70833333333333337</v>
      </c>
      <c r="N290" s="758" t="s">
        <v>231</v>
      </c>
      <c r="O290" s="760" t="s">
        <v>35</v>
      </c>
      <c r="P290" s="760" t="s">
        <v>19</v>
      </c>
      <c r="Q290" s="529">
        <v>46166</v>
      </c>
      <c r="R290" s="8">
        <v>900</v>
      </c>
      <c r="S290" s="109">
        <f t="shared" si="8"/>
        <v>0</v>
      </c>
      <c r="W290" s="109"/>
      <c r="X290" s="40">
        <f t="shared" si="9"/>
        <v>0</v>
      </c>
    </row>
    <row r="291" spans="1:58" ht="19.95" customHeight="1">
      <c r="A291" s="18">
        <v>301</v>
      </c>
      <c r="B291" s="758" t="s">
        <v>898</v>
      </c>
      <c r="C291" s="759" t="s">
        <v>899</v>
      </c>
      <c r="D291" s="759"/>
      <c r="E291" s="783" t="s">
        <v>900</v>
      </c>
      <c r="F291" s="19">
        <v>9028300064</v>
      </c>
      <c r="G291" s="760" t="s">
        <v>38</v>
      </c>
      <c r="H291" s="760" t="s">
        <v>39</v>
      </c>
      <c r="I291" s="759" t="s">
        <v>34</v>
      </c>
      <c r="J291" s="760" t="s">
        <v>12</v>
      </c>
      <c r="K291" s="18">
        <v>600</v>
      </c>
      <c r="L291" s="43">
        <v>46165</v>
      </c>
      <c r="M291" s="761" t="s">
        <v>901</v>
      </c>
      <c r="N291" s="758" t="s">
        <v>231</v>
      </c>
      <c r="O291" s="760" t="s">
        <v>148</v>
      </c>
      <c r="Q291" s="529">
        <v>46165</v>
      </c>
      <c r="S291" s="109">
        <f t="shared" si="8"/>
        <v>600</v>
      </c>
      <c r="W291" s="109"/>
      <c r="X291" s="40">
        <f t="shared" si="9"/>
        <v>600</v>
      </c>
    </row>
    <row r="292" spans="1:58" ht="19.95" customHeight="1">
      <c r="A292" s="18">
        <v>302</v>
      </c>
      <c r="B292" s="762" t="s">
        <v>902</v>
      </c>
      <c r="C292" s="763" t="s">
        <v>903</v>
      </c>
      <c r="D292" s="763"/>
      <c r="E292" s="764" t="s">
        <v>904</v>
      </c>
      <c r="F292" s="19">
        <v>9167752976</v>
      </c>
      <c r="G292" s="764" t="s">
        <v>38</v>
      </c>
      <c r="H292" s="764" t="s">
        <v>61</v>
      </c>
      <c r="I292" s="759" t="s">
        <v>34</v>
      </c>
      <c r="J292" s="764" t="s">
        <v>12</v>
      </c>
      <c r="K292" s="18">
        <v>1100</v>
      </c>
      <c r="L292" s="43">
        <v>46168</v>
      </c>
      <c r="M292" s="46">
        <v>0.625</v>
      </c>
      <c r="N292" s="762" t="s">
        <v>231</v>
      </c>
      <c r="O292" s="764" t="s">
        <v>35</v>
      </c>
      <c r="P292" s="803" t="s">
        <v>19</v>
      </c>
      <c r="Q292" s="529">
        <v>46168</v>
      </c>
      <c r="R292" s="763">
        <v>1100</v>
      </c>
      <c r="S292" s="109">
        <f t="shared" si="8"/>
        <v>0</v>
      </c>
      <c r="W292" s="109"/>
      <c r="X292" s="40">
        <f t="shared" si="9"/>
        <v>0</v>
      </c>
    </row>
    <row r="293" spans="1:58" ht="19.95" customHeight="1">
      <c r="A293" s="18">
        <v>303</v>
      </c>
      <c r="B293" s="877" t="s">
        <v>925</v>
      </c>
      <c r="C293" s="766" t="s">
        <v>906</v>
      </c>
      <c r="D293" s="766"/>
      <c r="E293" s="767" t="s">
        <v>905</v>
      </c>
      <c r="F293" s="19">
        <v>8888533322</v>
      </c>
      <c r="G293" s="767" t="s">
        <v>38</v>
      </c>
      <c r="H293" s="767" t="s">
        <v>70</v>
      </c>
      <c r="I293" s="759" t="s">
        <v>34</v>
      </c>
      <c r="J293" s="794" t="s">
        <v>94</v>
      </c>
      <c r="K293" s="18">
        <v>3500</v>
      </c>
      <c r="L293" s="43">
        <v>46168</v>
      </c>
      <c r="M293" s="768" t="s">
        <v>907</v>
      </c>
      <c r="N293" s="772" t="s">
        <v>108</v>
      </c>
      <c r="O293" s="767" t="s">
        <v>35</v>
      </c>
      <c r="P293" s="803" t="s">
        <v>19</v>
      </c>
      <c r="Q293" s="529">
        <v>46168</v>
      </c>
      <c r="R293" s="8">
        <v>3500</v>
      </c>
      <c r="S293" s="109">
        <f t="shared" si="8"/>
        <v>0</v>
      </c>
      <c r="T293" s="876" t="s">
        <v>1000</v>
      </c>
      <c r="W293" s="109"/>
      <c r="X293" s="40">
        <f t="shared" si="9"/>
        <v>0</v>
      </c>
    </row>
    <row r="294" spans="1:58" ht="19.95" customHeight="1">
      <c r="A294" s="18">
        <v>304</v>
      </c>
      <c r="B294" s="877" t="s">
        <v>926</v>
      </c>
      <c r="C294" s="878" t="s">
        <v>909</v>
      </c>
      <c r="D294" s="878"/>
      <c r="E294" s="770" t="s">
        <v>908</v>
      </c>
      <c r="F294" s="19">
        <v>9821126917</v>
      </c>
      <c r="G294" s="770" t="s">
        <v>38</v>
      </c>
      <c r="H294" s="770" t="s">
        <v>61</v>
      </c>
      <c r="I294" s="759" t="s">
        <v>34</v>
      </c>
      <c r="J294" s="794" t="s">
        <v>94</v>
      </c>
      <c r="K294" s="18">
        <v>1800</v>
      </c>
      <c r="L294" s="43">
        <v>46167</v>
      </c>
      <c r="M294" s="771" t="s">
        <v>910</v>
      </c>
      <c r="N294" s="769" t="s">
        <v>135</v>
      </c>
      <c r="O294" s="770" t="s">
        <v>911</v>
      </c>
      <c r="P294" s="770" t="s">
        <v>1</v>
      </c>
      <c r="Q294" s="529">
        <v>46167</v>
      </c>
      <c r="R294" s="8">
        <v>1800</v>
      </c>
      <c r="S294" s="109">
        <f t="shared" si="8"/>
        <v>0</v>
      </c>
      <c r="T294" s="876" t="s">
        <v>999</v>
      </c>
      <c r="W294" s="109"/>
      <c r="X294" s="40">
        <f t="shared" si="9"/>
        <v>0</v>
      </c>
    </row>
    <row r="295" spans="1:58" ht="19.95" customHeight="1">
      <c r="A295" s="18">
        <v>305</v>
      </c>
      <c r="B295" s="777" t="s">
        <v>915</v>
      </c>
      <c r="C295" s="773" t="s">
        <v>912</v>
      </c>
      <c r="D295" s="773"/>
      <c r="E295" s="774" t="s">
        <v>913</v>
      </c>
      <c r="F295" s="775" t="s">
        <v>914</v>
      </c>
      <c r="G295" s="269" t="s">
        <v>75</v>
      </c>
      <c r="H295" s="774" t="s">
        <v>39</v>
      </c>
      <c r="I295" s="759" t="s">
        <v>34</v>
      </c>
      <c r="J295" s="774" t="s">
        <v>15</v>
      </c>
      <c r="K295" s="18">
        <v>3400</v>
      </c>
      <c r="L295" s="43">
        <v>46172</v>
      </c>
      <c r="M295" s="776">
        <v>0.41666666666666669</v>
      </c>
      <c r="N295" s="772" t="s">
        <v>231</v>
      </c>
      <c r="O295" s="774" t="s">
        <v>35</v>
      </c>
      <c r="P295" s="805" t="s">
        <v>19</v>
      </c>
      <c r="Q295" s="529">
        <v>46172</v>
      </c>
      <c r="R295" s="8">
        <v>3400</v>
      </c>
      <c r="S295" s="109">
        <f t="shared" si="8"/>
        <v>0</v>
      </c>
      <c r="W295" s="109"/>
      <c r="X295" s="40">
        <f t="shared" si="9"/>
        <v>0</v>
      </c>
    </row>
    <row r="296" spans="1:58" s="752" customFormat="1" ht="19.95" customHeight="1">
      <c r="A296" s="748">
        <v>306</v>
      </c>
      <c r="B296" s="746" t="s">
        <v>916</v>
      </c>
      <c r="C296" s="745" t="s">
        <v>917</v>
      </c>
      <c r="D296" s="746"/>
      <c r="E296" s="746" t="s">
        <v>918</v>
      </c>
      <c r="F296" s="747">
        <v>8080442889</v>
      </c>
      <c r="G296" s="748" t="s">
        <v>884</v>
      </c>
      <c r="H296" s="748" t="s">
        <v>39</v>
      </c>
      <c r="I296" s="745" t="s">
        <v>34</v>
      </c>
      <c r="J296" s="748" t="s">
        <v>15</v>
      </c>
      <c r="K296" s="748">
        <v>4300</v>
      </c>
      <c r="L296" s="749">
        <v>46171</v>
      </c>
      <c r="M296" s="750">
        <v>0.75</v>
      </c>
      <c r="N296" s="746" t="s">
        <v>231</v>
      </c>
      <c r="O296" s="748" t="s">
        <v>35</v>
      </c>
      <c r="P296" s="748"/>
      <c r="Q296" s="806"/>
      <c r="R296" s="745"/>
      <c r="S296" s="745">
        <f t="shared" si="8"/>
        <v>4300</v>
      </c>
      <c r="T296" s="748" t="s">
        <v>18</v>
      </c>
      <c r="U296" s="745"/>
      <c r="V296" s="745"/>
      <c r="W296" s="745"/>
      <c r="X296" s="748">
        <f t="shared" si="9"/>
        <v>4300</v>
      </c>
      <c r="Y296" s="751"/>
      <c r="Z296" s="751"/>
      <c r="AA296" s="751"/>
      <c r="AB296" s="751"/>
      <c r="AC296" s="751"/>
      <c r="AD296" s="751"/>
      <c r="AE296" s="751"/>
      <c r="AF296" s="751"/>
      <c r="AG296" s="751"/>
      <c r="AH296" s="751"/>
      <c r="AI296" s="751"/>
      <c r="AJ296" s="751"/>
      <c r="AK296" s="751"/>
      <c r="AL296" s="751"/>
      <c r="AM296" s="751"/>
      <c r="AN296" s="751"/>
      <c r="AO296" s="751"/>
      <c r="AP296" s="751"/>
      <c r="AQ296" s="751"/>
      <c r="AR296" s="751"/>
      <c r="AS296" s="751"/>
      <c r="AT296" s="751"/>
      <c r="AU296" s="751"/>
      <c r="AV296" s="751"/>
      <c r="AW296" s="751"/>
      <c r="AX296" s="751"/>
      <c r="AY296" s="751"/>
      <c r="AZ296" s="751"/>
      <c r="BA296" s="751"/>
      <c r="BB296" s="751"/>
      <c r="BC296" s="751"/>
      <c r="BD296" s="751"/>
      <c r="BE296" s="751"/>
      <c r="BF296" s="751"/>
    </row>
    <row r="297" spans="1:58" ht="19.95" customHeight="1">
      <c r="A297" s="18">
        <v>307</v>
      </c>
      <c r="B297" s="779" t="s">
        <v>919</v>
      </c>
      <c r="C297" s="778" t="s">
        <v>920</v>
      </c>
      <c r="D297" s="778"/>
      <c r="E297" s="780" t="s">
        <v>921</v>
      </c>
      <c r="F297" s="19">
        <v>7387795728</v>
      </c>
      <c r="G297" s="798" t="s">
        <v>930</v>
      </c>
      <c r="H297" s="780" t="s">
        <v>39</v>
      </c>
      <c r="I297" s="778" t="s">
        <v>34</v>
      </c>
      <c r="J297" s="798" t="s">
        <v>931</v>
      </c>
      <c r="K297" s="18">
        <v>4300</v>
      </c>
      <c r="L297" s="43">
        <v>46170</v>
      </c>
      <c r="M297" s="46">
        <v>0.5</v>
      </c>
      <c r="N297" s="804" t="s">
        <v>935</v>
      </c>
      <c r="O297" s="780" t="s">
        <v>35</v>
      </c>
      <c r="P297" s="812" t="s">
        <v>19</v>
      </c>
      <c r="Q297" s="529">
        <v>46170</v>
      </c>
      <c r="R297" s="8">
        <v>4300</v>
      </c>
      <c r="S297" s="109">
        <f t="shared" si="8"/>
        <v>0</v>
      </c>
      <c r="W297" s="109"/>
      <c r="X297" s="40">
        <f t="shared" si="9"/>
        <v>0</v>
      </c>
    </row>
    <row r="298" spans="1:58" ht="19.95" customHeight="1">
      <c r="A298" s="18">
        <v>308</v>
      </c>
      <c r="B298" s="877" t="s">
        <v>998</v>
      </c>
      <c r="C298" s="878" t="s">
        <v>923</v>
      </c>
      <c r="D298" s="877"/>
      <c r="E298" s="877" t="s">
        <v>998</v>
      </c>
      <c r="F298" s="793" t="s">
        <v>924</v>
      </c>
      <c r="G298" s="783" t="s">
        <v>38</v>
      </c>
      <c r="H298" s="783" t="s">
        <v>61</v>
      </c>
      <c r="I298" s="782" t="s">
        <v>34</v>
      </c>
      <c r="J298" s="794" t="s">
        <v>94</v>
      </c>
      <c r="K298" s="18">
        <v>2550</v>
      </c>
      <c r="L298" s="784">
        <v>46169</v>
      </c>
      <c r="M298" s="46">
        <v>0.625</v>
      </c>
      <c r="N298" s="781" t="s">
        <v>231</v>
      </c>
      <c r="O298" s="783" t="s">
        <v>197</v>
      </c>
      <c r="P298" s="803" t="s">
        <v>19</v>
      </c>
      <c r="Q298" s="529">
        <v>46169</v>
      </c>
      <c r="R298" s="8">
        <v>2550</v>
      </c>
      <c r="S298" s="109">
        <f t="shared" si="8"/>
        <v>0</v>
      </c>
      <c r="T298" s="876" t="s">
        <v>994</v>
      </c>
      <c r="W298" s="109"/>
      <c r="X298" s="40">
        <f t="shared" si="9"/>
        <v>0</v>
      </c>
    </row>
    <row r="299" spans="1:58" ht="19.95" customHeight="1">
      <c r="A299" s="18">
        <v>309</v>
      </c>
      <c r="B299" s="795" t="s">
        <v>927</v>
      </c>
      <c r="C299" s="796" t="s">
        <v>928</v>
      </c>
      <c r="D299" s="795"/>
      <c r="E299" s="795" t="s">
        <v>929</v>
      </c>
      <c r="F299" s="19">
        <v>9224798469</v>
      </c>
      <c r="G299" s="797" t="s">
        <v>38</v>
      </c>
      <c r="H299" s="797" t="s">
        <v>39</v>
      </c>
      <c r="I299" s="796" t="s">
        <v>34</v>
      </c>
      <c r="J299" s="797" t="s">
        <v>94</v>
      </c>
      <c r="K299" s="18">
        <v>3000</v>
      </c>
      <c r="L299" s="43">
        <v>46170</v>
      </c>
      <c r="M299" s="46">
        <v>0.5</v>
      </c>
      <c r="N299" s="795" t="s">
        <v>231</v>
      </c>
      <c r="O299" s="797" t="s">
        <v>35</v>
      </c>
      <c r="P299" s="803" t="s">
        <v>1</v>
      </c>
      <c r="Q299" s="529">
        <v>46170</v>
      </c>
      <c r="R299" s="8">
        <v>3000</v>
      </c>
      <c r="S299" s="109">
        <f t="shared" si="8"/>
        <v>0</v>
      </c>
      <c r="T299" s="876" t="s">
        <v>997</v>
      </c>
      <c r="U299" s="616"/>
      <c r="V299" s="616"/>
      <c r="W299" s="109"/>
      <c r="X299" s="40">
        <f t="shared" si="9"/>
        <v>0</v>
      </c>
    </row>
    <row r="300" spans="1:58" ht="19.95" customHeight="1">
      <c r="A300" s="18">
        <v>310</v>
      </c>
      <c r="B300" s="799" t="s">
        <v>932</v>
      </c>
      <c r="C300" s="802" t="s">
        <v>933</v>
      </c>
      <c r="D300" s="802"/>
      <c r="E300" s="801" t="s">
        <v>932</v>
      </c>
      <c r="F300" s="19">
        <v>9763889168</v>
      </c>
      <c r="G300" s="801" t="s">
        <v>38</v>
      </c>
      <c r="H300" s="801" t="s">
        <v>39</v>
      </c>
      <c r="I300" s="800" t="s">
        <v>34</v>
      </c>
      <c r="J300" s="801" t="s">
        <v>12</v>
      </c>
      <c r="K300" s="18">
        <v>1100</v>
      </c>
      <c r="L300" s="43">
        <v>46171</v>
      </c>
      <c r="M300" s="46">
        <v>0.41666666666666669</v>
      </c>
      <c r="N300" s="799" t="s">
        <v>231</v>
      </c>
      <c r="O300" s="801" t="s">
        <v>35</v>
      </c>
      <c r="P300" s="803" t="s">
        <v>19</v>
      </c>
      <c r="Q300" s="529">
        <v>46171</v>
      </c>
      <c r="R300" s="8">
        <v>1100</v>
      </c>
      <c r="S300" s="109">
        <f t="shared" si="8"/>
        <v>0</v>
      </c>
      <c r="W300" s="109"/>
      <c r="X300" s="40">
        <f t="shared" si="9"/>
        <v>0</v>
      </c>
    </row>
    <row r="301" spans="1:58" ht="19.95" customHeight="1">
      <c r="A301" s="805">
        <v>311</v>
      </c>
      <c r="B301" s="807" t="s">
        <v>936</v>
      </c>
      <c r="C301" s="808" t="s">
        <v>937</v>
      </c>
      <c r="D301" s="808"/>
      <c r="E301" s="805" t="s">
        <v>938</v>
      </c>
      <c r="F301" s="19">
        <v>9768488324</v>
      </c>
      <c r="G301" s="805" t="s">
        <v>38</v>
      </c>
      <c r="H301" s="805" t="s">
        <v>39</v>
      </c>
      <c r="I301" s="808" t="s">
        <v>34</v>
      </c>
      <c r="J301" s="805" t="s">
        <v>12</v>
      </c>
      <c r="K301" s="18">
        <v>800</v>
      </c>
      <c r="L301" s="43">
        <v>46174</v>
      </c>
      <c r="M301" s="46">
        <v>0.41666666666666669</v>
      </c>
      <c r="N301" s="807" t="s">
        <v>104</v>
      </c>
      <c r="O301" s="805" t="s">
        <v>35</v>
      </c>
      <c r="P301" s="825" t="s">
        <v>19</v>
      </c>
      <c r="Q301" s="529">
        <v>46174</v>
      </c>
      <c r="R301" s="8">
        <v>800</v>
      </c>
      <c r="S301" s="109">
        <f t="shared" si="8"/>
        <v>0</v>
      </c>
      <c r="W301" s="109"/>
      <c r="X301" s="40">
        <f t="shared" si="9"/>
        <v>0</v>
      </c>
    </row>
    <row r="302" spans="1:58" ht="19.95" customHeight="1">
      <c r="A302" s="18">
        <v>312</v>
      </c>
      <c r="B302" s="809" t="s">
        <v>939</v>
      </c>
      <c r="C302" s="810" t="s">
        <v>940</v>
      </c>
      <c r="D302" s="809"/>
      <c r="E302" s="809" t="s">
        <v>941</v>
      </c>
      <c r="F302" s="19">
        <v>8692890079</v>
      </c>
      <c r="G302" s="811" t="s">
        <v>305</v>
      </c>
      <c r="H302" s="811" t="s">
        <v>942</v>
      </c>
      <c r="I302" s="631" t="s">
        <v>34</v>
      </c>
      <c r="J302" s="632" t="s">
        <v>12</v>
      </c>
      <c r="K302" s="18">
        <v>500</v>
      </c>
      <c r="L302" s="43">
        <v>46172</v>
      </c>
      <c r="M302" s="46">
        <v>0.625</v>
      </c>
      <c r="N302" s="809" t="s">
        <v>231</v>
      </c>
      <c r="O302" s="632" t="s">
        <v>35</v>
      </c>
      <c r="P302" s="812" t="s">
        <v>19</v>
      </c>
      <c r="Q302" s="529">
        <v>46172</v>
      </c>
      <c r="R302" s="8">
        <v>500</v>
      </c>
      <c r="S302" s="109">
        <f t="shared" si="8"/>
        <v>0</v>
      </c>
      <c r="W302" s="109"/>
      <c r="X302" s="40">
        <f t="shared" si="9"/>
        <v>0</v>
      </c>
    </row>
    <row r="303" spans="1:58" ht="19.95" customHeight="1">
      <c r="A303" s="18">
        <v>313</v>
      </c>
      <c r="B303" s="813" t="s">
        <v>943</v>
      </c>
      <c r="C303" s="814" t="s">
        <v>944</v>
      </c>
      <c r="D303" s="813"/>
      <c r="E303" s="813" t="s">
        <v>943</v>
      </c>
      <c r="F303" s="19">
        <v>9619453633</v>
      </c>
      <c r="G303" s="815" t="s">
        <v>38</v>
      </c>
      <c r="H303" s="815" t="s">
        <v>39</v>
      </c>
      <c r="I303" s="814" t="s">
        <v>34</v>
      </c>
      <c r="J303" s="815" t="s">
        <v>12</v>
      </c>
      <c r="K303" s="18">
        <v>900</v>
      </c>
      <c r="L303" s="43">
        <v>46173</v>
      </c>
      <c r="M303" s="816" t="s">
        <v>247</v>
      </c>
      <c r="N303" s="813" t="s">
        <v>945</v>
      </c>
      <c r="O303" s="815" t="s">
        <v>35</v>
      </c>
      <c r="P303" s="822" t="s">
        <v>19</v>
      </c>
      <c r="Q303" s="529">
        <v>46173</v>
      </c>
      <c r="R303" s="8">
        <v>900</v>
      </c>
      <c r="S303" s="109">
        <f t="shared" si="8"/>
        <v>0</v>
      </c>
      <c r="W303" s="109"/>
      <c r="X303" s="40">
        <f t="shared" si="9"/>
        <v>0</v>
      </c>
    </row>
    <row r="304" spans="1:58" ht="19.95" customHeight="1">
      <c r="A304" s="18">
        <v>314</v>
      </c>
      <c r="B304" s="813" t="s">
        <v>946</v>
      </c>
      <c r="C304" s="814" t="s">
        <v>947</v>
      </c>
      <c r="D304" s="813"/>
      <c r="E304" s="813" t="s">
        <v>946</v>
      </c>
      <c r="F304" s="817" t="s">
        <v>948</v>
      </c>
      <c r="G304" s="815" t="s">
        <v>949</v>
      </c>
      <c r="H304" s="815" t="s">
        <v>39</v>
      </c>
      <c r="I304" s="814" t="s">
        <v>34</v>
      </c>
      <c r="J304" s="815" t="s">
        <v>94</v>
      </c>
      <c r="K304" s="18">
        <v>6000</v>
      </c>
      <c r="L304" s="43">
        <v>46173</v>
      </c>
      <c r="M304" s="46">
        <v>0.45833333333333331</v>
      </c>
      <c r="N304" s="813" t="s">
        <v>565</v>
      </c>
      <c r="O304" s="815" t="s">
        <v>950</v>
      </c>
      <c r="P304" s="822" t="s">
        <v>19</v>
      </c>
      <c r="Q304" s="529">
        <v>46173</v>
      </c>
      <c r="R304" s="8">
        <v>6000</v>
      </c>
      <c r="S304" s="109">
        <f t="shared" si="8"/>
        <v>0</v>
      </c>
      <c r="T304" s="875" t="s">
        <v>994</v>
      </c>
      <c r="W304" s="109"/>
      <c r="X304" s="40">
        <f t="shared" si="9"/>
        <v>0</v>
      </c>
    </row>
    <row r="305" spans="1:37" ht="19.95" customHeight="1">
      <c r="A305" s="18">
        <v>315</v>
      </c>
      <c r="B305" s="818" t="s">
        <v>952</v>
      </c>
      <c r="C305" s="819" t="s">
        <v>951</v>
      </c>
      <c r="D305" s="818"/>
      <c r="E305" s="818" t="s">
        <v>952</v>
      </c>
      <c r="F305" s="19">
        <v>9930405508</v>
      </c>
      <c r="G305" s="820" t="s">
        <v>38</v>
      </c>
      <c r="H305" s="820" t="s">
        <v>39</v>
      </c>
      <c r="I305" s="819" t="s">
        <v>34</v>
      </c>
      <c r="J305" s="820" t="s">
        <v>12</v>
      </c>
      <c r="K305" s="18">
        <v>700</v>
      </c>
      <c r="L305" s="43">
        <v>46173</v>
      </c>
      <c r="M305" s="46">
        <v>0.66666666666666663</v>
      </c>
      <c r="N305" s="818" t="s">
        <v>945</v>
      </c>
      <c r="O305" s="820" t="s">
        <v>35</v>
      </c>
      <c r="P305" s="832" t="s">
        <v>19</v>
      </c>
      <c r="Q305" s="529">
        <v>46174</v>
      </c>
      <c r="R305" s="8">
        <v>700</v>
      </c>
      <c r="S305" s="109">
        <f t="shared" si="8"/>
        <v>0</v>
      </c>
      <c r="W305" s="109"/>
      <c r="X305" s="40">
        <f t="shared" si="9"/>
        <v>0</v>
      </c>
    </row>
    <row r="306" spans="1:37" ht="19.95" customHeight="1">
      <c r="A306" s="18">
        <v>316</v>
      </c>
      <c r="B306" s="826" t="s">
        <v>398</v>
      </c>
      <c r="C306" s="827"/>
      <c r="D306" s="827"/>
      <c r="E306" s="832" t="s">
        <v>958</v>
      </c>
      <c r="F306" s="19">
        <v>88898647412</v>
      </c>
      <c r="G306" s="828" t="s">
        <v>38</v>
      </c>
      <c r="H306" s="828" t="s">
        <v>39</v>
      </c>
      <c r="I306" s="827" t="s">
        <v>34</v>
      </c>
      <c r="J306" s="821" t="s">
        <v>12</v>
      </c>
      <c r="K306" s="966" t="s">
        <v>16</v>
      </c>
      <c r="L306" s="43">
        <v>46175</v>
      </c>
      <c r="M306" s="46">
        <v>0.625</v>
      </c>
      <c r="N306" s="826" t="s">
        <v>231</v>
      </c>
      <c r="O306" s="828" t="s">
        <v>148</v>
      </c>
      <c r="P306" s="849" t="s">
        <v>16</v>
      </c>
      <c r="Q306" s="529">
        <v>46175</v>
      </c>
      <c r="R306" s="850" t="s">
        <v>16</v>
      </c>
      <c r="S306" s="109"/>
      <c r="T306" s="830" t="s">
        <v>954</v>
      </c>
      <c r="U306" s="829" t="s">
        <v>953</v>
      </c>
      <c r="W306" s="109"/>
      <c r="X306" s="40">
        <f t="shared" si="9"/>
        <v>0</v>
      </c>
    </row>
    <row r="307" spans="1:37" s="3" customFormat="1" ht="19.95" customHeight="1">
      <c r="A307" s="18">
        <v>317</v>
      </c>
      <c r="B307" s="216" t="s">
        <v>271</v>
      </c>
      <c r="C307" s="10" t="s">
        <v>270</v>
      </c>
      <c r="D307" s="10"/>
      <c r="E307" s="17" t="s">
        <v>272</v>
      </c>
      <c r="F307" s="19">
        <v>9892952555</v>
      </c>
      <c r="G307" s="17" t="s">
        <v>75</v>
      </c>
      <c r="H307" s="17" t="s">
        <v>39</v>
      </c>
      <c r="I307" s="35" t="s">
        <v>34</v>
      </c>
      <c r="J307" s="17" t="s">
        <v>15</v>
      </c>
      <c r="K307" s="18">
        <v>1800</v>
      </c>
      <c r="L307" s="43">
        <v>46170</v>
      </c>
      <c r="M307" s="46">
        <v>0.45833333333333331</v>
      </c>
      <c r="N307" s="831" t="s">
        <v>108</v>
      </c>
      <c r="O307" s="17" t="s">
        <v>198</v>
      </c>
      <c r="P307" s="273"/>
      <c r="Q307" s="359"/>
      <c r="R307" s="359"/>
      <c r="S307" s="109">
        <f t="shared" ref="S307" si="10">K307-R307</f>
        <v>1800</v>
      </c>
      <c r="T307" s="52"/>
      <c r="U307" s="254"/>
      <c r="V307" s="254"/>
      <c r="W307" s="109"/>
      <c r="X307" s="40">
        <f t="shared" si="9"/>
        <v>1800</v>
      </c>
      <c r="Y307" s="1"/>
      <c r="Z307" s="1"/>
    </row>
    <row r="308" spans="1:37" s="3" customFormat="1" ht="19.95" customHeight="1">
      <c r="A308" s="18">
        <v>318</v>
      </c>
      <c r="B308" s="599" t="s">
        <v>739</v>
      </c>
      <c r="C308" s="600" t="s">
        <v>740</v>
      </c>
      <c r="D308" s="600"/>
      <c r="E308" s="601" t="s">
        <v>743</v>
      </c>
      <c r="F308" s="19">
        <v>9004187349</v>
      </c>
      <c r="G308" s="601" t="s">
        <v>738</v>
      </c>
      <c r="H308" s="601" t="s">
        <v>291</v>
      </c>
      <c r="I308" s="600" t="s">
        <v>741</v>
      </c>
      <c r="J308" s="601" t="s">
        <v>12</v>
      </c>
      <c r="K308" s="601" t="s">
        <v>742</v>
      </c>
      <c r="L308" s="43">
        <v>46176</v>
      </c>
      <c r="M308" s="46">
        <v>0.54166666666666663</v>
      </c>
      <c r="N308" s="599" t="s">
        <v>135</v>
      </c>
      <c r="O308" s="601" t="s">
        <v>198</v>
      </c>
      <c r="P308" s="608" t="s">
        <v>116</v>
      </c>
      <c r="Q308" s="717"/>
      <c r="R308" s="717"/>
      <c r="S308" s="109"/>
      <c r="T308" s="18"/>
      <c r="U308" s="8"/>
      <c r="V308" s="8"/>
      <c r="W308" s="109"/>
      <c r="X308" s="40">
        <f t="shared" si="9"/>
        <v>0</v>
      </c>
      <c r="Y308" s="1"/>
      <c r="Z308" s="1"/>
    </row>
    <row r="309" spans="1:37" ht="19.95" customHeight="1">
      <c r="A309" s="18">
        <v>319</v>
      </c>
      <c r="B309" s="833" t="s">
        <v>955</v>
      </c>
      <c r="C309" s="834" t="s">
        <v>956</v>
      </c>
      <c r="D309" s="834"/>
      <c r="E309" s="832" t="s">
        <v>955</v>
      </c>
      <c r="F309" s="835" t="s">
        <v>957</v>
      </c>
      <c r="G309" s="832" t="s">
        <v>38</v>
      </c>
      <c r="H309" s="832" t="s">
        <v>61</v>
      </c>
      <c r="I309" s="834" t="s">
        <v>34</v>
      </c>
      <c r="J309" s="832" t="s">
        <v>94</v>
      </c>
      <c r="K309" s="18">
        <v>3000</v>
      </c>
      <c r="L309" s="43">
        <v>46177</v>
      </c>
      <c r="M309" s="46">
        <v>0.375</v>
      </c>
      <c r="N309" s="833" t="s">
        <v>231</v>
      </c>
      <c r="O309" s="832" t="s">
        <v>35</v>
      </c>
      <c r="P309" s="836" t="s">
        <v>19</v>
      </c>
      <c r="Q309" s="837">
        <v>46176</v>
      </c>
      <c r="R309" s="8">
        <v>3000</v>
      </c>
      <c r="S309" s="109">
        <f t="shared" si="8"/>
        <v>0</v>
      </c>
      <c r="T309" s="876" t="s">
        <v>996</v>
      </c>
      <c r="W309" s="109"/>
      <c r="X309" s="40">
        <f t="shared" si="9"/>
        <v>0</v>
      </c>
    </row>
    <row r="310" spans="1:37" ht="19.95" customHeight="1">
      <c r="A310" s="18">
        <v>320</v>
      </c>
      <c r="B310" s="838" t="s">
        <v>959</v>
      </c>
      <c r="C310" s="839" t="s">
        <v>960</v>
      </c>
      <c r="D310" s="839"/>
      <c r="E310" s="840" t="s">
        <v>959</v>
      </c>
      <c r="F310" s="19">
        <v>9819484917</v>
      </c>
      <c r="G310" s="840" t="s">
        <v>961</v>
      </c>
      <c r="H310" s="840" t="s">
        <v>962</v>
      </c>
      <c r="I310" s="839" t="s">
        <v>34</v>
      </c>
      <c r="J310" s="840" t="s">
        <v>12</v>
      </c>
      <c r="K310" s="18">
        <v>1000</v>
      </c>
      <c r="L310" s="43">
        <v>46175</v>
      </c>
      <c r="M310" s="46">
        <v>0.5</v>
      </c>
      <c r="N310" s="838" t="s">
        <v>231</v>
      </c>
      <c r="O310" s="840" t="s">
        <v>197</v>
      </c>
      <c r="P310" s="840" t="s">
        <v>19</v>
      </c>
      <c r="Q310" s="529">
        <v>46175</v>
      </c>
      <c r="R310" s="8">
        <v>1000</v>
      </c>
      <c r="S310" s="109">
        <f t="shared" si="8"/>
        <v>0</v>
      </c>
      <c r="W310" s="109"/>
      <c r="X310" s="40">
        <f t="shared" si="9"/>
        <v>0</v>
      </c>
    </row>
    <row r="311" spans="1:37" ht="19.95" customHeight="1">
      <c r="A311" s="18">
        <v>321</v>
      </c>
      <c r="B311" s="843" t="s">
        <v>964</v>
      </c>
      <c r="C311" s="844" t="s">
        <v>965</v>
      </c>
      <c r="D311" s="844"/>
      <c r="E311" s="845" t="s">
        <v>966</v>
      </c>
      <c r="F311" s="19">
        <v>8766730466</v>
      </c>
      <c r="G311" s="845" t="s">
        <v>961</v>
      </c>
      <c r="H311" s="845" t="s">
        <v>61</v>
      </c>
      <c r="I311" s="844" t="s">
        <v>34</v>
      </c>
      <c r="J311" s="845" t="s">
        <v>15</v>
      </c>
      <c r="K311" s="18">
        <v>3800</v>
      </c>
      <c r="L311" s="43">
        <v>46180</v>
      </c>
      <c r="M311" s="46">
        <v>0.54166666666666663</v>
      </c>
      <c r="N311" s="843" t="s">
        <v>231</v>
      </c>
      <c r="O311" s="845" t="s">
        <v>35</v>
      </c>
      <c r="P311" s="869" t="s">
        <v>1</v>
      </c>
      <c r="Q311" s="529">
        <v>46182</v>
      </c>
      <c r="R311" s="8">
        <v>3800</v>
      </c>
      <c r="S311" s="109">
        <f t="shared" si="8"/>
        <v>0</v>
      </c>
      <c r="W311" s="109"/>
      <c r="X311" s="40">
        <f t="shared" si="9"/>
        <v>0</v>
      </c>
    </row>
    <row r="312" spans="1:37" ht="19.95" customHeight="1">
      <c r="A312" s="18">
        <v>322</v>
      </c>
      <c r="B312" s="846" t="s">
        <v>967</v>
      </c>
      <c r="C312" s="847" t="s">
        <v>968</v>
      </c>
      <c r="D312" s="847"/>
      <c r="E312" s="848" t="s">
        <v>969</v>
      </c>
      <c r="F312" s="19">
        <v>8329406923</v>
      </c>
      <c r="G312" s="848" t="s">
        <v>38</v>
      </c>
      <c r="H312" s="858" t="s">
        <v>412</v>
      </c>
      <c r="I312" s="847" t="s">
        <v>34</v>
      </c>
      <c r="J312" s="848" t="s">
        <v>12</v>
      </c>
      <c r="K312" s="18">
        <v>900</v>
      </c>
      <c r="L312" s="43">
        <v>46179</v>
      </c>
      <c r="M312" s="46">
        <v>0.58333333333333337</v>
      </c>
      <c r="N312" s="846" t="s">
        <v>231</v>
      </c>
      <c r="O312" s="848" t="s">
        <v>148</v>
      </c>
      <c r="Q312" s="529">
        <v>46179</v>
      </c>
      <c r="R312" s="8">
        <v>900</v>
      </c>
      <c r="S312" s="109">
        <f t="shared" si="8"/>
        <v>0</v>
      </c>
      <c r="W312" s="109"/>
      <c r="X312" s="40">
        <f t="shared" si="9"/>
        <v>0</v>
      </c>
    </row>
    <row r="313" spans="1:37" ht="19.95" customHeight="1">
      <c r="A313" s="18">
        <v>323</v>
      </c>
      <c r="B313" s="857" t="s">
        <v>976</v>
      </c>
      <c r="C313" s="859" t="s">
        <v>977</v>
      </c>
      <c r="D313" s="859"/>
      <c r="F313" s="19">
        <v>9619163467</v>
      </c>
      <c r="G313" s="858" t="s">
        <v>38</v>
      </c>
      <c r="H313" s="858" t="s">
        <v>978</v>
      </c>
      <c r="I313" s="859" t="s">
        <v>34</v>
      </c>
      <c r="J313" s="858" t="s">
        <v>12</v>
      </c>
      <c r="K313" s="18">
        <v>500</v>
      </c>
      <c r="L313" s="43">
        <v>46179</v>
      </c>
      <c r="M313" s="46">
        <v>0.45833333333333331</v>
      </c>
      <c r="N313" s="857" t="s">
        <v>108</v>
      </c>
      <c r="O313" s="858" t="s">
        <v>148</v>
      </c>
      <c r="S313" s="109">
        <f t="shared" si="8"/>
        <v>500</v>
      </c>
      <c r="W313" s="109"/>
      <c r="X313" s="40">
        <f t="shared" si="9"/>
        <v>500</v>
      </c>
      <c r="AK313" s="3" t="s">
        <v>979</v>
      </c>
    </row>
    <row r="314" spans="1:37" ht="19.95" customHeight="1">
      <c r="A314" s="18">
        <v>324</v>
      </c>
      <c r="B314" s="860" t="s">
        <v>980</v>
      </c>
      <c r="C314" s="861" t="s">
        <v>981</v>
      </c>
      <c r="D314" s="861"/>
      <c r="E314" s="862" t="s">
        <v>982</v>
      </c>
      <c r="F314" s="19">
        <v>7020844659</v>
      </c>
      <c r="G314" s="862" t="s">
        <v>983</v>
      </c>
      <c r="H314" s="862" t="s">
        <v>39</v>
      </c>
      <c r="I314" s="861" t="s">
        <v>34</v>
      </c>
      <c r="J314" s="862" t="s">
        <v>12</v>
      </c>
      <c r="K314" s="862">
        <v>1000</v>
      </c>
      <c r="L314" s="43">
        <v>46179</v>
      </c>
      <c r="M314" s="863">
        <v>0.66666666666666663</v>
      </c>
      <c r="N314" s="860" t="s">
        <v>231</v>
      </c>
      <c r="O314" s="862" t="s">
        <v>35</v>
      </c>
      <c r="P314" s="869" t="s">
        <v>19</v>
      </c>
      <c r="Q314" s="870" t="s">
        <v>989</v>
      </c>
      <c r="R314" s="8">
        <v>1000</v>
      </c>
      <c r="S314" s="859"/>
      <c r="W314" s="109"/>
      <c r="X314" s="40">
        <f t="shared" si="9"/>
        <v>0</v>
      </c>
    </row>
    <row r="315" spans="1:37" ht="19.95" customHeight="1">
      <c r="A315" s="18">
        <v>325</v>
      </c>
      <c r="B315" s="866" t="s">
        <v>360</v>
      </c>
      <c r="C315" s="867" t="s">
        <v>986</v>
      </c>
      <c r="D315" s="867"/>
      <c r="E315" s="865" t="s">
        <v>984</v>
      </c>
      <c r="F315" s="19">
        <v>9321067373</v>
      </c>
      <c r="G315" s="916" t="s">
        <v>985</v>
      </c>
      <c r="H315" s="868" t="s">
        <v>987</v>
      </c>
      <c r="I315" s="867" t="s">
        <v>988</v>
      </c>
      <c r="J315" s="865" t="s">
        <v>15</v>
      </c>
      <c r="L315" s="43">
        <v>46180</v>
      </c>
      <c r="M315" s="46">
        <v>0.45833333333333331</v>
      </c>
      <c r="N315" s="864" t="s">
        <v>108</v>
      </c>
      <c r="O315" s="865" t="s">
        <v>148</v>
      </c>
      <c r="S315" s="109">
        <f t="shared" si="8"/>
        <v>0</v>
      </c>
      <c r="W315" s="109"/>
      <c r="X315" s="40">
        <f t="shared" si="9"/>
        <v>0</v>
      </c>
    </row>
    <row r="316" spans="1:37" ht="19.95" customHeight="1">
      <c r="A316" s="18">
        <v>326</v>
      </c>
      <c r="B316" s="874" t="s">
        <v>990</v>
      </c>
      <c r="C316" s="872" t="s">
        <v>991</v>
      </c>
      <c r="D316" s="871"/>
      <c r="E316" s="871" t="s">
        <v>990</v>
      </c>
      <c r="F316" s="19">
        <v>7559404700</v>
      </c>
      <c r="G316" s="873" t="s">
        <v>992</v>
      </c>
      <c r="H316" s="916" t="s">
        <v>55</v>
      </c>
      <c r="I316" s="872" t="s">
        <v>34</v>
      </c>
      <c r="J316" s="873" t="s">
        <v>94</v>
      </c>
      <c r="K316" s="18">
        <v>2800</v>
      </c>
      <c r="L316" s="913">
        <v>46180</v>
      </c>
      <c r="M316" s="46">
        <v>0.70833333333333337</v>
      </c>
      <c r="N316" s="871" t="s">
        <v>231</v>
      </c>
      <c r="O316" s="873" t="s">
        <v>35</v>
      </c>
      <c r="P316" s="873" t="s">
        <v>19</v>
      </c>
      <c r="Q316" s="529">
        <v>46180</v>
      </c>
      <c r="R316" s="8">
        <v>2800</v>
      </c>
      <c r="S316" s="109">
        <f t="shared" si="8"/>
        <v>0</v>
      </c>
      <c r="T316" s="875" t="s">
        <v>993</v>
      </c>
      <c r="W316" s="109"/>
      <c r="X316" s="40">
        <f t="shared" si="9"/>
        <v>0</v>
      </c>
    </row>
    <row r="317" spans="1:37" ht="19.95" customHeight="1">
      <c r="A317" s="18">
        <v>327</v>
      </c>
      <c r="B317" s="910" t="s">
        <v>1009</v>
      </c>
      <c r="C317" s="911" t="s">
        <v>1010</v>
      </c>
      <c r="D317" s="911"/>
      <c r="E317" s="912" t="s">
        <v>1011</v>
      </c>
      <c r="F317" s="19">
        <v>9136135503</v>
      </c>
      <c r="G317" s="912" t="s">
        <v>38</v>
      </c>
      <c r="H317" s="912" t="s">
        <v>1013</v>
      </c>
      <c r="I317" s="981" t="s">
        <v>1014</v>
      </c>
      <c r="J317" s="912" t="s">
        <v>1012</v>
      </c>
      <c r="K317" s="18">
        <v>4500</v>
      </c>
      <c r="L317" s="43">
        <v>46185</v>
      </c>
      <c r="M317" s="46">
        <v>0.45833333333333331</v>
      </c>
      <c r="N317" s="910" t="s">
        <v>231</v>
      </c>
      <c r="O317" s="912" t="s">
        <v>1015</v>
      </c>
      <c r="P317" s="947" t="s">
        <v>19</v>
      </c>
      <c r="Q317" s="529">
        <v>46186</v>
      </c>
      <c r="R317" s="8">
        <v>4500</v>
      </c>
      <c r="S317" s="109">
        <f t="shared" si="8"/>
        <v>0</v>
      </c>
      <c r="W317" s="109"/>
      <c r="X317" s="40">
        <f t="shared" si="9"/>
        <v>0</v>
      </c>
    </row>
    <row r="318" spans="1:37" ht="19.95" customHeight="1">
      <c r="A318" s="18">
        <v>328</v>
      </c>
      <c r="B318" s="914" t="s">
        <v>1016</v>
      </c>
      <c r="C318" s="915" t="s">
        <v>1017</v>
      </c>
      <c r="D318" s="915"/>
      <c r="E318" s="916" t="s">
        <v>1016</v>
      </c>
      <c r="F318" s="19">
        <v>7739106586</v>
      </c>
      <c r="G318" s="916" t="s">
        <v>985</v>
      </c>
      <c r="H318" s="916" t="s">
        <v>39</v>
      </c>
      <c r="I318" s="915" t="s">
        <v>34</v>
      </c>
      <c r="J318" s="916" t="s">
        <v>15</v>
      </c>
      <c r="K318" s="18">
        <v>3300</v>
      </c>
      <c r="L318" s="43">
        <v>46186</v>
      </c>
      <c r="M318" s="46">
        <v>0.66666666666666663</v>
      </c>
      <c r="N318" s="914" t="s">
        <v>231</v>
      </c>
      <c r="O318" s="916" t="s">
        <v>35</v>
      </c>
      <c r="P318" s="955" t="s">
        <v>19</v>
      </c>
      <c r="Q318" s="529">
        <v>374904</v>
      </c>
      <c r="R318" s="8">
        <v>3300</v>
      </c>
      <c r="S318" s="109">
        <f t="shared" si="8"/>
        <v>0</v>
      </c>
      <c r="W318" s="109"/>
      <c r="X318" s="40">
        <f t="shared" si="9"/>
        <v>0</v>
      </c>
    </row>
    <row r="319" spans="1:37" ht="19.95" customHeight="1">
      <c r="A319" s="18">
        <v>329</v>
      </c>
      <c r="B319" s="917" t="s">
        <v>1018</v>
      </c>
      <c r="C319" s="918" t="s">
        <v>1019</v>
      </c>
      <c r="D319" s="918"/>
      <c r="E319" s="919" t="s">
        <v>1020</v>
      </c>
      <c r="F319" s="19">
        <v>7021038811</v>
      </c>
      <c r="G319" s="919" t="s">
        <v>38</v>
      </c>
      <c r="H319" s="919" t="s">
        <v>39</v>
      </c>
      <c r="I319" s="918" t="s">
        <v>34</v>
      </c>
      <c r="J319" s="919" t="s">
        <v>12</v>
      </c>
      <c r="K319" s="18">
        <v>800</v>
      </c>
      <c r="L319" s="43">
        <v>46186</v>
      </c>
      <c r="M319" s="46">
        <v>0.58333333333333337</v>
      </c>
      <c r="N319" s="917" t="s">
        <v>108</v>
      </c>
      <c r="O319" s="919" t="s">
        <v>35</v>
      </c>
      <c r="P319" s="947" t="s">
        <v>19</v>
      </c>
      <c r="Q319" s="529">
        <v>46186</v>
      </c>
      <c r="R319" s="8">
        <v>800</v>
      </c>
      <c r="S319" s="109">
        <f t="shared" si="8"/>
        <v>0</v>
      </c>
      <c r="W319" s="109"/>
      <c r="X319" s="40">
        <f t="shared" si="9"/>
        <v>0</v>
      </c>
    </row>
    <row r="320" spans="1:37" ht="19.95" customHeight="1">
      <c r="A320" s="18">
        <v>330</v>
      </c>
      <c r="B320" s="920" t="s">
        <v>1021</v>
      </c>
      <c r="C320" s="921" t="s">
        <v>1022</v>
      </c>
      <c r="D320" s="921"/>
      <c r="E320" s="922" t="s">
        <v>1023</v>
      </c>
      <c r="F320" s="19">
        <v>8355935717</v>
      </c>
      <c r="G320" s="922" t="s">
        <v>286</v>
      </c>
      <c r="H320" s="921" t="s">
        <v>1024</v>
      </c>
      <c r="I320" s="921" t="s">
        <v>1025</v>
      </c>
      <c r="J320" s="922" t="s">
        <v>12</v>
      </c>
      <c r="K320" s="18">
        <v>4200</v>
      </c>
      <c r="L320" s="43">
        <v>46187</v>
      </c>
      <c r="M320" s="46">
        <v>0.625</v>
      </c>
      <c r="N320" s="920" t="s">
        <v>108</v>
      </c>
      <c r="O320" s="922" t="s">
        <v>198</v>
      </c>
      <c r="S320" s="109">
        <f t="shared" si="8"/>
        <v>4200</v>
      </c>
      <c r="W320" s="109"/>
      <c r="X320" s="40">
        <f t="shared" si="9"/>
        <v>4200</v>
      </c>
    </row>
    <row r="321" spans="1:58" ht="19.95" customHeight="1">
      <c r="A321" s="18">
        <v>331</v>
      </c>
      <c r="B321" s="923" t="s">
        <v>1027</v>
      </c>
      <c r="C321" s="924" t="s">
        <v>1028</v>
      </c>
      <c r="D321" s="924"/>
      <c r="E321" s="925" t="s">
        <v>1029</v>
      </c>
      <c r="F321" s="19" t="s">
        <v>1026</v>
      </c>
      <c r="G321" s="925" t="s">
        <v>985</v>
      </c>
      <c r="H321" s="925" t="s">
        <v>1030</v>
      </c>
      <c r="I321" s="924" t="s">
        <v>1031</v>
      </c>
      <c r="J321" s="925" t="s">
        <v>15</v>
      </c>
      <c r="K321" s="18">
        <v>4500</v>
      </c>
      <c r="L321" s="43">
        <v>46188</v>
      </c>
      <c r="M321" s="46">
        <v>0.5</v>
      </c>
      <c r="N321" s="923" t="s">
        <v>231</v>
      </c>
      <c r="O321" s="925" t="s">
        <v>35</v>
      </c>
      <c r="P321" s="950" t="s">
        <v>19</v>
      </c>
      <c r="Q321" s="529">
        <v>46188</v>
      </c>
      <c r="R321" s="8">
        <v>4500</v>
      </c>
      <c r="S321" s="109">
        <f t="shared" si="8"/>
        <v>0</v>
      </c>
      <c r="W321" s="109"/>
      <c r="X321" s="40">
        <f t="shared" si="9"/>
        <v>0</v>
      </c>
    </row>
    <row r="322" spans="1:58" ht="19.95" customHeight="1">
      <c r="A322" s="18">
        <v>332</v>
      </c>
      <c r="B322" s="943" t="s">
        <v>1035</v>
      </c>
      <c r="C322" s="944" t="s">
        <v>1036</v>
      </c>
      <c r="E322" s="943" t="s">
        <v>1035</v>
      </c>
      <c r="F322" s="945" t="s">
        <v>1037</v>
      </c>
      <c r="G322" s="946" t="s">
        <v>38</v>
      </c>
      <c r="H322" s="946" t="s">
        <v>39</v>
      </c>
      <c r="I322" s="915" t="s">
        <v>34</v>
      </c>
      <c r="J322" s="946" t="s">
        <v>12</v>
      </c>
      <c r="K322" s="18">
        <v>900</v>
      </c>
      <c r="L322" s="43">
        <v>46188</v>
      </c>
      <c r="M322" s="46">
        <v>0.58333333333333337</v>
      </c>
      <c r="N322" s="943" t="s">
        <v>231</v>
      </c>
      <c r="O322" s="946" t="s">
        <v>35</v>
      </c>
      <c r="P322" s="950" t="s">
        <v>19</v>
      </c>
      <c r="Q322" s="529">
        <v>46188</v>
      </c>
      <c r="R322" s="8">
        <v>900</v>
      </c>
      <c r="S322" s="109">
        <f t="shared" si="8"/>
        <v>0</v>
      </c>
      <c r="W322" s="109"/>
      <c r="X322" s="40">
        <f t="shared" si="9"/>
        <v>0</v>
      </c>
    </row>
    <row r="323" spans="1:58" ht="19.95" customHeight="1">
      <c r="A323" s="18">
        <v>333</v>
      </c>
      <c r="B323" s="948" t="s">
        <v>1009</v>
      </c>
      <c r="C323" s="949" t="s">
        <v>1038</v>
      </c>
      <c r="E323" s="950" t="s">
        <v>1039</v>
      </c>
      <c r="F323" s="19">
        <v>9136135503</v>
      </c>
      <c r="G323" s="950" t="s">
        <v>1040</v>
      </c>
      <c r="H323" s="950" t="s">
        <v>1041</v>
      </c>
      <c r="I323" s="949" t="s">
        <v>1042</v>
      </c>
      <c r="J323" s="950" t="s">
        <v>823</v>
      </c>
      <c r="K323" s="18">
        <v>2800</v>
      </c>
      <c r="L323" s="43">
        <v>46189</v>
      </c>
      <c r="M323" s="46">
        <v>0.66666666666666663</v>
      </c>
      <c r="N323" s="973" t="s">
        <v>104</v>
      </c>
      <c r="O323" s="950" t="s">
        <v>1015</v>
      </c>
      <c r="P323" s="972" t="s">
        <v>19</v>
      </c>
      <c r="Q323" s="529">
        <v>46195</v>
      </c>
      <c r="R323" s="8">
        <v>2800</v>
      </c>
      <c r="S323" s="109"/>
      <c r="W323" s="109"/>
      <c r="X323" s="40">
        <f t="shared" ref="X323:X386" si="11">S323-W323</f>
        <v>0</v>
      </c>
    </row>
    <row r="324" spans="1:58" ht="19.95" customHeight="1">
      <c r="A324" s="18">
        <v>334</v>
      </c>
      <c r="B324" s="952" t="s">
        <v>1043</v>
      </c>
      <c r="C324" s="951" t="s">
        <v>1045</v>
      </c>
      <c r="E324" s="952" t="s">
        <v>1043</v>
      </c>
      <c r="F324" s="19">
        <v>9607741558</v>
      </c>
      <c r="G324" s="961" t="s">
        <v>985</v>
      </c>
      <c r="H324" s="953" t="s">
        <v>1044</v>
      </c>
      <c r="I324" s="915" t="s">
        <v>34</v>
      </c>
      <c r="J324" s="953" t="s">
        <v>15</v>
      </c>
      <c r="K324" s="18">
        <v>4000</v>
      </c>
      <c r="L324" s="43">
        <v>46193</v>
      </c>
      <c r="M324" s="954">
        <v>0.58333333333333337</v>
      </c>
      <c r="N324" s="952" t="s">
        <v>231</v>
      </c>
      <c r="O324" s="953" t="s">
        <v>35</v>
      </c>
      <c r="P324" s="966" t="s">
        <v>19</v>
      </c>
      <c r="Q324" s="529">
        <v>46193</v>
      </c>
      <c r="R324" s="8">
        <v>4000</v>
      </c>
      <c r="S324" s="109">
        <f t="shared" ref="S324:S386" si="12">K324-R324</f>
        <v>0</v>
      </c>
      <c r="W324" s="109"/>
      <c r="X324" s="40">
        <f t="shared" si="11"/>
        <v>0</v>
      </c>
    </row>
    <row r="325" spans="1:58" ht="19.95" customHeight="1">
      <c r="A325" s="18">
        <v>335</v>
      </c>
      <c r="B325" s="952" t="s">
        <v>1047</v>
      </c>
      <c r="C325" s="951" t="s">
        <v>1046</v>
      </c>
      <c r="E325" s="952" t="s">
        <v>1047</v>
      </c>
      <c r="F325" s="19">
        <v>9167463356</v>
      </c>
      <c r="G325" s="953" t="s">
        <v>38</v>
      </c>
      <c r="H325" s="953" t="s">
        <v>61</v>
      </c>
      <c r="I325" s="951" t="s">
        <v>1048</v>
      </c>
      <c r="J325" s="953" t="s">
        <v>12</v>
      </c>
      <c r="K325" s="18">
        <v>1100</v>
      </c>
      <c r="L325" s="43">
        <v>46193</v>
      </c>
      <c r="M325" s="46">
        <v>0.70833333333333337</v>
      </c>
      <c r="N325" s="952" t="s">
        <v>231</v>
      </c>
      <c r="O325" s="953" t="s">
        <v>35</v>
      </c>
      <c r="P325" s="966" t="s">
        <v>19</v>
      </c>
      <c r="Q325" s="529">
        <v>46193</v>
      </c>
      <c r="R325" s="8">
        <v>1100</v>
      </c>
      <c r="S325" s="109">
        <f t="shared" si="12"/>
        <v>0</v>
      </c>
      <c r="W325" s="109"/>
      <c r="X325" s="40">
        <f t="shared" si="11"/>
        <v>0</v>
      </c>
    </row>
    <row r="326" spans="1:58" ht="19.95" customHeight="1">
      <c r="A326" s="18">
        <v>336</v>
      </c>
      <c r="B326" s="956" t="s">
        <v>1049</v>
      </c>
      <c r="C326" s="957" t="s">
        <v>1050</v>
      </c>
      <c r="E326" s="956" t="s">
        <v>1049</v>
      </c>
      <c r="F326" s="19">
        <v>9870703366</v>
      </c>
      <c r="G326" s="953" t="s">
        <v>38</v>
      </c>
      <c r="H326" s="958" t="s">
        <v>61</v>
      </c>
      <c r="I326" s="951" t="s">
        <v>1048</v>
      </c>
      <c r="J326" s="958" t="s">
        <v>94</v>
      </c>
      <c r="K326" s="18">
        <v>3000</v>
      </c>
      <c r="L326" s="43">
        <v>46193</v>
      </c>
      <c r="M326" s="46">
        <v>0.66666666666666663</v>
      </c>
      <c r="N326" s="956" t="s">
        <v>231</v>
      </c>
      <c r="O326" s="958" t="s">
        <v>35</v>
      </c>
      <c r="P326" s="966" t="s">
        <v>19</v>
      </c>
      <c r="Q326" s="529">
        <v>46193</v>
      </c>
      <c r="R326" s="8">
        <v>3000</v>
      </c>
      <c r="S326" s="109">
        <f t="shared" si="12"/>
        <v>0</v>
      </c>
      <c r="W326" s="109"/>
      <c r="X326" s="40">
        <f t="shared" si="11"/>
        <v>0</v>
      </c>
    </row>
    <row r="327" spans="1:58" ht="19.95" customHeight="1">
      <c r="A327" s="18">
        <v>337</v>
      </c>
      <c r="B327" s="959" t="s">
        <v>1051</v>
      </c>
      <c r="C327" s="960" t="s">
        <v>1052</v>
      </c>
      <c r="E327" s="959" t="s">
        <v>1051</v>
      </c>
      <c r="F327" s="19">
        <v>9867305657</v>
      </c>
      <c r="G327" s="961" t="s">
        <v>1053</v>
      </c>
      <c r="H327" s="961" t="s">
        <v>55</v>
      </c>
      <c r="I327" s="960" t="s">
        <v>1048</v>
      </c>
      <c r="J327" s="961" t="s">
        <v>12</v>
      </c>
      <c r="K327" s="18">
        <v>1500</v>
      </c>
      <c r="L327" s="43">
        <v>46194</v>
      </c>
      <c r="M327" s="46">
        <v>0.625</v>
      </c>
      <c r="N327" s="959" t="s">
        <v>231</v>
      </c>
      <c r="O327" s="961" t="s">
        <v>35</v>
      </c>
      <c r="P327" s="966" t="s">
        <v>19</v>
      </c>
      <c r="Q327" s="529">
        <v>46194</v>
      </c>
      <c r="R327" s="8">
        <v>1500</v>
      </c>
      <c r="S327" s="109">
        <f t="shared" si="12"/>
        <v>0</v>
      </c>
      <c r="W327" s="109"/>
      <c r="X327" s="40">
        <f t="shared" si="11"/>
        <v>0</v>
      </c>
    </row>
    <row r="328" spans="1:58" ht="19.95" customHeight="1">
      <c r="A328" s="18">
        <v>338</v>
      </c>
      <c r="B328" s="959" t="s">
        <v>764</v>
      </c>
      <c r="C328" s="960" t="s">
        <v>1054</v>
      </c>
      <c r="E328" s="959" t="s">
        <v>764</v>
      </c>
      <c r="F328" s="19">
        <v>9763619094</v>
      </c>
      <c r="G328" s="961" t="s">
        <v>985</v>
      </c>
      <c r="H328" s="961" t="s">
        <v>39</v>
      </c>
      <c r="I328" s="960" t="s">
        <v>1048</v>
      </c>
      <c r="J328" s="961" t="s">
        <v>15</v>
      </c>
      <c r="K328" s="18">
        <v>3000</v>
      </c>
      <c r="L328" s="43">
        <v>374912</v>
      </c>
      <c r="M328" s="965">
        <v>0.54166666666666663</v>
      </c>
      <c r="N328" s="959" t="s">
        <v>231</v>
      </c>
      <c r="O328" s="961" t="s">
        <v>1055</v>
      </c>
      <c r="P328" s="966" t="s">
        <v>19</v>
      </c>
      <c r="Q328" s="529">
        <v>46195</v>
      </c>
      <c r="R328" s="8">
        <v>1500</v>
      </c>
      <c r="S328" s="109">
        <f t="shared" si="12"/>
        <v>1500</v>
      </c>
      <c r="W328" s="109"/>
      <c r="X328" s="40">
        <f t="shared" si="11"/>
        <v>1500</v>
      </c>
    </row>
    <row r="329" spans="1:58" ht="19.95" customHeight="1">
      <c r="A329" s="18">
        <v>339</v>
      </c>
      <c r="B329" s="962" t="s">
        <v>1056</v>
      </c>
      <c r="C329" s="963" t="s">
        <v>1057</v>
      </c>
      <c r="E329" s="962" t="s">
        <v>1056</v>
      </c>
      <c r="F329" s="19">
        <v>9284954622</v>
      </c>
      <c r="G329" s="964" t="s">
        <v>1058</v>
      </c>
      <c r="H329" s="964" t="s">
        <v>39</v>
      </c>
      <c r="I329" s="960" t="s">
        <v>1048</v>
      </c>
      <c r="J329" s="964" t="s">
        <v>12</v>
      </c>
      <c r="K329" s="18">
        <v>1600</v>
      </c>
      <c r="L329" s="43">
        <v>46194</v>
      </c>
      <c r="M329" s="46">
        <v>0.70833333333333337</v>
      </c>
      <c r="N329" s="962" t="s">
        <v>231</v>
      </c>
      <c r="O329" s="964" t="s">
        <v>35</v>
      </c>
      <c r="P329" s="966" t="s">
        <v>19</v>
      </c>
      <c r="Q329" s="529">
        <v>46195</v>
      </c>
      <c r="R329" s="8">
        <v>1600</v>
      </c>
      <c r="S329" s="109">
        <f t="shared" si="12"/>
        <v>0</v>
      </c>
      <c r="W329" s="109"/>
      <c r="X329" s="40">
        <f t="shared" si="11"/>
        <v>0</v>
      </c>
    </row>
    <row r="330" spans="1:58" ht="19.95" customHeight="1">
      <c r="A330" s="18">
        <v>340</v>
      </c>
      <c r="B330" s="969" t="s">
        <v>1059</v>
      </c>
      <c r="C330" s="968" t="s">
        <v>1060</v>
      </c>
      <c r="D330" s="968" t="s">
        <v>1061</v>
      </c>
      <c r="E330" s="967" t="s">
        <v>1062</v>
      </c>
      <c r="F330" s="19">
        <v>7738893777</v>
      </c>
      <c r="G330" s="953" t="s">
        <v>38</v>
      </c>
      <c r="H330" s="970" t="s">
        <v>1063</v>
      </c>
      <c r="I330" s="971" t="s">
        <v>1064</v>
      </c>
      <c r="J330" s="967" t="s">
        <v>12</v>
      </c>
      <c r="K330" s="18">
        <v>2000</v>
      </c>
      <c r="L330" s="43">
        <v>46197</v>
      </c>
      <c r="M330" s="46">
        <v>0.58333333333333337</v>
      </c>
      <c r="N330" s="969" t="s">
        <v>108</v>
      </c>
      <c r="O330" s="967" t="s">
        <v>35</v>
      </c>
      <c r="P330" s="972" t="s">
        <v>19</v>
      </c>
      <c r="Q330" s="529">
        <v>46197</v>
      </c>
      <c r="R330" s="8">
        <v>2000</v>
      </c>
      <c r="S330" s="109">
        <f t="shared" si="12"/>
        <v>0</v>
      </c>
      <c r="W330" s="109"/>
      <c r="X330" s="40">
        <f t="shared" si="11"/>
        <v>0</v>
      </c>
    </row>
    <row r="331" spans="1:58" s="752" customFormat="1" ht="19.95" customHeight="1">
      <c r="A331" s="748">
        <v>341</v>
      </c>
      <c r="B331" s="746" t="s">
        <v>1065</v>
      </c>
      <c r="C331" s="745" t="s">
        <v>1068</v>
      </c>
      <c r="D331" s="745" t="s">
        <v>1061</v>
      </c>
      <c r="E331" s="748" t="s">
        <v>1065</v>
      </c>
      <c r="F331" s="747">
        <v>7208208428</v>
      </c>
      <c r="G331" s="748" t="s">
        <v>42</v>
      </c>
      <c r="H331" s="748" t="s">
        <v>1067</v>
      </c>
      <c r="I331" s="745" t="s">
        <v>1066</v>
      </c>
      <c r="J331" s="748" t="s">
        <v>12</v>
      </c>
      <c r="K331" s="748">
        <v>1200</v>
      </c>
      <c r="L331" s="749">
        <v>46197</v>
      </c>
      <c r="M331" s="750">
        <v>0.41666666666666669</v>
      </c>
      <c r="N331" s="746" t="s">
        <v>108</v>
      </c>
      <c r="O331" s="748" t="s">
        <v>35</v>
      </c>
      <c r="P331" s="748"/>
      <c r="Q331" s="745"/>
      <c r="R331" s="745"/>
      <c r="S331" s="745">
        <f t="shared" si="12"/>
        <v>1200</v>
      </c>
      <c r="T331" s="748" t="s">
        <v>1074</v>
      </c>
      <c r="U331" s="745"/>
      <c r="V331" s="745"/>
      <c r="W331" s="745"/>
      <c r="X331" s="748">
        <f t="shared" si="11"/>
        <v>1200</v>
      </c>
      <c r="Y331" s="751"/>
      <c r="Z331" s="751"/>
      <c r="AA331" s="751"/>
      <c r="AB331" s="751"/>
      <c r="AC331" s="751"/>
      <c r="AD331" s="751"/>
      <c r="AE331" s="751"/>
      <c r="AF331" s="751"/>
      <c r="AG331" s="751"/>
      <c r="AH331" s="751"/>
      <c r="AI331" s="751"/>
      <c r="AJ331" s="751"/>
      <c r="AK331" s="751"/>
      <c r="AL331" s="751"/>
      <c r="AM331" s="751"/>
      <c r="AN331" s="751"/>
      <c r="AO331" s="751"/>
      <c r="AP331" s="751"/>
      <c r="AQ331" s="751"/>
      <c r="AR331" s="751"/>
      <c r="AS331" s="751"/>
      <c r="AT331" s="751"/>
      <c r="AU331" s="751"/>
      <c r="AV331" s="751"/>
      <c r="AW331" s="751"/>
      <c r="AX331" s="751"/>
      <c r="AY331" s="751"/>
      <c r="AZ331" s="751"/>
      <c r="BA331" s="751"/>
      <c r="BB331" s="751"/>
      <c r="BC331" s="751"/>
      <c r="BD331" s="751"/>
      <c r="BE331" s="751"/>
      <c r="BF331" s="751"/>
    </row>
    <row r="332" spans="1:58" ht="19.95" customHeight="1">
      <c r="A332" s="18">
        <v>342</v>
      </c>
      <c r="B332" s="974" t="s">
        <v>1069</v>
      </c>
      <c r="C332" s="975" t="s">
        <v>1070</v>
      </c>
      <c r="D332" s="975" t="s">
        <v>1061</v>
      </c>
      <c r="E332" s="974" t="s">
        <v>1069</v>
      </c>
      <c r="F332" s="19">
        <v>7798486277</v>
      </c>
      <c r="G332" s="961" t="s">
        <v>985</v>
      </c>
      <c r="H332" s="976" t="s">
        <v>70</v>
      </c>
      <c r="I332" s="960" t="s">
        <v>1048</v>
      </c>
      <c r="J332" s="976" t="s">
        <v>15</v>
      </c>
      <c r="K332" s="18">
        <v>3800</v>
      </c>
      <c r="L332" s="43">
        <v>46199</v>
      </c>
      <c r="M332" s="46">
        <v>0.54166666666666663</v>
      </c>
      <c r="N332" s="974" t="s">
        <v>1071</v>
      </c>
      <c r="O332" s="976" t="s">
        <v>35</v>
      </c>
      <c r="P332" s="983" t="s">
        <v>19</v>
      </c>
      <c r="Q332" s="529">
        <v>46199</v>
      </c>
      <c r="R332" s="8">
        <v>1900</v>
      </c>
      <c r="S332" s="109">
        <f t="shared" si="12"/>
        <v>1900</v>
      </c>
      <c r="W332" s="109"/>
      <c r="X332" s="40">
        <f t="shared" si="11"/>
        <v>1900</v>
      </c>
    </row>
    <row r="333" spans="1:58" ht="19.95" customHeight="1">
      <c r="A333" s="18">
        <v>343</v>
      </c>
      <c r="B333" s="977" t="s">
        <v>1072</v>
      </c>
      <c r="C333" s="978" t="s">
        <v>1073</v>
      </c>
      <c r="E333" s="977" t="s">
        <v>1072</v>
      </c>
      <c r="F333" s="19">
        <v>7770095835</v>
      </c>
      <c r="G333" s="953" t="s">
        <v>38</v>
      </c>
      <c r="H333" s="979" t="s">
        <v>61</v>
      </c>
      <c r="I333" s="960" t="s">
        <v>1048</v>
      </c>
      <c r="J333" s="979" t="s">
        <v>12</v>
      </c>
      <c r="K333" s="18">
        <v>1000</v>
      </c>
      <c r="L333" s="43">
        <v>46200</v>
      </c>
      <c r="M333" s="980">
        <v>0.5</v>
      </c>
      <c r="N333" s="977" t="s">
        <v>231</v>
      </c>
      <c r="O333" s="979" t="s">
        <v>35</v>
      </c>
      <c r="P333" s="983" t="s">
        <v>1</v>
      </c>
      <c r="Q333" s="529">
        <v>46200</v>
      </c>
      <c r="R333" s="8">
        <v>1000</v>
      </c>
      <c r="S333" s="109">
        <f t="shared" si="12"/>
        <v>0</v>
      </c>
      <c r="W333" s="109"/>
      <c r="X333" s="40">
        <f t="shared" si="11"/>
        <v>0</v>
      </c>
    </row>
    <row r="334" spans="1:58" ht="19.95" customHeight="1">
      <c r="A334" s="18">
        <v>344</v>
      </c>
      <c r="B334" s="984" t="s">
        <v>1075</v>
      </c>
      <c r="C334" s="985" t="s">
        <v>1076</v>
      </c>
      <c r="D334" s="985" t="s">
        <v>1077</v>
      </c>
      <c r="E334" s="986" t="s">
        <v>1078</v>
      </c>
      <c r="F334" s="987" t="s">
        <v>1079</v>
      </c>
      <c r="G334" s="986" t="s">
        <v>42</v>
      </c>
      <c r="H334" s="986" t="s">
        <v>323</v>
      </c>
      <c r="I334" s="985" t="s">
        <v>1080</v>
      </c>
      <c r="K334" s="18">
        <v>1200</v>
      </c>
      <c r="L334" s="43">
        <v>46195</v>
      </c>
      <c r="M334" s="46">
        <v>0.70833333333333337</v>
      </c>
      <c r="N334" s="984" t="s">
        <v>104</v>
      </c>
      <c r="O334" s="986" t="s">
        <v>199</v>
      </c>
      <c r="S334" s="109">
        <f t="shared" si="12"/>
        <v>1200</v>
      </c>
      <c r="W334" s="109"/>
      <c r="X334" s="40">
        <f t="shared" si="11"/>
        <v>1200</v>
      </c>
    </row>
    <row r="335" spans="1:58" ht="19.95" customHeight="1">
      <c r="A335" s="18">
        <v>345</v>
      </c>
      <c r="B335" s="988" t="s">
        <v>1081</v>
      </c>
      <c r="C335" s="989" t="s">
        <v>1082</v>
      </c>
      <c r="E335" s="988" t="s">
        <v>1081</v>
      </c>
      <c r="F335" s="19">
        <v>7276210451</v>
      </c>
      <c r="G335" s="961" t="s">
        <v>985</v>
      </c>
      <c r="H335" s="990" t="s">
        <v>55</v>
      </c>
      <c r="I335" s="960" t="s">
        <v>1048</v>
      </c>
      <c r="J335" s="990" t="s">
        <v>15</v>
      </c>
      <c r="K335" s="18">
        <v>2400</v>
      </c>
      <c r="L335" s="43">
        <v>46205</v>
      </c>
      <c r="M335" s="46">
        <v>0.5</v>
      </c>
      <c r="N335" s="988" t="s">
        <v>231</v>
      </c>
      <c r="O335" s="990" t="s">
        <v>35</v>
      </c>
      <c r="P335" s="999" t="s">
        <v>19</v>
      </c>
      <c r="Q335" s="529">
        <v>46205</v>
      </c>
      <c r="R335" s="8">
        <v>1200</v>
      </c>
      <c r="S335" s="109">
        <f t="shared" si="12"/>
        <v>1200</v>
      </c>
      <c r="W335" s="109"/>
      <c r="X335" s="40">
        <f t="shared" si="11"/>
        <v>1200</v>
      </c>
    </row>
    <row r="336" spans="1:58" ht="19.95" customHeight="1">
      <c r="A336" s="18">
        <v>346</v>
      </c>
      <c r="B336" s="988" t="s">
        <v>1083</v>
      </c>
      <c r="C336" s="989" t="s">
        <v>1084</v>
      </c>
      <c r="E336" s="988" t="s">
        <v>1083</v>
      </c>
      <c r="F336" s="19">
        <v>9004306859</v>
      </c>
      <c r="G336" s="953" t="s">
        <v>38</v>
      </c>
      <c r="H336" s="990" t="s">
        <v>39</v>
      </c>
      <c r="I336" s="960" t="s">
        <v>1048</v>
      </c>
      <c r="J336" s="990" t="s">
        <v>12</v>
      </c>
      <c r="K336" s="18">
        <v>700</v>
      </c>
      <c r="L336" s="43">
        <v>46205</v>
      </c>
      <c r="M336" s="46">
        <v>0.41666666666666669</v>
      </c>
      <c r="N336" s="988" t="s">
        <v>231</v>
      </c>
      <c r="O336" s="990" t="s">
        <v>198</v>
      </c>
      <c r="P336" s="999" t="s">
        <v>1</v>
      </c>
      <c r="Q336" s="529">
        <v>46175</v>
      </c>
      <c r="R336" s="8">
        <v>700</v>
      </c>
      <c r="S336" s="109">
        <f t="shared" si="12"/>
        <v>0</v>
      </c>
      <c r="W336" s="109"/>
      <c r="X336" s="40">
        <f t="shared" si="11"/>
        <v>0</v>
      </c>
    </row>
    <row r="337" spans="1:58" ht="19.95" customHeight="1">
      <c r="A337" s="18">
        <v>347</v>
      </c>
      <c r="B337" s="991" t="s">
        <v>1085</v>
      </c>
      <c r="C337" s="992" t="s">
        <v>1086</v>
      </c>
      <c r="E337" s="991" t="s">
        <v>1085</v>
      </c>
      <c r="F337" s="19">
        <v>9834962401</v>
      </c>
      <c r="G337" s="993" t="s">
        <v>1087</v>
      </c>
      <c r="H337" s="993" t="s">
        <v>61</v>
      </c>
      <c r="I337" s="960" t="s">
        <v>1048</v>
      </c>
      <c r="J337" s="993" t="s">
        <v>15</v>
      </c>
      <c r="K337" s="18">
        <v>3500</v>
      </c>
      <c r="L337" s="43">
        <v>46205</v>
      </c>
      <c r="M337" s="46">
        <v>0.66666666666666663</v>
      </c>
      <c r="N337" s="991" t="s">
        <v>231</v>
      </c>
      <c r="O337" s="993" t="s">
        <v>35</v>
      </c>
      <c r="P337" s="999" t="s">
        <v>19</v>
      </c>
      <c r="Q337" s="529">
        <v>46205</v>
      </c>
      <c r="R337" s="8">
        <v>3500</v>
      </c>
      <c r="S337" s="109">
        <f t="shared" si="12"/>
        <v>0</v>
      </c>
      <c r="W337" s="109"/>
      <c r="X337" s="40">
        <f t="shared" si="11"/>
        <v>0</v>
      </c>
    </row>
    <row r="338" spans="1:58" ht="19.95" customHeight="1">
      <c r="A338" s="18">
        <v>348</v>
      </c>
      <c r="B338" s="994" t="s">
        <v>1088</v>
      </c>
      <c r="C338" s="995" t="s">
        <v>1089</v>
      </c>
      <c r="E338" s="994" t="s">
        <v>1088</v>
      </c>
      <c r="F338" s="996" t="s">
        <v>1090</v>
      </c>
      <c r="G338" s="953" t="s">
        <v>38</v>
      </c>
      <c r="H338" s="997" t="s">
        <v>61</v>
      </c>
      <c r="I338" s="960" t="s">
        <v>1048</v>
      </c>
      <c r="J338" s="997" t="s">
        <v>12</v>
      </c>
      <c r="L338" s="43">
        <v>46205</v>
      </c>
      <c r="M338" s="46">
        <v>0.625</v>
      </c>
      <c r="N338" s="998" t="s">
        <v>565</v>
      </c>
      <c r="O338" s="999" t="s">
        <v>198</v>
      </c>
      <c r="S338" s="109">
        <f t="shared" si="12"/>
        <v>0</v>
      </c>
      <c r="W338" s="109"/>
      <c r="X338" s="40">
        <f t="shared" si="11"/>
        <v>0</v>
      </c>
    </row>
    <row r="339" spans="1:58" s="752" customFormat="1" ht="19.95" customHeight="1">
      <c r="A339" s="748">
        <v>349</v>
      </c>
      <c r="B339" s="746" t="s">
        <v>1091</v>
      </c>
      <c r="C339" s="745" t="s">
        <v>1092</v>
      </c>
      <c r="D339" s="745"/>
      <c r="E339" s="746" t="s">
        <v>1091</v>
      </c>
      <c r="F339" s="747">
        <v>9860380627</v>
      </c>
      <c r="G339" s="748" t="s">
        <v>38</v>
      </c>
      <c r="H339" s="748" t="s">
        <v>61</v>
      </c>
      <c r="I339" s="745" t="s">
        <v>1048</v>
      </c>
      <c r="J339" s="748" t="s">
        <v>12</v>
      </c>
      <c r="K339" s="748">
        <v>1100</v>
      </c>
      <c r="L339" s="749">
        <v>46209</v>
      </c>
      <c r="M339" s="750">
        <v>0.45833333333333331</v>
      </c>
      <c r="N339" s="746" t="s">
        <v>231</v>
      </c>
      <c r="O339" s="748" t="s">
        <v>35</v>
      </c>
      <c r="P339" s="748"/>
      <c r="Q339" s="745"/>
      <c r="R339" s="745"/>
      <c r="S339" s="745">
        <f t="shared" si="12"/>
        <v>1100</v>
      </c>
      <c r="T339" s="748" t="s">
        <v>1103</v>
      </c>
      <c r="U339" s="745"/>
      <c r="V339" s="745"/>
      <c r="W339" s="745"/>
      <c r="X339" s="748">
        <f t="shared" si="11"/>
        <v>1100</v>
      </c>
      <c r="Y339" s="751"/>
      <c r="Z339" s="751"/>
      <c r="AA339" s="751"/>
      <c r="AB339" s="751"/>
      <c r="AC339" s="751"/>
      <c r="AD339" s="751"/>
      <c r="AE339" s="751"/>
      <c r="AF339" s="751"/>
      <c r="AG339" s="751"/>
      <c r="AH339" s="751"/>
      <c r="AI339" s="751"/>
      <c r="AJ339" s="751"/>
      <c r="AK339" s="751"/>
      <c r="AL339" s="751"/>
      <c r="AM339" s="751"/>
      <c r="AN339" s="751"/>
      <c r="AO339" s="751"/>
      <c r="AP339" s="751"/>
      <c r="AQ339" s="751"/>
      <c r="AR339" s="751"/>
      <c r="AS339" s="751"/>
      <c r="AT339" s="751"/>
      <c r="AU339" s="751"/>
      <c r="AV339" s="751"/>
      <c r="AW339" s="751"/>
      <c r="AX339" s="751"/>
      <c r="AY339" s="751"/>
      <c r="AZ339" s="751"/>
      <c r="BA339" s="751"/>
      <c r="BB339" s="751"/>
      <c r="BC339" s="751"/>
      <c r="BD339" s="751"/>
      <c r="BE339" s="751"/>
      <c r="BF339" s="751"/>
    </row>
    <row r="340" spans="1:58" ht="19.95" customHeight="1">
      <c r="A340" s="18">
        <v>350</v>
      </c>
      <c r="B340" s="1000" t="s">
        <v>1093</v>
      </c>
      <c r="C340" s="1001" t="s">
        <v>1094</v>
      </c>
      <c r="E340" s="1000" t="s">
        <v>1093</v>
      </c>
      <c r="F340" s="19">
        <v>9920936113</v>
      </c>
      <c r="G340" s="961" t="s">
        <v>985</v>
      </c>
      <c r="H340" s="1002" t="s">
        <v>55</v>
      </c>
      <c r="I340" s="960" t="s">
        <v>1048</v>
      </c>
      <c r="J340" s="1002" t="s">
        <v>12</v>
      </c>
      <c r="K340" s="18">
        <v>2400</v>
      </c>
      <c r="L340" s="43">
        <v>46212</v>
      </c>
      <c r="M340" s="46">
        <v>0.5</v>
      </c>
      <c r="N340" s="1000" t="s">
        <v>565</v>
      </c>
      <c r="O340" s="1002" t="s">
        <v>35</v>
      </c>
      <c r="P340" s="1003" t="s">
        <v>19</v>
      </c>
      <c r="Q340" s="529">
        <v>46212</v>
      </c>
      <c r="R340" s="8">
        <v>2400</v>
      </c>
      <c r="S340" s="109">
        <f t="shared" si="12"/>
        <v>0</v>
      </c>
      <c r="W340" s="109"/>
      <c r="X340" s="40">
        <f t="shared" si="11"/>
        <v>0</v>
      </c>
    </row>
    <row r="341" spans="1:58" ht="19.95" customHeight="1">
      <c r="A341" s="18">
        <v>351</v>
      </c>
      <c r="B341" s="1004" t="s">
        <v>1095</v>
      </c>
      <c r="C341" s="1005" t="s">
        <v>1096</v>
      </c>
      <c r="D341" s="1005" t="s">
        <v>1097</v>
      </c>
      <c r="E341" s="1006" t="s">
        <v>1095</v>
      </c>
      <c r="F341" s="19">
        <v>9607622013</v>
      </c>
      <c r="G341" s="953" t="s">
        <v>38</v>
      </c>
      <c r="H341" s="1006" t="s">
        <v>39</v>
      </c>
      <c r="I341" s="960" t="s">
        <v>1048</v>
      </c>
      <c r="J341" s="1006" t="s">
        <v>12</v>
      </c>
      <c r="K341" s="18">
        <v>900</v>
      </c>
      <c r="L341" s="43">
        <v>46215</v>
      </c>
      <c r="M341" s="46">
        <v>0.41666666666666669</v>
      </c>
      <c r="N341" s="1000" t="s">
        <v>565</v>
      </c>
      <c r="O341" s="1006" t="s">
        <v>35</v>
      </c>
      <c r="P341" s="1008" t="s">
        <v>19</v>
      </c>
      <c r="Q341" s="529">
        <v>46215</v>
      </c>
      <c r="R341" s="8">
        <v>900</v>
      </c>
      <c r="S341" s="109">
        <f t="shared" si="12"/>
        <v>0</v>
      </c>
      <c r="W341" s="109"/>
      <c r="X341" s="40">
        <f t="shared" si="11"/>
        <v>0</v>
      </c>
    </row>
    <row r="342" spans="1:58" ht="19.95" customHeight="1">
      <c r="A342" s="18">
        <v>352</v>
      </c>
      <c r="B342" s="1009" t="s">
        <v>959</v>
      </c>
      <c r="C342" s="839" t="s">
        <v>960</v>
      </c>
      <c r="D342" s="839"/>
      <c r="E342" s="840" t="s">
        <v>959</v>
      </c>
      <c r="F342" s="19">
        <v>9819484917</v>
      </c>
      <c r="G342" s="840" t="s">
        <v>961</v>
      </c>
      <c r="H342" s="840" t="s">
        <v>962</v>
      </c>
      <c r="I342" s="839" t="s">
        <v>34</v>
      </c>
      <c r="J342" s="840" t="s">
        <v>12</v>
      </c>
      <c r="K342" s="18">
        <v>1500</v>
      </c>
      <c r="L342" s="43">
        <v>46213</v>
      </c>
      <c r="M342" s="46">
        <v>0.5</v>
      </c>
      <c r="N342" s="1004" t="s">
        <v>135</v>
      </c>
      <c r="O342" s="840" t="s">
        <v>197</v>
      </c>
      <c r="P342" s="1031" t="s">
        <v>19</v>
      </c>
      <c r="Q342" s="1032">
        <v>46220</v>
      </c>
      <c r="R342" s="8">
        <v>1500</v>
      </c>
      <c r="S342" s="109">
        <f t="shared" si="12"/>
        <v>0</v>
      </c>
      <c r="W342" s="109"/>
      <c r="X342" s="40">
        <f t="shared" si="11"/>
        <v>0</v>
      </c>
    </row>
    <row r="343" spans="1:58" s="752" customFormat="1" ht="19.95" customHeight="1">
      <c r="A343" s="748">
        <v>353</v>
      </c>
      <c r="B343" s="746" t="s">
        <v>1098</v>
      </c>
      <c r="C343" s="745" t="s">
        <v>1099</v>
      </c>
      <c r="D343" s="745" t="s">
        <v>1113</v>
      </c>
      <c r="E343" s="746" t="s">
        <v>1098</v>
      </c>
      <c r="F343" s="747" t="s">
        <v>1100</v>
      </c>
      <c r="G343" s="748" t="s">
        <v>38</v>
      </c>
      <c r="H343" s="748" t="s">
        <v>227</v>
      </c>
      <c r="I343" s="745" t="s">
        <v>1101</v>
      </c>
      <c r="J343" s="748" t="s">
        <v>1102</v>
      </c>
      <c r="K343" s="748">
        <v>3200</v>
      </c>
      <c r="L343" s="749">
        <v>46214</v>
      </c>
      <c r="M343" s="750">
        <v>0.41666666666666669</v>
      </c>
      <c r="N343" s="746" t="s">
        <v>108</v>
      </c>
      <c r="O343" s="748" t="s">
        <v>454</v>
      </c>
      <c r="P343" s="748"/>
      <c r="Q343" s="745"/>
      <c r="R343" s="745"/>
      <c r="S343" s="745">
        <f t="shared" si="12"/>
        <v>3200</v>
      </c>
      <c r="T343" s="748" t="s">
        <v>1209</v>
      </c>
      <c r="U343" s="745"/>
      <c r="V343" s="745"/>
      <c r="W343" s="745"/>
      <c r="X343" s="748">
        <f t="shared" si="11"/>
        <v>3200</v>
      </c>
      <c r="Y343" s="751"/>
      <c r="Z343" s="751"/>
      <c r="AA343" s="751"/>
      <c r="AB343" s="751"/>
      <c r="AC343" s="751"/>
      <c r="AD343" s="751"/>
      <c r="AE343" s="751"/>
      <c r="AF343" s="751"/>
      <c r="AG343" s="751"/>
      <c r="AH343" s="751"/>
      <c r="AI343" s="751"/>
      <c r="AJ343" s="751"/>
      <c r="AK343" s="751"/>
      <c r="AL343" s="751"/>
      <c r="AM343" s="751"/>
      <c r="AN343" s="751"/>
      <c r="AO343" s="751"/>
      <c r="AP343" s="751"/>
      <c r="AQ343" s="751"/>
      <c r="AR343" s="751"/>
      <c r="AS343" s="751"/>
      <c r="AT343" s="751"/>
      <c r="AU343" s="751"/>
      <c r="AV343" s="751"/>
      <c r="AW343" s="751"/>
      <c r="AX343" s="751"/>
      <c r="AY343" s="751"/>
      <c r="AZ343" s="751"/>
      <c r="BA343" s="751"/>
      <c r="BB343" s="751"/>
      <c r="BC343" s="751"/>
      <c r="BD343" s="751"/>
      <c r="BE343" s="751"/>
      <c r="BF343" s="751"/>
    </row>
    <row r="344" spans="1:58" ht="19.95" customHeight="1">
      <c r="A344" s="18">
        <v>354</v>
      </c>
      <c r="B344" s="1010" t="s">
        <v>1108</v>
      </c>
      <c r="C344" s="1011" t="s">
        <v>1107</v>
      </c>
      <c r="D344" s="1011" t="s">
        <v>1104</v>
      </c>
      <c r="E344" s="1012" t="s">
        <v>1105</v>
      </c>
      <c r="F344" s="19">
        <v>9819994859</v>
      </c>
      <c r="G344" s="953" t="s">
        <v>38</v>
      </c>
      <c r="H344" s="1012" t="s">
        <v>412</v>
      </c>
      <c r="I344" s="1011" t="s">
        <v>1106</v>
      </c>
      <c r="J344" s="1006" t="s">
        <v>12</v>
      </c>
      <c r="K344" s="18">
        <v>1800</v>
      </c>
      <c r="L344" s="43">
        <v>46221</v>
      </c>
      <c r="M344" s="1013">
        <v>0.75</v>
      </c>
      <c r="N344" s="1010" t="s">
        <v>104</v>
      </c>
      <c r="O344" s="840" t="s">
        <v>197</v>
      </c>
      <c r="P344" s="1119" t="s">
        <v>1</v>
      </c>
      <c r="Q344" s="529">
        <v>46216</v>
      </c>
      <c r="R344" s="8">
        <v>1600</v>
      </c>
      <c r="S344" s="109">
        <f t="shared" si="12"/>
        <v>200</v>
      </c>
      <c r="W344" s="109"/>
      <c r="X344" s="40">
        <f t="shared" si="11"/>
        <v>200</v>
      </c>
    </row>
    <row r="345" spans="1:58" ht="19.95" customHeight="1">
      <c r="A345" s="18">
        <v>355</v>
      </c>
      <c r="B345" s="1021" t="s">
        <v>1121</v>
      </c>
      <c r="C345" s="1018" t="s">
        <v>1114</v>
      </c>
      <c r="D345" s="1015" t="s">
        <v>1111</v>
      </c>
      <c r="E345" s="1024" t="s">
        <v>1122</v>
      </c>
      <c r="F345" s="19">
        <v>9028544552</v>
      </c>
      <c r="G345" s="953" t="s">
        <v>38</v>
      </c>
      <c r="H345" s="1016" t="s">
        <v>1112</v>
      </c>
      <c r="I345" s="1015" t="s">
        <v>1064</v>
      </c>
      <c r="J345" s="1016" t="s">
        <v>12</v>
      </c>
      <c r="K345" s="18">
        <v>1000</v>
      </c>
      <c r="L345" s="43">
        <v>46223</v>
      </c>
      <c r="M345" s="1017">
        <v>0.66666666666666663</v>
      </c>
      <c r="N345" s="1039" t="s">
        <v>104</v>
      </c>
      <c r="O345" s="1006" t="s">
        <v>35</v>
      </c>
      <c r="P345" s="1075" t="s">
        <v>19</v>
      </c>
      <c r="Q345" s="529">
        <v>46229</v>
      </c>
      <c r="R345" s="8">
        <v>1000</v>
      </c>
      <c r="S345" s="109">
        <f t="shared" si="12"/>
        <v>0</v>
      </c>
      <c r="W345" s="109"/>
      <c r="X345" s="40">
        <f t="shared" si="11"/>
        <v>0</v>
      </c>
    </row>
    <row r="346" spans="1:58" ht="19.95" customHeight="1">
      <c r="A346" s="18">
        <v>356</v>
      </c>
      <c r="B346" s="1014" t="s">
        <v>1110</v>
      </c>
      <c r="C346" s="1019" t="s">
        <v>1115</v>
      </c>
      <c r="D346" s="1015" t="s">
        <v>1109</v>
      </c>
      <c r="E346" s="1014" t="s">
        <v>1110</v>
      </c>
      <c r="F346" s="19">
        <v>9673185378</v>
      </c>
      <c r="G346" s="840" t="s">
        <v>961</v>
      </c>
      <c r="H346" s="1016" t="s">
        <v>39</v>
      </c>
      <c r="I346" s="1015" t="s">
        <v>1048</v>
      </c>
      <c r="J346" s="1016" t="s">
        <v>15</v>
      </c>
      <c r="K346" s="18">
        <v>2500</v>
      </c>
      <c r="L346" s="43">
        <v>46222</v>
      </c>
      <c r="M346" s="1017">
        <v>0.64583333333333337</v>
      </c>
      <c r="N346" s="1020" t="s">
        <v>231</v>
      </c>
      <c r="O346" s="1006" t="s">
        <v>35</v>
      </c>
      <c r="P346" s="1037" t="s">
        <v>19</v>
      </c>
      <c r="Q346" s="529">
        <v>46222</v>
      </c>
      <c r="R346" s="8">
        <v>2500</v>
      </c>
      <c r="S346" s="109">
        <f t="shared" si="12"/>
        <v>0</v>
      </c>
      <c r="W346" s="109"/>
      <c r="X346" s="40">
        <f t="shared" si="11"/>
        <v>0</v>
      </c>
    </row>
    <row r="347" spans="1:58" ht="19.95" customHeight="1">
      <c r="A347" s="18">
        <v>357</v>
      </c>
      <c r="B347" s="1021" t="s">
        <v>1120</v>
      </c>
      <c r="C347" s="1022" t="s">
        <v>1116</v>
      </c>
      <c r="D347" s="1022" t="s">
        <v>1117</v>
      </c>
      <c r="E347" s="1023" t="s">
        <v>1118</v>
      </c>
      <c r="F347" s="19">
        <v>6307606102</v>
      </c>
      <c r="G347" s="1023" t="s">
        <v>42</v>
      </c>
      <c r="H347" s="1023" t="s">
        <v>323</v>
      </c>
      <c r="I347" s="1022" t="s">
        <v>1119</v>
      </c>
      <c r="J347" s="1023" t="s">
        <v>12</v>
      </c>
      <c r="K347" s="18">
        <v>1500</v>
      </c>
      <c r="L347" s="43">
        <v>46221</v>
      </c>
      <c r="M347" s="46">
        <v>0.83333333333333337</v>
      </c>
      <c r="N347" s="1021" t="s">
        <v>104</v>
      </c>
      <c r="O347" s="840" t="s">
        <v>197</v>
      </c>
      <c r="P347" s="1072" t="s">
        <v>19</v>
      </c>
      <c r="Q347" s="529">
        <v>46236</v>
      </c>
      <c r="R347" s="8">
        <v>1000</v>
      </c>
      <c r="S347" s="109"/>
      <c r="T347" s="1072" t="s">
        <v>1166</v>
      </c>
      <c r="V347" s="529"/>
      <c r="W347" s="109"/>
      <c r="X347" s="40">
        <f t="shared" si="11"/>
        <v>0</v>
      </c>
    </row>
    <row r="348" spans="1:58" ht="19.95" customHeight="1">
      <c r="A348" s="18">
        <v>358</v>
      </c>
      <c r="B348" s="1026" t="s">
        <v>1123</v>
      </c>
      <c r="C348" s="1027" t="s">
        <v>1125</v>
      </c>
      <c r="D348" s="1027" t="s">
        <v>1126</v>
      </c>
      <c r="E348" s="1025" t="s">
        <v>1127</v>
      </c>
      <c r="F348" s="19">
        <v>6291555602</v>
      </c>
      <c r="G348" s="1025" t="s">
        <v>1124</v>
      </c>
      <c r="H348" s="1012" t="s">
        <v>412</v>
      </c>
      <c r="I348" s="1011" t="s">
        <v>1106</v>
      </c>
      <c r="J348" s="1025" t="s">
        <v>1102</v>
      </c>
      <c r="K348" s="18">
        <v>3000</v>
      </c>
      <c r="L348" s="43">
        <v>46222</v>
      </c>
      <c r="M348" s="46">
        <v>0.45833333333333331</v>
      </c>
      <c r="N348" s="1026" t="s">
        <v>104</v>
      </c>
      <c r="O348" s="1025" t="s">
        <v>197</v>
      </c>
      <c r="S348" s="109">
        <f t="shared" si="12"/>
        <v>3000</v>
      </c>
      <c r="W348" s="109"/>
      <c r="X348" s="40">
        <f t="shared" si="11"/>
        <v>3000</v>
      </c>
    </row>
    <row r="349" spans="1:58" ht="19.95" customHeight="1">
      <c r="A349" s="18">
        <v>359</v>
      </c>
      <c r="B349" s="1028" t="s">
        <v>1128</v>
      </c>
      <c r="C349" s="1029" t="s">
        <v>1131</v>
      </c>
      <c r="D349" s="1029" t="s">
        <v>1129</v>
      </c>
      <c r="E349" s="1030" t="s">
        <v>1130</v>
      </c>
      <c r="F349" s="19">
        <v>9930871715</v>
      </c>
      <c r="G349" s="953" t="s">
        <v>38</v>
      </c>
      <c r="H349" s="1030" t="s">
        <v>39</v>
      </c>
      <c r="I349" s="1015" t="s">
        <v>1048</v>
      </c>
      <c r="J349" s="1030" t="s">
        <v>12</v>
      </c>
      <c r="K349" s="18">
        <v>900</v>
      </c>
      <c r="L349" s="43">
        <v>46221</v>
      </c>
      <c r="M349" s="46">
        <v>0.54166666666666663</v>
      </c>
      <c r="N349" s="1028" t="s">
        <v>108</v>
      </c>
      <c r="O349" s="1030" t="s">
        <v>35</v>
      </c>
      <c r="P349" s="1040" t="s">
        <v>1</v>
      </c>
      <c r="Q349" s="529">
        <v>46221</v>
      </c>
      <c r="R349" s="8">
        <v>900</v>
      </c>
      <c r="S349" s="109">
        <f t="shared" si="12"/>
        <v>0</v>
      </c>
      <c r="W349" s="109"/>
      <c r="X349" s="40">
        <f t="shared" si="11"/>
        <v>0</v>
      </c>
    </row>
    <row r="350" spans="1:58" ht="19.95" customHeight="1">
      <c r="A350" s="18">
        <v>360</v>
      </c>
      <c r="B350" s="1033" t="s">
        <v>1132</v>
      </c>
      <c r="C350" s="1034" t="s">
        <v>1133</v>
      </c>
      <c r="D350" s="1034" t="s">
        <v>1109</v>
      </c>
      <c r="E350" s="1033" t="s">
        <v>1132</v>
      </c>
      <c r="F350" s="19">
        <v>7378740691</v>
      </c>
      <c r="G350" s="953" t="s">
        <v>38</v>
      </c>
      <c r="H350" s="1035" t="s">
        <v>39</v>
      </c>
      <c r="I350" s="1015" t="s">
        <v>1048</v>
      </c>
      <c r="J350" s="1030" t="s">
        <v>12</v>
      </c>
      <c r="K350" s="18">
        <v>900</v>
      </c>
      <c r="L350" s="1036">
        <v>46222</v>
      </c>
      <c r="M350" s="46">
        <v>0.39583333333333331</v>
      </c>
      <c r="N350" s="1033" t="s">
        <v>565</v>
      </c>
      <c r="O350" s="1035" t="s">
        <v>35</v>
      </c>
      <c r="P350" s="1038" t="s">
        <v>19</v>
      </c>
      <c r="Q350" s="529">
        <v>46222</v>
      </c>
      <c r="R350" s="8">
        <v>900</v>
      </c>
      <c r="S350" s="109">
        <f t="shared" si="12"/>
        <v>0</v>
      </c>
      <c r="W350" s="109"/>
      <c r="X350" s="40">
        <f t="shared" si="11"/>
        <v>0</v>
      </c>
    </row>
    <row r="351" spans="1:58" ht="19.95" customHeight="1">
      <c r="A351" s="18">
        <v>361</v>
      </c>
      <c r="B351" s="1041" t="s">
        <v>1134</v>
      </c>
      <c r="C351" s="1042" t="s">
        <v>1137</v>
      </c>
      <c r="D351" s="1042" t="s">
        <v>1135</v>
      </c>
      <c r="E351" s="1043" t="s">
        <v>1134</v>
      </c>
      <c r="F351" s="19">
        <v>9082531184</v>
      </c>
      <c r="G351" s="1043" t="s">
        <v>1136</v>
      </c>
      <c r="H351" s="1043" t="s">
        <v>61</v>
      </c>
      <c r="I351" s="1015" t="s">
        <v>1048</v>
      </c>
      <c r="J351" s="1044" t="s">
        <v>1138</v>
      </c>
      <c r="K351" s="18">
        <v>3000</v>
      </c>
      <c r="L351" s="43">
        <v>46228</v>
      </c>
      <c r="M351" s="46">
        <v>0.45833333333333331</v>
      </c>
      <c r="N351" s="1041" t="s">
        <v>231</v>
      </c>
      <c r="O351" s="1043" t="s">
        <v>454</v>
      </c>
      <c r="P351" s="1050" t="s">
        <v>1</v>
      </c>
      <c r="Q351" s="529">
        <v>46228</v>
      </c>
      <c r="R351" s="8">
        <v>3000</v>
      </c>
      <c r="S351" s="109">
        <f t="shared" si="12"/>
        <v>0</v>
      </c>
      <c r="W351" s="109"/>
      <c r="X351" s="40">
        <f t="shared" si="11"/>
        <v>0</v>
      </c>
    </row>
    <row r="352" spans="1:58" ht="19.95" customHeight="1">
      <c r="A352" s="18">
        <v>362</v>
      </c>
      <c r="B352" s="1045" t="s">
        <v>1139</v>
      </c>
      <c r="C352" s="1046" t="s">
        <v>1141</v>
      </c>
      <c r="D352" s="1046" t="s">
        <v>1129</v>
      </c>
      <c r="E352" s="1047" t="s">
        <v>1140</v>
      </c>
      <c r="F352" s="19">
        <v>9082033836</v>
      </c>
      <c r="G352" s="1043" t="s">
        <v>1136</v>
      </c>
      <c r="H352" s="1047" t="s">
        <v>39</v>
      </c>
      <c r="I352" s="1015" t="s">
        <v>1048</v>
      </c>
      <c r="J352" s="1030" t="s">
        <v>12</v>
      </c>
      <c r="K352" s="18">
        <v>2600</v>
      </c>
      <c r="L352" s="43">
        <v>46230</v>
      </c>
      <c r="M352" s="1048" t="s">
        <v>119</v>
      </c>
      <c r="N352" s="1045" t="s">
        <v>565</v>
      </c>
      <c r="O352" s="1050" t="s">
        <v>35</v>
      </c>
      <c r="P352" s="1049" t="s">
        <v>19</v>
      </c>
      <c r="Q352" s="529">
        <v>46230</v>
      </c>
      <c r="R352" s="8">
        <v>2600</v>
      </c>
      <c r="S352" s="109">
        <f t="shared" si="12"/>
        <v>0</v>
      </c>
      <c r="W352" s="109"/>
      <c r="X352" s="40">
        <f t="shared" si="11"/>
        <v>0</v>
      </c>
    </row>
    <row r="353" spans="1:58" ht="19.95" customHeight="1">
      <c r="A353" s="18">
        <v>363</v>
      </c>
      <c r="B353" s="1051" t="s">
        <v>1143</v>
      </c>
      <c r="C353" s="1052" t="s">
        <v>1142</v>
      </c>
      <c r="D353" s="1071" t="s">
        <v>59</v>
      </c>
      <c r="E353" s="1051" t="s">
        <v>1143</v>
      </c>
      <c r="F353" s="19">
        <v>9975485194</v>
      </c>
      <c r="G353" s="953" t="s">
        <v>38</v>
      </c>
      <c r="H353" s="1053" t="s">
        <v>39</v>
      </c>
      <c r="I353" s="1015" t="s">
        <v>1048</v>
      </c>
      <c r="J353" s="1053" t="s">
        <v>12</v>
      </c>
      <c r="K353" s="18">
        <v>1100</v>
      </c>
      <c r="L353" s="43">
        <v>46235</v>
      </c>
      <c r="M353" s="1054">
        <v>0.58333333333333337</v>
      </c>
      <c r="N353" s="1045" t="s">
        <v>565</v>
      </c>
      <c r="O353" s="1053" t="s">
        <v>35</v>
      </c>
      <c r="P353" s="1060" t="s">
        <v>19</v>
      </c>
      <c r="Q353" s="529">
        <v>46235</v>
      </c>
      <c r="R353" s="8">
        <v>1100</v>
      </c>
      <c r="S353" s="109">
        <f t="shared" si="12"/>
        <v>0</v>
      </c>
      <c r="W353" s="109"/>
      <c r="X353" s="40">
        <f t="shared" si="11"/>
        <v>0</v>
      </c>
    </row>
    <row r="354" spans="1:58" ht="19.95" customHeight="1">
      <c r="A354" s="18">
        <v>364</v>
      </c>
      <c r="B354" s="1051" t="s">
        <v>1144</v>
      </c>
      <c r="C354" s="1059" t="s">
        <v>1152</v>
      </c>
      <c r="E354" s="1058" t="s">
        <v>1148</v>
      </c>
      <c r="F354" s="19">
        <v>8355880176</v>
      </c>
      <c r="G354" s="1053" t="s">
        <v>38</v>
      </c>
      <c r="H354" s="1055" t="s">
        <v>412</v>
      </c>
      <c r="I354" s="1052" t="s">
        <v>1145</v>
      </c>
      <c r="J354" s="1053" t="s">
        <v>12</v>
      </c>
      <c r="K354" s="18">
        <v>1000</v>
      </c>
      <c r="L354" s="43">
        <v>46235</v>
      </c>
      <c r="M354" s="46">
        <v>0.66666666666666663</v>
      </c>
      <c r="N354" s="1028" t="s">
        <v>108</v>
      </c>
      <c r="O354" s="1053" t="s">
        <v>35</v>
      </c>
      <c r="P354" s="1066" t="s">
        <v>1162</v>
      </c>
      <c r="Q354" s="529">
        <v>46236</v>
      </c>
      <c r="R354" s="8">
        <v>1000</v>
      </c>
      <c r="S354" s="109">
        <f t="shared" si="12"/>
        <v>0</v>
      </c>
      <c r="W354" s="109"/>
      <c r="X354" s="40">
        <f t="shared" si="11"/>
        <v>0</v>
      </c>
    </row>
    <row r="355" spans="1:58" ht="19.95" customHeight="1">
      <c r="A355" s="18">
        <v>365</v>
      </c>
      <c r="B355" s="1056" t="s">
        <v>1151</v>
      </c>
      <c r="C355" s="1057" t="s">
        <v>1146</v>
      </c>
      <c r="E355" s="1058" t="s">
        <v>1147</v>
      </c>
      <c r="F355" s="19">
        <v>9987987977</v>
      </c>
      <c r="G355" s="1058" t="s">
        <v>1150</v>
      </c>
      <c r="H355" s="1060" t="s">
        <v>1153</v>
      </c>
      <c r="I355" s="1057" t="s">
        <v>1149</v>
      </c>
      <c r="J355" s="1058" t="s">
        <v>12</v>
      </c>
      <c r="K355" s="18">
        <v>3500</v>
      </c>
      <c r="L355" s="43">
        <v>46236</v>
      </c>
      <c r="M355" s="46">
        <v>0.95833333333333337</v>
      </c>
      <c r="N355" s="1056" t="s">
        <v>565</v>
      </c>
      <c r="O355" s="1058" t="s">
        <v>565</v>
      </c>
      <c r="P355" s="1075" t="s">
        <v>19</v>
      </c>
      <c r="Q355" s="529">
        <v>46236</v>
      </c>
      <c r="R355" s="8">
        <v>1700</v>
      </c>
      <c r="S355" s="109">
        <f t="shared" si="12"/>
        <v>1800</v>
      </c>
      <c r="U355" s="1278" t="s">
        <v>19</v>
      </c>
      <c r="V355" s="529">
        <v>46243</v>
      </c>
      <c r="W355" s="109">
        <v>1700</v>
      </c>
      <c r="X355" s="40">
        <f t="shared" si="11"/>
        <v>100</v>
      </c>
    </row>
    <row r="356" spans="1:58" ht="19.95" customHeight="1">
      <c r="A356" s="18">
        <v>366</v>
      </c>
      <c r="B356" s="1061" t="s">
        <v>1156</v>
      </c>
      <c r="C356" s="1062" t="s">
        <v>1155</v>
      </c>
      <c r="D356" s="1062" t="s">
        <v>1129</v>
      </c>
      <c r="E356" s="1061" t="s">
        <v>1154</v>
      </c>
      <c r="F356" s="19">
        <v>9082346037</v>
      </c>
      <c r="G356" s="1053" t="s">
        <v>38</v>
      </c>
      <c r="H356" s="1047" t="s">
        <v>39</v>
      </c>
      <c r="I356" s="1015" t="s">
        <v>1048</v>
      </c>
      <c r="J356" s="1058" t="s">
        <v>12</v>
      </c>
      <c r="K356" s="18">
        <v>800</v>
      </c>
      <c r="L356" s="43">
        <v>46236</v>
      </c>
      <c r="M356" s="46">
        <v>0.41666666666666669</v>
      </c>
      <c r="N356" s="1061" t="s">
        <v>565</v>
      </c>
      <c r="O356" s="1063" t="s">
        <v>35</v>
      </c>
      <c r="P356" s="1066" t="s">
        <v>1162</v>
      </c>
      <c r="Q356" s="1065" t="s">
        <v>1163</v>
      </c>
      <c r="R356" s="8">
        <v>800</v>
      </c>
      <c r="S356" s="109">
        <f t="shared" si="12"/>
        <v>0</v>
      </c>
      <c r="W356" s="109"/>
      <c r="X356" s="40">
        <f t="shared" si="11"/>
        <v>0</v>
      </c>
    </row>
    <row r="357" spans="1:58" s="1225" customFormat="1" ht="19.95" customHeight="1">
      <c r="A357" s="1218">
        <v>367</v>
      </c>
      <c r="B357" s="1219" t="s">
        <v>1157</v>
      </c>
      <c r="C357" s="1220" t="s">
        <v>1158</v>
      </c>
      <c r="D357" s="1220" t="s">
        <v>1159</v>
      </c>
      <c r="E357" s="1219" t="s">
        <v>1157</v>
      </c>
      <c r="F357" s="1221">
        <v>9892200478</v>
      </c>
      <c r="G357" s="1218" t="s">
        <v>38</v>
      </c>
      <c r="H357" s="1218" t="s">
        <v>39</v>
      </c>
      <c r="I357" s="1220" t="s">
        <v>1048</v>
      </c>
      <c r="J357" s="1218" t="s">
        <v>12</v>
      </c>
      <c r="K357" s="1218" t="s">
        <v>1226</v>
      </c>
      <c r="L357" s="1222">
        <v>46236</v>
      </c>
      <c r="M357" s="1223">
        <v>0.54166666666666663</v>
      </c>
      <c r="N357" s="1219" t="s">
        <v>565</v>
      </c>
      <c r="O357" s="1218" t="s">
        <v>198</v>
      </c>
      <c r="P357" s="1247" t="s">
        <v>16</v>
      </c>
      <c r="Q357" s="1220"/>
      <c r="R357" s="1220"/>
      <c r="S357" s="1220" t="e">
        <f t="shared" si="12"/>
        <v>#VALUE!</v>
      </c>
      <c r="T357" s="1218"/>
      <c r="U357" s="1220"/>
      <c r="V357" s="1220"/>
      <c r="W357" s="1220"/>
      <c r="X357" s="1218" t="e">
        <f t="shared" si="11"/>
        <v>#VALUE!</v>
      </c>
      <c r="Y357" s="1224"/>
      <c r="Z357" s="1224"/>
      <c r="AA357" s="1224"/>
      <c r="AB357" s="1224"/>
      <c r="AC357" s="1224"/>
      <c r="AD357" s="1224"/>
      <c r="AE357" s="1224"/>
      <c r="AF357" s="1224"/>
      <c r="AG357" s="1224"/>
      <c r="AH357" s="1224"/>
      <c r="AI357" s="1224"/>
      <c r="AJ357" s="1224"/>
      <c r="AK357" s="1224"/>
      <c r="AL357" s="1224"/>
      <c r="AM357" s="1224"/>
      <c r="AN357" s="1224"/>
      <c r="AO357" s="1224"/>
      <c r="AP357" s="1224"/>
      <c r="AQ357" s="1224"/>
      <c r="AR357" s="1224"/>
      <c r="AS357" s="1224"/>
      <c r="AT357" s="1224"/>
      <c r="AU357" s="1224"/>
      <c r="AV357" s="1224"/>
      <c r="AW357" s="1224"/>
      <c r="AX357" s="1224"/>
      <c r="AY357" s="1224"/>
      <c r="AZ357" s="1224"/>
      <c r="BA357" s="1224"/>
      <c r="BB357" s="1224"/>
      <c r="BC357" s="1224"/>
      <c r="BD357" s="1224"/>
      <c r="BE357" s="1224"/>
      <c r="BF357" s="1224"/>
    </row>
    <row r="358" spans="1:58" ht="19.95" customHeight="1">
      <c r="A358" s="18">
        <v>368</v>
      </c>
      <c r="B358" s="1064" t="s">
        <v>1160</v>
      </c>
      <c r="C358" s="1083" t="s">
        <v>1181</v>
      </c>
      <c r="E358" s="1064" t="s">
        <v>1160</v>
      </c>
      <c r="F358" s="19">
        <v>9890083883</v>
      </c>
      <c r="G358" s="1066" t="s">
        <v>1161</v>
      </c>
      <c r="H358" s="1047" t="s">
        <v>39</v>
      </c>
      <c r="I358" s="1015" t="s">
        <v>1048</v>
      </c>
      <c r="J358" s="1066" t="s">
        <v>1102</v>
      </c>
      <c r="K358" s="18">
        <v>3500</v>
      </c>
      <c r="L358" s="1070">
        <v>46237</v>
      </c>
      <c r="M358" s="46">
        <v>0.625</v>
      </c>
      <c r="N358" s="1064" t="s">
        <v>108</v>
      </c>
      <c r="O358" s="1066" t="s">
        <v>35</v>
      </c>
      <c r="P358" s="1075" t="s">
        <v>19</v>
      </c>
      <c r="Q358" s="529">
        <v>46237</v>
      </c>
      <c r="R358" s="8">
        <v>3500</v>
      </c>
      <c r="S358" s="109">
        <f t="shared" si="12"/>
        <v>0</v>
      </c>
      <c r="W358" s="109"/>
      <c r="X358" s="40">
        <f t="shared" si="11"/>
        <v>0</v>
      </c>
    </row>
    <row r="359" spans="1:58" ht="19.95" customHeight="1">
      <c r="A359" s="18">
        <v>369</v>
      </c>
      <c r="B359" s="1067" t="s">
        <v>1164</v>
      </c>
      <c r="C359" s="1068" t="s">
        <v>1165</v>
      </c>
      <c r="D359" s="1068" t="s">
        <v>1129</v>
      </c>
      <c r="E359" s="1067" t="s">
        <v>1164</v>
      </c>
      <c r="F359" s="19">
        <v>7249422084</v>
      </c>
      <c r="G359" s="1053" t="s">
        <v>38</v>
      </c>
      <c r="H359" s="1069" t="s">
        <v>55</v>
      </c>
      <c r="I359" s="1015" t="s">
        <v>1048</v>
      </c>
      <c r="J359" s="1069" t="s">
        <v>12</v>
      </c>
      <c r="K359" s="18">
        <v>600</v>
      </c>
      <c r="L359" s="43">
        <v>46237</v>
      </c>
      <c r="M359" s="46">
        <v>0.375</v>
      </c>
      <c r="N359" s="1064" t="s">
        <v>108</v>
      </c>
      <c r="O359" s="1069" t="s">
        <v>35</v>
      </c>
      <c r="P359" s="1075" t="s">
        <v>19</v>
      </c>
      <c r="Q359" s="529">
        <v>46237</v>
      </c>
      <c r="R359" s="8">
        <v>600</v>
      </c>
      <c r="S359" s="109">
        <f t="shared" si="12"/>
        <v>0</v>
      </c>
      <c r="W359" s="109"/>
      <c r="X359" s="40">
        <f t="shared" si="11"/>
        <v>0</v>
      </c>
    </row>
    <row r="360" spans="1:58" ht="19.95" customHeight="1">
      <c r="A360" s="18">
        <v>370</v>
      </c>
      <c r="B360" s="1073" t="s">
        <v>1167</v>
      </c>
      <c r="C360" s="1074" t="s">
        <v>1168</v>
      </c>
      <c r="E360" s="1073" t="s">
        <v>1167</v>
      </c>
      <c r="F360" s="19">
        <v>8235079018</v>
      </c>
      <c r="G360" s="1053" t="s">
        <v>38</v>
      </c>
      <c r="H360" s="1047" t="s">
        <v>39</v>
      </c>
      <c r="I360" s="1015" t="s">
        <v>1048</v>
      </c>
      <c r="J360" s="1075" t="s">
        <v>1102</v>
      </c>
      <c r="K360" s="18">
        <v>2500</v>
      </c>
      <c r="L360" s="1079">
        <v>46239</v>
      </c>
      <c r="M360" s="46">
        <v>0.41666666666666669</v>
      </c>
      <c r="N360" s="1073" t="s">
        <v>231</v>
      </c>
      <c r="O360" s="1075" t="s">
        <v>35</v>
      </c>
      <c r="P360" s="1100" t="s">
        <v>19</v>
      </c>
      <c r="Q360" s="529">
        <v>46236</v>
      </c>
      <c r="R360" s="8">
        <v>2500</v>
      </c>
      <c r="S360" s="109">
        <f t="shared" si="12"/>
        <v>0</v>
      </c>
      <c r="W360" s="109"/>
      <c r="X360" s="40">
        <f t="shared" si="11"/>
        <v>0</v>
      </c>
    </row>
    <row r="361" spans="1:58" ht="19.95" customHeight="1">
      <c r="A361" s="18">
        <v>371</v>
      </c>
      <c r="B361" s="1101" t="s">
        <v>1198</v>
      </c>
      <c r="C361" s="1077" t="s">
        <v>1169</v>
      </c>
      <c r="E361" s="1076" t="s">
        <v>1170</v>
      </c>
      <c r="F361" s="19">
        <v>7387898879</v>
      </c>
      <c r="G361" s="1053" t="s">
        <v>38</v>
      </c>
      <c r="H361" s="1078" t="s">
        <v>1172</v>
      </c>
      <c r="I361" s="1077" t="s">
        <v>1173</v>
      </c>
      <c r="J361" s="1078" t="s">
        <v>12</v>
      </c>
      <c r="K361" s="18">
        <v>2500</v>
      </c>
      <c r="L361" s="43">
        <v>46239</v>
      </c>
      <c r="M361" s="46">
        <v>0.5</v>
      </c>
      <c r="N361" s="1076" t="s">
        <v>1171</v>
      </c>
      <c r="O361" s="1078" t="s">
        <v>35</v>
      </c>
      <c r="P361" s="1100" t="s">
        <v>19</v>
      </c>
      <c r="Q361" s="529">
        <v>46239</v>
      </c>
      <c r="R361" s="8">
        <v>2500</v>
      </c>
      <c r="S361" s="109">
        <f t="shared" si="12"/>
        <v>0</v>
      </c>
      <c r="W361" s="109"/>
      <c r="X361" s="40">
        <f t="shared" si="11"/>
        <v>0</v>
      </c>
    </row>
    <row r="362" spans="1:58" s="752" customFormat="1" ht="19.95" customHeight="1">
      <c r="A362" s="748">
        <v>372</v>
      </c>
      <c r="B362" s="746" t="s">
        <v>1174</v>
      </c>
      <c r="C362" s="745" t="s">
        <v>1176</v>
      </c>
      <c r="D362" s="745" t="s">
        <v>1175</v>
      </c>
      <c r="E362" s="746" t="s">
        <v>1174</v>
      </c>
      <c r="F362" s="747">
        <v>8237690054</v>
      </c>
      <c r="G362" s="748" t="s">
        <v>38</v>
      </c>
      <c r="H362" s="748" t="s">
        <v>61</v>
      </c>
      <c r="I362" s="745" t="s">
        <v>1048</v>
      </c>
      <c r="J362" s="748" t="s">
        <v>12</v>
      </c>
      <c r="K362" s="748"/>
      <c r="L362" s="749">
        <v>46239</v>
      </c>
      <c r="M362" s="750">
        <v>0.58333333333333337</v>
      </c>
      <c r="N362" s="746" t="s">
        <v>231</v>
      </c>
      <c r="O362" s="748" t="s">
        <v>198</v>
      </c>
      <c r="P362" s="748"/>
      <c r="Q362" s="745"/>
      <c r="R362" s="745"/>
      <c r="S362" s="745">
        <f t="shared" si="12"/>
        <v>0</v>
      </c>
      <c r="T362" s="748" t="s">
        <v>1350</v>
      </c>
      <c r="U362" s="745"/>
      <c r="V362" s="745"/>
      <c r="W362" s="745"/>
      <c r="X362" s="748">
        <f t="shared" si="11"/>
        <v>0</v>
      </c>
      <c r="Y362" s="751"/>
      <c r="Z362" s="751"/>
      <c r="AA362" s="751"/>
      <c r="AB362" s="751"/>
      <c r="AC362" s="751"/>
      <c r="AD362" s="751"/>
      <c r="AE362" s="751"/>
      <c r="AF362" s="751"/>
      <c r="AG362" s="751"/>
      <c r="AH362" s="751"/>
      <c r="AI362" s="751"/>
      <c r="AJ362" s="751"/>
      <c r="AK362" s="751"/>
      <c r="AL362" s="751"/>
      <c r="AM362" s="751"/>
      <c r="AN362" s="751"/>
      <c r="AO362" s="751"/>
      <c r="AP362" s="751"/>
      <c r="AQ362" s="751"/>
      <c r="AR362" s="751"/>
      <c r="AS362" s="751"/>
      <c r="AT362" s="751"/>
      <c r="AU362" s="751"/>
      <c r="AV362" s="751"/>
      <c r="AW362" s="751"/>
      <c r="AX362" s="751"/>
      <c r="AY362" s="751"/>
      <c r="AZ362" s="751"/>
      <c r="BA362" s="751"/>
      <c r="BB362" s="751"/>
      <c r="BC362" s="751"/>
      <c r="BD362" s="751"/>
      <c r="BE362" s="751"/>
      <c r="BF362" s="751"/>
    </row>
    <row r="363" spans="1:58" ht="19.95" customHeight="1">
      <c r="A363" s="18">
        <v>373</v>
      </c>
      <c r="B363" s="1080" t="s">
        <v>1177</v>
      </c>
      <c r="C363" s="1081" t="s">
        <v>1179</v>
      </c>
      <c r="D363" s="1081" t="s">
        <v>1117</v>
      </c>
      <c r="E363" s="1082" t="s">
        <v>1178</v>
      </c>
      <c r="F363" s="19">
        <v>9082933806</v>
      </c>
      <c r="G363" s="1053" t="s">
        <v>38</v>
      </c>
      <c r="H363" s="1082" t="s">
        <v>39</v>
      </c>
      <c r="I363" s="1015" t="s">
        <v>1048</v>
      </c>
      <c r="J363" s="1078" t="s">
        <v>12</v>
      </c>
      <c r="K363" s="1082" t="s">
        <v>1180</v>
      </c>
      <c r="L363" s="43">
        <v>46236</v>
      </c>
      <c r="M363" s="46">
        <v>0.66666666666666663</v>
      </c>
      <c r="N363" s="1080" t="s">
        <v>108</v>
      </c>
      <c r="O363" s="1082" t="s">
        <v>198</v>
      </c>
      <c r="P363" s="1123" t="s">
        <v>1226</v>
      </c>
      <c r="S363" s="109" t="e">
        <f t="shared" si="12"/>
        <v>#VALUE!</v>
      </c>
      <c r="W363" s="109"/>
      <c r="X363" s="40" t="e">
        <f t="shared" si="11"/>
        <v>#VALUE!</v>
      </c>
    </row>
    <row r="364" spans="1:58" ht="19.95" customHeight="1">
      <c r="A364" s="18">
        <v>374</v>
      </c>
      <c r="B364" s="1084" t="s">
        <v>1182</v>
      </c>
      <c r="C364" s="1085" t="s">
        <v>1184</v>
      </c>
      <c r="D364" s="1085" t="s">
        <v>1183</v>
      </c>
      <c r="E364" s="1084" t="s">
        <v>1182</v>
      </c>
      <c r="F364" s="19">
        <v>9820402618</v>
      </c>
      <c r="G364" s="1053" t="s">
        <v>38</v>
      </c>
      <c r="H364" s="1086" t="s">
        <v>55</v>
      </c>
      <c r="I364" s="1015" t="s">
        <v>1048</v>
      </c>
      <c r="J364" s="1078" t="s">
        <v>12</v>
      </c>
      <c r="K364" s="18">
        <v>900</v>
      </c>
      <c r="L364" s="43">
        <v>46241</v>
      </c>
      <c r="M364" s="46">
        <v>0.66666666666666663</v>
      </c>
      <c r="N364" s="1080" t="s">
        <v>108</v>
      </c>
      <c r="O364" s="1086" t="s">
        <v>454</v>
      </c>
      <c r="P364" s="1108" t="s">
        <v>19</v>
      </c>
      <c r="Q364" s="529">
        <v>46241</v>
      </c>
      <c r="R364" s="8">
        <v>900</v>
      </c>
      <c r="S364" s="109">
        <f t="shared" si="12"/>
        <v>0</v>
      </c>
      <c r="W364" s="109"/>
      <c r="X364" s="40">
        <f t="shared" si="11"/>
        <v>0</v>
      </c>
    </row>
    <row r="365" spans="1:58" ht="19.95" customHeight="1">
      <c r="A365" s="18">
        <v>375</v>
      </c>
      <c r="B365" s="1087" t="s">
        <v>1185</v>
      </c>
      <c r="C365" s="1088" t="s">
        <v>1186</v>
      </c>
      <c r="D365" s="1088" t="s">
        <v>1129</v>
      </c>
      <c r="E365" s="1087" t="s">
        <v>1185</v>
      </c>
      <c r="F365" s="19">
        <v>9594179993</v>
      </c>
      <c r="G365" s="1089" t="s">
        <v>1188</v>
      </c>
      <c r="H365" s="1095" t="s">
        <v>61</v>
      </c>
      <c r="I365" s="1015" t="s">
        <v>1048</v>
      </c>
      <c r="J365" s="1078" t="s">
        <v>12</v>
      </c>
      <c r="K365" s="18">
        <v>3000</v>
      </c>
      <c r="L365" s="43">
        <v>46242</v>
      </c>
      <c r="M365" s="1090" t="s">
        <v>1187</v>
      </c>
      <c r="N365" s="1087" t="s">
        <v>1189</v>
      </c>
      <c r="O365" s="1089" t="s">
        <v>35</v>
      </c>
      <c r="P365" s="1100" t="s">
        <v>19</v>
      </c>
      <c r="Q365" s="529">
        <v>46242</v>
      </c>
      <c r="R365" s="8">
        <v>3000</v>
      </c>
      <c r="S365" s="109">
        <f t="shared" si="12"/>
        <v>0</v>
      </c>
      <c r="W365" s="109"/>
      <c r="X365" s="40">
        <f t="shared" si="11"/>
        <v>0</v>
      </c>
    </row>
    <row r="366" spans="1:58" ht="19.95" customHeight="1">
      <c r="A366" s="18">
        <v>376</v>
      </c>
      <c r="B366" s="1087" t="s">
        <v>1190</v>
      </c>
      <c r="C366" s="1088" t="s">
        <v>1191</v>
      </c>
      <c r="D366" s="1088" t="s">
        <v>1129</v>
      </c>
      <c r="E366" s="1087" t="s">
        <v>1190</v>
      </c>
      <c r="F366" s="19">
        <v>9920127345</v>
      </c>
      <c r="G366" s="1089" t="s">
        <v>961</v>
      </c>
      <c r="H366" s="1089" t="s">
        <v>39</v>
      </c>
      <c r="I366" s="1015" t="s">
        <v>1048</v>
      </c>
      <c r="J366" s="1078" t="s">
        <v>12</v>
      </c>
      <c r="K366" s="18">
        <v>3000</v>
      </c>
      <c r="L366" s="43">
        <v>46243</v>
      </c>
      <c r="M366" s="1094" t="s">
        <v>1187</v>
      </c>
      <c r="N366" s="1087" t="s">
        <v>1189</v>
      </c>
      <c r="O366" s="1089" t="s">
        <v>35</v>
      </c>
      <c r="P366" s="1107" t="s">
        <v>19</v>
      </c>
      <c r="Q366" s="529">
        <v>46243</v>
      </c>
      <c r="R366" s="8">
        <v>3000</v>
      </c>
      <c r="S366" s="109">
        <f t="shared" si="12"/>
        <v>0</v>
      </c>
      <c r="W366" s="109"/>
      <c r="X366" s="40">
        <f t="shared" si="11"/>
        <v>0</v>
      </c>
    </row>
    <row r="367" spans="1:58" ht="19.95" customHeight="1">
      <c r="A367" s="18">
        <v>377</v>
      </c>
      <c r="B367" s="1091" t="s">
        <v>1192</v>
      </c>
      <c r="C367" s="1092" t="s">
        <v>1193</v>
      </c>
      <c r="D367" s="1092" t="s">
        <v>1129</v>
      </c>
      <c r="E367" s="1091" t="s">
        <v>1192</v>
      </c>
      <c r="F367" s="19">
        <v>8976665710</v>
      </c>
      <c r="G367" s="1053" t="s">
        <v>38</v>
      </c>
      <c r="H367" s="1093" t="s">
        <v>39</v>
      </c>
      <c r="I367" s="1015" t="s">
        <v>1048</v>
      </c>
      <c r="J367" s="1078" t="s">
        <v>12</v>
      </c>
      <c r="K367" s="18">
        <v>900</v>
      </c>
      <c r="L367" s="43">
        <v>46242</v>
      </c>
      <c r="M367" s="1094" t="s">
        <v>1194</v>
      </c>
      <c r="N367" s="1087" t="s">
        <v>1189</v>
      </c>
      <c r="O367" s="1089" t="s">
        <v>35</v>
      </c>
      <c r="P367" s="1100" t="s">
        <v>19</v>
      </c>
      <c r="Q367" s="529">
        <v>46242</v>
      </c>
      <c r="R367" s="8">
        <v>900</v>
      </c>
      <c r="S367" s="109">
        <f t="shared" si="12"/>
        <v>0</v>
      </c>
      <c r="W367" s="109"/>
      <c r="X367" s="40">
        <f t="shared" si="11"/>
        <v>0</v>
      </c>
    </row>
    <row r="368" spans="1:58" ht="19.95" customHeight="1">
      <c r="A368" s="18">
        <v>378</v>
      </c>
      <c r="B368" s="1096" t="s">
        <v>1195</v>
      </c>
      <c r="C368" s="1097" t="s">
        <v>1196</v>
      </c>
      <c r="D368" s="1097" t="s">
        <v>1129</v>
      </c>
      <c r="E368" s="1096" t="s">
        <v>1195</v>
      </c>
      <c r="F368" s="19">
        <v>9820001688</v>
      </c>
      <c r="G368" s="1053" t="s">
        <v>38</v>
      </c>
      <c r="H368" s="1098" t="s">
        <v>39</v>
      </c>
      <c r="I368" s="1015" t="s">
        <v>1048</v>
      </c>
      <c r="J368" s="1098" t="s">
        <v>12</v>
      </c>
      <c r="K368" s="18">
        <v>500</v>
      </c>
      <c r="L368" s="43">
        <v>46243</v>
      </c>
      <c r="M368" s="1099" t="s">
        <v>1197</v>
      </c>
      <c r="N368" s="1096" t="s">
        <v>1189</v>
      </c>
      <c r="O368" s="1098" t="s">
        <v>198</v>
      </c>
      <c r="S368" s="109">
        <f t="shared" si="12"/>
        <v>500</v>
      </c>
      <c r="W368" s="109"/>
      <c r="X368" s="40">
        <f t="shared" si="11"/>
        <v>500</v>
      </c>
    </row>
    <row r="369" spans="1:24" ht="19.95" customHeight="1">
      <c r="A369" s="18">
        <v>379</v>
      </c>
      <c r="B369" s="1102" t="s">
        <v>1199</v>
      </c>
      <c r="C369" s="1103" t="s">
        <v>1200</v>
      </c>
      <c r="E369" s="1102" t="s">
        <v>1199</v>
      </c>
      <c r="F369" s="19">
        <v>9028620349</v>
      </c>
      <c r="G369" s="1053" t="s">
        <v>38</v>
      </c>
      <c r="H369" s="1095" t="s">
        <v>61</v>
      </c>
      <c r="I369" s="1015" t="s">
        <v>1048</v>
      </c>
      <c r="J369" s="1098" t="s">
        <v>12</v>
      </c>
      <c r="K369" s="18">
        <v>1000</v>
      </c>
      <c r="L369" s="43">
        <v>46244</v>
      </c>
      <c r="M369" s="46">
        <v>0.375</v>
      </c>
      <c r="N369" s="1096" t="s">
        <v>1189</v>
      </c>
      <c r="O369" s="1104" t="s">
        <v>35</v>
      </c>
      <c r="P369" s="1123" t="s">
        <v>19</v>
      </c>
      <c r="Q369" s="529">
        <v>46244</v>
      </c>
      <c r="R369" s="8">
        <v>1000</v>
      </c>
      <c r="S369" s="109">
        <f t="shared" si="12"/>
        <v>0</v>
      </c>
      <c r="W369" s="109"/>
      <c r="X369" s="40">
        <f t="shared" si="11"/>
        <v>0</v>
      </c>
    </row>
    <row r="370" spans="1:24" ht="19.95" customHeight="1">
      <c r="A370" s="18">
        <v>380</v>
      </c>
      <c r="B370" s="1102" t="s">
        <v>1201</v>
      </c>
      <c r="C370" s="1103" t="s">
        <v>1202</v>
      </c>
      <c r="E370" s="1102" t="s">
        <v>1201</v>
      </c>
      <c r="F370" s="19">
        <v>8087298863</v>
      </c>
      <c r="G370" s="1053" t="s">
        <v>38</v>
      </c>
      <c r="H370" s="1114" t="s">
        <v>61</v>
      </c>
      <c r="I370" s="1015" t="s">
        <v>1048</v>
      </c>
      <c r="J370" s="1098" t="s">
        <v>12</v>
      </c>
      <c r="K370" s="18">
        <v>1000</v>
      </c>
      <c r="L370" s="43">
        <v>46244</v>
      </c>
      <c r="M370" s="46">
        <v>0.45833333333333331</v>
      </c>
      <c r="N370" s="1096" t="s">
        <v>1189</v>
      </c>
      <c r="O370" s="1104" t="s">
        <v>35</v>
      </c>
      <c r="P370" s="1123" t="s">
        <v>19</v>
      </c>
      <c r="Q370" s="529">
        <v>46244</v>
      </c>
      <c r="R370" s="8">
        <v>1000</v>
      </c>
      <c r="S370" s="109">
        <f t="shared" si="12"/>
        <v>0</v>
      </c>
      <c r="W370" s="109"/>
      <c r="X370" s="40">
        <f t="shared" si="11"/>
        <v>0</v>
      </c>
    </row>
    <row r="371" spans="1:24" ht="19.95" customHeight="1">
      <c r="A371" s="18">
        <v>381</v>
      </c>
      <c r="B371" s="1102" t="s">
        <v>1203</v>
      </c>
      <c r="C371" s="1103" t="s">
        <v>1204</v>
      </c>
      <c r="E371" s="1102" t="s">
        <v>1203</v>
      </c>
      <c r="F371" s="19">
        <v>8104098495</v>
      </c>
      <c r="G371" s="1053" t="s">
        <v>38</v>
      </c>
      <c r="H371" s="1104" t="s">
        <v>55</v>
      </c>
      <c r="I371" s="1015" t="s">
        <v>1048</v>
      </c>
      <c r="J371" s="1104" t="s">
        <v>12</v>
      </c>
      <c r="K371" s="18">
        <v>600</v>
      </c>
      <c r="L371" s="43">
        <v>46244</v>
      </c>
      <c r="M371" s="46">
        <v>0.375</v>
      </c>
      <c r="N371" s="1102" t="s">
        <v>104</v>
      </c>
      <c r="O371" s="1104" t="s">
        <v>35</v>
      </c>
      <c r="P371" s="1123" t="s">
        <v>19</v>
      </c>
      <c r="Q371" s="529">
        <v>46244</v>
      </c>
      <c r="R371" s="8">
        <v>600</v>
      </c>
      <c r="S371" s="109">
        <f t="shared" si="12"/>
        <v>0</v>
      </c>
      <c r="W371" s="109"/>
      <c r="X371" s="40">
        <f t="shared" si="11"/>
        <v>0</v>
      </c>
    </row>
    <row r="372" spans="1:24" ht="19.95" customHeight="1">
      <c r="A372" s="18">
        <v>382</v>
      </c>
      <c r="B372" s="1102" t="s">
        <v>1205</v>
      </c>
      <c r="C372" s="1106" t="s">
        <v>1208</v>
      </c>
      <c r="D372" s="1105" t="s">
        <v>1207</v>
      </c>
      <c r="E372" s="1102" t="s">
        <v>1205</v>
      </c>
      <c r="F372" s="19">
        <v>9892158870</v>
      </c>
      <c r="G372" s="1104" t="s">
        <v>1161</v>
      </c>
      <c r="H372" s="1104" t="s">
        <v>55</v>
      </c>
      <c r="I372" s="1015" t="s">
        <v>1048</v>
      </c>
      <c r="J372" s="1104" t="s">
        <v>1102</v>
      </c>
      <c r="K372" s="18">
        <v>2800</v>
      </c>
      <c r="L372" s="43">
        <v>46245</v>
      </c>
      <c r="M372" s="46">
        <v>0.625</v>
      </c>
      <c r="N372" s="1102" t="s">
        <v>231</v>
      </c>
      <c r="O372" s="1102" t="s">
        <v>1206</v>
      </c>
      <c r="P372" s="1120" t="s">
        <v>1</v>
      </c>
      <c r="Q372" s="529">
        <v>46245</v>
      </c>
      <c r="R372" s="8">
        <v>2000</v>
      </c>
      <c r="S372" s="109">
        <f t="shared" si="12"/>
        <v>800</v>
      </c>
      <c r="W372" s="109"/>
      <c r="X372" s="40">
        <f t="shared" si="11"/>
        <v>800</v>
      </c>
    </row>
    <row r="373" spans="1:24" ht="19.95" customHeight="1">
      <c r="A373" s="18">
        <v>383</v>
      </c>
      <c r="B373" s="1109" t="s">
        <v>1210</v>
      </c>
      <c r="C373" s="1282" t="s">
        <v>1215</v>
      </c>
      <c r="D373" s="1110" t="s">
        <v>1211</v>
      </c>
      <c r="E373" s="1109" t="s">
        <v>1210</v>
      </c>
      <c r="F373" s="19">
        <v>9820286465</v>
      </c>
      <c r="G373" s="1111" t="s">
        <v>1212</v>
      </c>
      <c r="H373" s="1111" t="s">
        <v>1213</v>
      </c>
      <c r="I373" s="1200" t="s">
        <v>1214</v>
      </c>
      <c r="J373" s="1111" t="s">
        <v>12</v>
      </c>
      <c r="K373" s="1198" t="s">
        <v>1226</v>
      </c>
      <c r="L373" s="43">
        <v>46245</v>
      </c>
      <c r="M373" s="1112">
        <v>0.54166666666666663</v>
      </c>
      <c r="N373" s="1109" t="s">
        <v>108</v>
      </c>
      <c r="O373" s="1111" t="s">
        <v>197</v>
      </c>
      <c r="P373" s="1123" t="s">
        <v>1226</v>
      </c>
      <c r="S373" s="109" t="e">
        <f t="shared" si="12"/>
        <v>#VALUE!</v>
      </c>
      <c r="W373" s="109"/>
      <c r="X373" s="40" t="e">
        <f t="shared" si="11"/>
        <v>#VALUE!</v>
      </c>
    </row>
    <row r="374" spans="1:24" ht="19.95" customHeight="1">
      <c r="A374" s="18">
        <v>384</v>
      </c>
      <c r="B374" s="1115" t="s">
        <v>1216</v>
      </c>
      <c r="C374" s="1116" t="s">
        <v>1220</v>
      </c>
      <c r="D374" s="1117" t="s">
        <v>1175</v>
      </c>
      <c r="E374" s="1118" t="s">
        <v>1222</v>
      </c>
      <c r="F374" s="19">
        <v>9833187884</v>
      </c>
      <c r="G374" s="1118" t="s">
        <v>1217</v>
      </c>
      <c r="H374" s="1118" t="s">
        <v>1221</v>
      </c>
      <c r="I374" s="1117" t="s">
        <v>1218</v>
      </c>
      <c r="J374" s="1118" t="s">
        <v>1219</v>
      </c>
      <c r="K374" s="18">
        <v>2000</v>
      </c>
      <c r="L374" s="43">
        <v>46248</v>
      </c>
      <c r="M374" s="46">
        <v>0.39583333333333331</v>
      </c>
      <c r="N374" s="1096" t="s">
        <v>1189</v>
      </c>
      <c r="O374" s="1118" t="s">
        <v>35</v>
      </c>
      <c r="P374" s="1123" t="s">
        <v>19</v>
      </c>
      <c r="Q374" s="529">
        <v>46250</v>
      </c>
      <c r="R374" s="8">
        <v>2000</v>
      </c>
      <c r="S374" s="109">
        <f t="shared" si="12"/>
        <v>0</v>
      </c>
      <c r="W374" s="109"/>
      <c r="X374" s="40">
        <f t="shared" si="11"/>
        <v>0</v>
      </c>
    </row>
    <row r="375" spans="1:24" ht="19.95" customHeight="1">
      <c r="A375" s="18">
        <v>385</v>
      </c>
      <c r="B375" s="1121" t="s">
        <v>1223</v>
      </c>
      <c r="C375" s="1122" t="s">
        <v>1224</v>
      </c>
      <c r="E375" s="1123" t="s">
        <v>1225</v>
      </c>
      <c r="F375" s="19">
        <v>9224700610</v>
      </c>
      <c r="G375" s="1118" t="s">
        <v>1217</v>
      </c>
      <c r="H375" s="1055" t="s">
        <v>412</v>
      </c>
      <c r="I375" s="1052" t="s">
        <v>1145</v>
      </c>
      <c r="J375" s="1123" t="s">
        <v>12</v>
      </c>
      <c r="K375" s="1155"/>
      <c r="L375" s="43">
        <v>46250</v>
      </c>
      <c r="M375" s="46">
        <v>0.45833333333333331</v>
      </c>
      <c r="N375" s="1121" t="s">
        <v>104</v>
      </c>
      <c r="O375" s="1123" t="s">
        <v>198</v>
      </c>
      <c r="P375" s="1154" t="s">
        <v>16</v>
      </c>
      <c r="S375" s="109">
        <f t="shared" si="12"/>
        <v>0</v>
      </c>
      <c r="W375" s="109"/>
      <c r="X375" s="40">
        <f t="shared" si="11"/>
        <v>0</v>
      </c>
    </row>
    <row r="376" spans="1:24" ht="19.95" customHeight="1">
      <c r="A376" s="18">
        <v>386</v>
      </c>
      <c r="B376" s="1124" t="s">
        <v>1227</v>
      </c>
      <c r="C376" s="1279" t="s">
        <v>1351</v>
      </c>
      <c r="D376" s="1125" t="s">
        <v>1207</v>
      </c>
      <c r="E376" s="1124" t="s">
        <v>1227</v>
      </c>
      <c r="F376" s="19">
        <v>9096978737</v>
      </c>
      <c r="G376" s="1126" t="s">
        <v>1228</v>
      </c>
      <c r="H376" s="1126" t="s">
        <v>55</v>
      </c>
      <c r="I376" s="1015" t="s">
        <v>1048</v>
      </c>
      <c r="J376" s="1126" t="s">
        <v>94</v>
      </c>
      <c r="K376" s="18">
        <v>2200</v>
      </c>
      <c r="L376" s="43">
        <v>46250</v>
      </c>
      <c r="M376" s="46">
        <v>0.41666666666666669</v>
      </c>
      <c r="N376" s="1121" t="s">
        <v>104</v>
      </c>
      <c r="O376" s="1126" t="s">
        <v>35</v>
      </c>
      <c r="P376" s="1134" t="s">
        <v>19</v>
      </c>
      <c r="Q376" s="529">
        <v>46250</v>
      </c>
      <c r="R376" s="8">
        <v>2200</v>
      </c>
      <c r="S376" s="109">
        <f t="shared" si="12"/>
        <v>0</v>
      </c>
      <c r="W376" s="109"/>
      <c r="X376" s="40">
        <f t="shared" si="11"/>
        <v>0</v>
      </c>
    </row>
    <row r="377" spans="1:24" ht="19.95" customHeight="1">
      <c r="A377" s="18">
        <v>387</v>
      </c>
      <c r="B377" s="1124" t="s">
        <v>1229</v>
      </c>
      <c r="C377" s="1184" t="s">
        <v>1287</v>
      </c>
      <c r="D377" s="1125" t="s">
        <v>1129</v>
      </c>
      <c r="E377" s="1126" t="s">
        <v>1230</v>
      </c>
      <c r="F377" s="19">
        <v>9322125596</v>
      </c>
      <c r="G377" s="1126" t="s">
        <v>286</v>
      </c>
      <c r="H377" s="1126" t="s">
        <v>571</v>
      </c>
      <c r="I377" s="1125" t="s">
        <v>776</v>
      </c>
      <c r="J377" s="1126" t="s">
        <v>12</v>
      </c>
      <c r="K377" s="18">
        <v>900</v>
      </c>
      <c r="L377" s="43">
        <v>46250</v>
      </c>
      <c r="M377" s="1127" t="s">
        <v>45</v>
      </c>
      <c r="N377" s="1121" t="s">
        <v>104</v>
      </c>
      <c r="O377" s="1126" t="s">
        <v>35</v>
      </c>
      <c r="P377" s="1247" t="s">
        <v>19</v>
      </c>
      <c r="Q377" s="529">
        <v>46250</v>
      </c>
      <c r="R377" s="8">
        <v>900</v>
      </c>
      <c r="S377" s="109">
        <f t="shared" si="12"/>
        <v>0</v>
      </c>
      <c r="W377" s="109"/>
      <c r="X377" s="40">
        <f t="shared" si="11"/>
        <v>0</v>
      </c>
    </row>
    <row r="378" spans="1:24" ht="19.95" customHeight="1">
      <c r="A378" s="18">
        <v>388</v>
      </c>
      <c r="B378" s="1124" t="s">
        <v>1231</v>
      </c>
      <c r="C378" s="1125" t="s">
        <v>1232</v>
      </c>
      <c r="D378" s="1125" t="s">
        <v>1129</v>
      </c>
      <c r="E378" s="1124" t="s">
        <v>1231</v>
      </c>
      <c r="F378" s="19">
        <v>9819108275</v>
      </c>
      <c r="G378" s="1126" t="s">
        <v>1233</v>
      </c>
      <c r="H378" s="1126" t="s">
        <v>39</v>
      </c>
      <c r="I378" s="1015" t="s">
        <v>1048</v>
      </c>
      <c r="J378" s="1126" t="s">
        <v>12</v>
      </c>
      <c r="K378" s="18">
        <v>2800</v>
      </c>
      <c r="L378" s="43">
        <v>46251</v>
      </c>
      <c r="M378" s="46">
        <v>0.41666666666666669</v>
      </c>
      <c r="N378" s="1124" t="s">
        <v>1189</v>
      </c>
      <c r="O378" s="1192" t="s">
        <v>1162</v>
      </c>
      <c r="P378" s="1277" t="s">
        <v>1</v>
      </c>
      <c r="Q378" s="529">
        <v>46251</v>
      </c>
      <c r="R378" s="8">
        <v>2800</v>
      </c>
      <c r="S378" s="109">
        <f t="shared" si="12"/>
        <v>0</v>
      </c>
      <c r="W378" s="109"/>
      <c r="X378" s="40">
        <f t="shared" si="11"/>
        <v>0</v>
      </c>
    </row>
    <row r="379" spans="1:24" ht="19.95" customHeight="1">
      <c r="A379" s="18">
        <v>389</v>
      </c>
      <c r="B379" s="1128" t="s">
        <v>1234</v>
      </c>
      <c r="C379" s="1129" t="s">
        <v>1237</v>
      </c>
      <c r="D379" s="1129" t="s">
        <v>1129</v>
      </c>
      <c r="E379" s="1128" t="s">
        <v>1234</v>
      </c>
      <c r="F379" s="19">
        <v>9158998879</v>
      </c>
      <c r="G379" s="1130" t="s">
        <v>961</v>
      </c>
      <c r="H379" s="1130" t="s">
        <v>1236</v>
      </c>
      <c r="I379" s="1129" t="s">
        <v>1235</v>
      </c>
      <c r="J379" s="1130" t="s">
        <v>15</v>
      </c>
      <c r="K379" s="18">
        <v>2000</v>
      </c>
      <c r="L379" s="43">
        <v>46252</v>
      </c>
      <c r="M379" s="46">
        <v>0.58333333333333337</v>
      </c>
      <c r="N379" s="1128" t="s">
        <v>1189</v>
      </c>
      <c r="O379" s="1130" t="s">
        <v>35</v>
      </c>
      <c r="P379" s="1148" t="s">
        <v>19</v>
      </c>
      <c r="Q379" s="529">
        <v>46253</v>
      </c>
      <c r="R379" s="8">
        <v>2000</v>
      </c>
      <c r="S379" s="109">
        <f t="shared" si="12"/>
        <v>0</v>
      </c>
      <c r="W379" s="109"/>
      <c r="X379" s="40">
        <f t="shared" si="11"/>
        <v>0</v>
      </c>
    </row>
    <row r="380" spans="1:24" ht="19.95" customHeight="1">
      <c r="A380" s="18">
        <v>390</v>
      </c>
      <c r="B380" s="1131" t="s">
        <v>1238</v>
      </c>
      <c r="C380" s="1132" t="s">
        <v>1239</v>
      </c>
      <c r="D380" s="1132" t="s">
        <v>1129</v>
      </c>
      <c r="E380" s="1131" t="s">
        <v>1238</v>
      </c>
      <c r="F380" s="19">
        <v>7263002403</v>
      </c>
      <c r="G380" s="1118" t="s">
        <v>1217</v>
      </c>
      <c r="H380" s="1126" t="s">
        <v>39</v>
      </c>
      <c r="I380" s="1015" t="s">
        <v>1048</v>
      </c>
      <c r="J380" s="1133" t="s">
        <v>12</v>
      </c>
      <c r="K380" s="18">
        <v>900</v>
      </c>
      <c r="L380" s="43">
        <v>46255</v>
      </c>
      <c r="M380" s="46">
        <v>0.39583333333333331</v>
      </c>
      <c r="N380" s="1128" t="s">
        <v>1189</v>
      </c>
      <c r="O380" s="1130" t="s">
        <v>35</v>
      </c>
      <c r="P380" s="1161" t="s">
        <v>19</v>
      </c>
      <c r="Q380" s="529">
        <v>46255</v>
      </c>
      <c r="R380" s="8">
        <v>900</v>
      </c>
      <c r="S380" s="109">
        <f t="shared" si="12"/>
        <v>0</v>
      </c>
      <c r="W380" s="109"/>
      <c r="X380" s="40">
        <f t="shared" si="11"/>
        <v>0</v>
      </c>
    </row>
    <row r="381" spans="1:24" ht="19.95" customHeight="1">
      <c r="A381" s="18">
        <v>391</v>
      </c>
      <c r="B381" s="1136" t="s">
        <v>1243</v>
      </c>
      <c r="C381" s="1135" t="s">
        <v>1242</v>
      </c>
      <c r="D381" s="1135" t="s">
        <v>1175</v>
      </c>
      <c r="E381" s="1136" t="s">
        <v>1243</v>
      </c>
      <c r="F381" s="19">
        <v>9224938072</v>
      </c>
      <c r="G381" s="1118" t="s">
        <v>1217</v>
      </c>
      <c r="H381" s="1137" t="s">
        <v>1240</v>
      </c>
      <c r="I381" s="1135" t="s">
        <v>1241</v>
      </c>
      <c r="J381" s="1133" t="s">
        <v>12</v>
      </c>
      <c r="K381" s="18">
        <v>500</v>
      </c>
      <c r="L381" s="43">
        <v>46251</v>
      </c>
      <c r="M381" s="46">
        <v>0.54166666666666663</v>
      </c>
      <c r="N381" s="1128" t="s">
        <v>1189</v>
      </c>
      <c r="O381" s="1130" t="s">
        <v>35</v>
      </c>
      <c r="P381" s="1137" t="s">
        <v>1</v>
      </c>
      <c r="Q381" s="529">
        <v>46251</v>
      </c>
      <c r="R381" s="8">
        <v>500</v>
      </c>
      <c r="S381" s="109">
        <f t="shared" si="12"/>
        <v>0</v>
      </c>
      <c r="W381" s="109"/>
      <c r="X381" s="40">
        <f t="shared" si="11"/>
        <v>0</v>
      </c>
    </row>
    <row r="382" spans="1:24" ht="19.95" customHeight="1">
      <c r="A382" s="18">
        <v>392</v>
      </c>
      <c r="B382" s="1138" t="s">
        <v>1244</v>
      </c>
      <c r="C382" s="1139" t="s">
        <v>1245</v>
      </c>
      <c r="D382" s="1139" t="s">
        <v>1129</v>
      </c>
      <c r="E382" s="1138" t="s">
        <v>1244</v>
      </c>
      <c r="F382" s="19">
        <v>7021431445</v>
      </c>
      <c r="G382" s="1118" t="s">
        <v>1217</v>
      </c>
      <c r="H382" s="1126" t="s">
        <v>39</v>
      </c>
      <c r="I382" s="1015" t="s">
        <v>1048</v>
      </c>
      <c r="J382" s="1133" t="s">
        <v>12</v>
      </c>
      <c r="K382" s="18">
        <v>900</v>
      </c>
      <c r="L382" s="43">
        <v>46253</v>
      </c>
      <c r="M382" s="46">
        <v>0.66666666666666663</v>
      </c>
      <c r="N382" s="1128" t="s">
        <v>1189</v>
      </c>
      <c r="O382" s="1130" t="s">
        <v>35</v>
      </c>
      <c r="P382" s="1153" t="s">
        <v>1</v>
      </c>
      <c r="Q382" s="529">
        <v>46253</v>
      </c>
      <c r="R382" s="8">
        <v>900</v>
      </c>
      <c r="S382" s="109">
        <f t="shared" si="12"/>
        <v>0</v>
      </c>
      <c r="W382" s="109"/>
      <c r="X382" s="40">
        <f t="shared" si="11"/>
        <v>0</v>
      </c>
    </row>
    <row r="383" spans="1:24" ht="19.95" customHeight="1">
      <c r="A383" s="18">
        <v>393</v>
      </c>
      <c r="B383" s="1138" t="s">
        <v>1246</v>
      </c>
      <c r="C383" s="1139" t="s">
        <v>1250</v>
      </c>
      <c r="D383" s="1139" t="s">
        <v>1247</v>
      </c>
      <c r="E383" s="1138" t="s">
        <v>1246</v>
      </c>
      <c r="F383" s="19">
        <v>7507155898</v>
      </c>
      <c r="G383" s="1140" t="s">
        <v>961</v>
      </c>
      <c r="H383" s="1140" t="s">
        <v>1248</v>
      </c>
      <c r="I383" s="1139" t="s">
        <v>1249</v>
      </c>
      <c r="J383" s="1142" t="s">
        <v>15</v>
      </c>
      <c r="K383" s="18">
        <v>1800</v>
      </c>
      <c r="L383" s="43">
        <v>46253</v>
      </c>
      <c r="M383" s="1141" t="s">
        <v>1251</v>
      </c>
      <c r="N383" s="1128" t="s">
        <v>1189</v>
      </c>
      <c r="O383" s="1130" t="s">
        <v>35</v>
      </c>
      <c r="P383" s="1148" t="s">
        <v>19</v>
      </c>
      <c r="Q383" s="529">
        <v>46253</v>
      </c>
      <c r="R383" s="8">
        <v>1800</v>
      </c>
      <c r="S383" s="109">
        <f t="shared" si="12"/>
        <v>0</v>
      </c>
      <c r="W383" s="109"/>
      <c r="X383" s="40">
        <f t="shared" si="11"/>
        <v>0</v>
      </c>
    </row>
    <row r="384" spans="1:24" ht="19.95" customHeight="1">
      <c r="A384" s="18">
        <v>394</v>
      </c>
      <c r="B384" s="1143" t="s">
        <v>1252</v>
      </c>
      <c r="C384" s="1144" t="s">
        <v>1253</v>
      </c>
      <c r="D384" s="1144" t="s">
        <v>1175</v>
      </c>
      <c r="E384" s="1145" t="s">
        <v>1252</v>
      </c>
      <c r="F384" s="19">
        <v>9970695730</v>
      </c>
      <c r="G384" s="1118" t="s">
        <v>1217</v>
      </c>
      <c r="H384" s="1147" t="s">
        <v>61</v>
      </c>
      <c r="I384" s="1015" t="s">
        <v>1048</v>
      </c>
      <c r="J384" s="1145" t="s">
        <v>12</v>
      </c>
      <c r="K384" s="18">
        <v>1000</v>
      </c>
      <c r="L384" s="43">
        <v>46254</v>
      </c>
      <c r="M384" s="46">
        <v>0.625</v>
      </c>
      <c r="N384" s="1143" t="s">
        <v>1189</v>
      </c>
      <c r="O384" s="1145" t="s">
        <v>35</v>
      </c>
      <c r="P384" s="1153" t="s">
        <v>1</v>
      </c>
      <c r="Q384" s="529">
        <v>46254</v>
      </c>
      <c r="R384" s="8">
        <v>1000</v>
      </c>
      <c r="S384" s="109">
        <f t="shared" si="12"/>
        <v>0</v>
      </c>
      <c r="W384" s="109"/>
      <c r="X384" s="40">
        <f t="shared" si="11"/>
        <v>0</v>
      </c>
    </row>
    <row r="385" spans="1:58" ht="19.95" customHeight="1">
      <c r="A385" s="18">
        <v>395</v>
      </c>
      <c r="B385" s="1143" t="s">
        <v>1254</v>
      </c>
      <c r="C385" s="1144" t="s">
        <v>1255</v>
      </c>
      <c r="D385" s="1139" t="s">
        <v>1129</v>
      </c>
      <c r="E385" s="1143" t="s">
        <v>1254</v>
      </c>
      <c r="F385" s="19" t="s">
        <v>1256</v>
      </c>
      <c r="G385" s="1140" t="s">
        <v>961</v>
      </c>
      <c r="H385" s="1145" t="s">
        <v>61</v>
      </c>
      <c r="I385" s="1015" t="s">
        <v>1048</v>
      </c>
      <c r="J385" s="1145" t="s">
        <v>15</v>
      </c>
      <c r="K385" s="18">
        <v>4000</v>
      </c>
      <c r="L385" s="43">
        <v>46254</v>
      </c>
      <c r="M385" s="1146" t="s">
        <v>1187</v>
      </c>
      <c r="N385" s="1143" t="s">
        <v>1189</v>
      </c>
      <c r="O385" s="1145" t="s">
        <v>35</v>
      </c>
      <c r="P385" s="1153" t="s">
        <v>19</v>
      </c>
      <c r="Q385" s="529">
        <v>46254</v>
      </c>
      <c r="R385" s="8">
        <v>4000</v>
      </c>
      <c r="S385" s="109">
        <f t="shared" si="12"/>
        <v>0</v>
      </c>
      <c r="W385" s="109"/>
      <c r="X385" s="40">
        <f t="shared" si="11"/>
        <v>0</v>
      </c>
    </row>
    <row r="386" spans="1:58" ht="19.95" customHeight="1">
      <c r="A386" s="18">
        <v>396</v>
      </c>
      <c r="B386" s="1149" t="s">
        <v>1259</v>
      </c>
      <c r="C386" s="1150" t="s">
        <v>1260</v>
      </c>
      <c r="D386" s="1150" t="s">
        <v>1258</v>
      </c>
      <c r="E386" s="1149" t="s">
        <v>1259</v>
      </c>
      <c r="F386" s="19">
        <v>7021127092</v>
      </c>
      <c r="G386" s="1118" t="s">
        <v>1217</v>
      </c>
      <c r="H386" s="1152" t="s">
        <v>39</v>
      </c>
      <c r="I386" s="1015" t="s">
        <v>1048</v>
      </c>
      <c r="J386" s="1145" t="s">
        <v>12</v>
      </c>
      <c r="K386" s="18">
        <v>800</v>
      </c>
      <c r="L386" s="43">
        <v>46255</v>
      </c>
      <c r="M386" s="1151" t="s">
        <v>1257</v>
      </c>
      <c r="N386" s="1149" t="s">
        <v>104</v>
      </c>
      <c r="O386" s="1152" t="s">
        <v>35</v>
      </c>
      <c r="P386" s="1186" t="s">
        <v>19</v>
      </c>
      <c r="Q386" s="529">
        <v>46255</v>
      </c>
      <c r="R386" s="8">
        <v>800</v>
      </c>
      <c r="S386" s="109">
        <f t="shared" si="12"/>
        <v>0</v>
      </c>
      <c r="W386" s="109"/>
      <c r="X386" s="40">
        <f t="shared" si="11"/>
        <v>0</v>
      </c>
    </row>
    <row r="387" spans="1:58" ht="19.95" customHeight="1">
      <c r="A387" s="18">
        <v>397</v>
      </c>
      <c r="B387" s="1156" t="s">
        <v>1261</v>
      </c>
      <c r="C387" s="1160" t="s">
        <v>1263</v>
      </c>
      <c r="D387" s="1157" t="s">
        <v>1262</v>
      </c>
      <c r="E387" s="1156" t="s">
        <v>1261</v>
      </c>
      <c r="F387" s="19">
        <v>9930496829</v>
      </c>
      <c r="G387" s="1158" t="s">
        <v>961</v>
      </c>
      <c r="H387" s="1158" t="s">
        <v>61</v>
      </c>
      <c r="I387" s="1015" t="s">
        <v>1048</v>
      </c>
      <c r="J387" s="1158" t="s">
        <v>15</v>
      </c>
      <c r="K387" s="18">
        <v>4000</v>
      </c>
      <c r="L387" s="43">
        <v>46256</v>
      </c>
      <c r="M387" s="1159" t="s">
        <v>1187</v>
      </c>
      <c r="N387" s="1156" t="s">
        <v>1189</v>
      </c>
      <c r="O387" s="1158" t="s">
        <v>35</v>
      </c>
      <c r="P387" s="1187" t="s">
        <v>19</v>
      </c>
      <c r="Q387" s="529">
        <v>46256</v>
      </c>
      <c r="R387" s="8">
        <v>4000</v>
      </c>
      <c r="S387" s="109">
        <f t="shared" ref="S387:S450" si="13">K387-R387</f>
        <v>0</v>
      </c>
      <c r="W387" s="109"/>
      <c r="X387" s="40">
        <f t="shared" ref="X387:X450" si="14">S387-W387</f>
        <v>0</v>
      </c>
    </row>
    <row r="388" spans="1:58" ht="19.95" customHeight="1">
      <c r="A388" s="18">
        <v>398</v>
      </c>
      <c r="B388" s="1162" t="s">
        <v>1265</v>
      </c>
      <c r="C388" s="1163" t="s">
        <v>1266</v>
      </c>
      <c r="D388" s="1163" t="s">
        <v>1175</v>
      </c>
      <c r="E388" s="1162" t="s">
        <v>1265</v>
      </c>
      <c r="F388" s="19">
        <v>9619889456</v>
      </c>
      <c r="G388" s="1118" t="s">
        <v>1217</v>
      </c>
      <c r="H388" s="1164" t="s">
        <v>39</v>
      </c>
      <c r="I388" s="1015" t="s">
        <v>1048</v>
      </c>
      <c r="J388" s="1164" t="s">
        <v>12</v>
      </c>
      <c r="K388" s="18">
        <v>900</v>
      </c>
      <c r="L388" s="43">
        <v>46256</v>
      </c>
      <c r="M388" s="1165" t="s">
        <v>1264</v>
      </c>
      <c r="N388" s="1156" t="s">
        <v>1189</v>
      </c>
      <c r="O388" s="1164" t="s">
        <v>35</v>
      </c>
      <c r="P388" s="1187" t="s">
        <v>19</v>
      </c>
      <c r="Q388" s="529">
        <v>46256</v>
      </c>
      <c r="R388" s="8">
        <v>900</v>
      </c>
      <c r="S388" s="109">
        <f t="shared" si="13"/>
        <v>0</v>
      </c>
      <c r="W388" s="109"/>
      <c r="X388" s="40">
        <f t="shared" si="14"/>
        <v>0</v>
      </c>
    </row>
    <row r="389" spans="1:58" ht="19.95" customHeight="1">
      <c r="A389" s="18">
        <v>399</v>
      </c>
      <c r="B389" s="1167" t="s">
        <v>1268</v>
      </c>
      <c r="C389" s="1166" t="s">
        <v>1267</v>
      </c>
      <c r="D389" s="1166" t="s">
        <v>1269</v>
      </c>
      <c r="E389" s="1167" t="s">
        <v>1268</v>
      </c>
      <c r="F389" s="19">
        <v>8793405707</v>
      </c>
      <c r="G389" s="1168" t="s">
        <v>38</v>
      </c>
      <c r="H389" s="1168" t="s">
        <v>39</v>
      </c>
      <c r="I389" s="1015" t="s">
        <v>1048</v>
      </c>
      <c r="J389" s="1168" t="s">
        <v>12</v>
      </c>
      <c r="K389" s="18">
        <v>1300</v>
      </c>
      <c r="L389" s="43">
        <v>46256</v>
      </c>
      <c r="M389" s="46">
        <v>0.41666666666666669</v>
      </c>
      <c r="N389" s="1167" t="s">
        <v>231</v>
      </c>
      <c r="O389" s="1168" t="s">
        <v>35</v>
      </c>
      <c r="P389" s="1172" t="s">
        <v>19</v>
      </c>
      <c r="Q389" s="529">
        <v>45068</v>
      </c>
      <c r="R389" s="8">
        <v>1300</v>
      </c>
      <c r="S389" s="109">
        <f t="shared" si="13"/>
        <v>0</v>
      </c>
      <c r="W389" s="109"/>
      <c r="X389" s="40">
        <f t="shared" si="14"/>
        <v>0</v>
      </c>
    </row>
    <row r="390" spans="1:58" ht="19.95" customHeight="1">
      <c r="A390" s="18">
        <v>400</v>
      </c>
      <c r="B390" s="20" t="s">
        <v>1270</v>
      </c>
      <c r="C390" s="1169" t="s">
        <v>1271</v>
      </c>
      <c r="D390" s="1169" t="s">
        <v>1272</v>
      </c>
      <c r="E390" s="1170" t="s">
        <v>1273</v>
      </c>
      <c r="F390" s="1171" t="s">
        <v>1274</v>
      </c>
      <c r="G390" s="1168" t="s">
        <v>38</v>
      </c>
      <c r="H390" s="1170" t="s">
        <v>1275</v>
      </c>
      <c r="I390" s="1169" t="s">
        <v>1106</v>
      </c>
      <c r="J390" s="1168" t="s">
        <v>12</v>
      </c>
      <c r="K390" s="1170"/>
      <c r="L390" s="43">
        <v>46256</v>
      </c>
      <c r="M390" s="1203">
        <v>0.54166666666666663</v>
      </c>
      <c r="N390" s="1167" t="s">
        <v>231</v>
      </c>
      <c r="O390" s="1170" t="s">
        <v>198</v>
      </c>
      <c r="S390" s="109">
        <f t="shared" si="13"/>
        <v>0</v>
      </c>
      <c r="W390" s="109"/>
      <c r="X390" s="40">
        <f t="shared" si="14"/>
        <v>0</v>
      </c>
    </row>
    <row r="391" spans="1:58" ht="19.95" customHeight="1">
      <c r="A391" s="18">
        <v>401</v>
      </c>
      <c r="B391" s="1173" t="s">
        <v>1276</v>
      </c>
      <c r="C391" s="1174" t="s">
        <v>1277</v>
      </c>
      <c r="E391" s="1173" t="s">
        <v>1276</v>
      </c>
      <c r="F391" s="19">
        <v>8329196226</v>
      </c>
      <c r="G391" s="1168" t="s">
        <v>38</v>
      </c>
      <c r="H391" s="1179" t="s">
        <v>1282</v>
      </c>
      <c r="I391" s="1015" t="s">
        <v>1048</v>
      </c>
      <c r="J391" s="1168" t="s">
        <v>12</v>
      </c>
      <c r="K391" s="18">
        <v>700</v>
      </c>
      <c r="L391" s="43">
        <v>46257</v>
      </c>
      <c r="M391" s="1176" t="s">
        <v>1278</v>
      </c>
      <c r="N391" s="1173" t="s">
        <v>565</v>
      </c>
      <c r="O391" s="1175" t="s">
        <v>35</v>
      </c>
      <c r="P391" s="1187" t="s">
        <v>19</v>
      </c>
      <c r="Q391" s="529">
        <v>46257</v>
      </c>
      <c r="R391" s="8">
        <v>700</v>
      </c>
      <c r="S391" s="109">
        <v>700</v>
      </c>
      <c r="W391" s="109"/>
      <c r="X391" s="40">
        <f t="shared" si="14"/>
        <v>700</v>
      </c>
    </row>
    <row r="392" spans="1:58" ht="19.95" customHeight="1">
      <c r="A392" s="18">
        <v>402</v>
      </c>
      <c r="B392" s="1177" t="s">
        <v>1284</v>
      </c>
      <c r="C392" s="1178" t="s">
        <v>1279</v>
      </c>
      <c r="D392" s="1178" t="s">
        <v>1280</v>
      </c>
      <c r="E392" s="1177" t="s">
        <v>1284</v>
      </c>
      <c r="F392" s="19">
        <v>9820746179</v>
      </c>
      <c r="G392" s="1195" t="s">
        <v>1281</v>
      </c>
      <c r="H392" s="1179" t="s">
        <v>1282</v>
      </c>
      <c r="I392" s="1015" t="s">
        <v>1048</v>
      </c>
      <c r="J392" s="1168" t="s">
        <v>12</v>
      </c>
      <c r="K392" s="18">
        <v>1000</v>
      </c>
      <c r="L392" s="43">
        <v>46257</v>
      </c>
      <c r="M392" s="46">
        <v>0.54166666666666663</v>
      </c>
      <c r="N392" s="1177" t="s">
        <v>1283</v>
      </c>
      <c r="O392" s="1179" t="s">
        <v>198</v>
      </c>
      <c r="P392" s="1183" t="s">
        <v>19</v>
      </c>
      <c r="Q392" s="529">
        <v>46257</v>
      </c>
      <c r="R392" s="8">
        <v>1000</v>
      </c>
      <c r="S392" s="109">
        <f t="shared" si="13"/>
        <v>0</v>
      </c>
      <c r="W392" s="109"/>
      <c r="X392" s="40">
        <f t="shared" si="14"/>
        <v>0</v>
      </c>
    </row>
    <row r="393" spans="1:58" ht="19.95" customHeight="1">
      <c r="A393" s="18">
        <v>403</v>
      </c>
      <c r="B393" s="1180" t="s">
        <v>1285</v>
      </c>
      <c r="C393" s="1181" t="s">
        <v>1286</v>
      </c>
      <c r="E393" s="1180" t="s">
        <v>1285</v>
      </c>
      <c r="F393" s="19">
        <v>9987401235</v>
      </c>
      <c r="G393" s="1168" t="s">
        <v>38</v>
      </c>
      <c r="H393" s="1182" t="s">
        <v>39</v>
      </c>
      <c r="I393" s="1015" t="s">
        <v>1048</v>
      </c>
      <c r="J393" s="1168" t="s">
        <v>12</v>
      </c>
      <c r="K393" s="18">
        <v>1000</v>
      </c>
      <c r="L393" s="43">
        <v>46258</v>
      </c>
      <c r="M393" s="46">
        <v>0.375</v>
      </c>
      <c r="N393" s="1180" t="s">
        <v>1189</v>
      </c>
      <c r="O393" s="1182" t="s">
        <v>35</v>
      </c>
      <c r="P393" s="1185" t="s">
        <v>19</v>
      </c>
      <c r="Q393" s="529">
        <v>46258</v>
      </c>
      <c r="R393" s="8">
        <v>1000</v>
      </c>
      <c r="S393" s="109">
        <f t="shared" si="13"/>
        <v>0</v>
      </c>
      <c r="W393" s="109"/>
      <c r="X393" s="40">
        <f t="shared" si="14"/>
        <v>0</v>
      </c>
    </row>
    <row r="394" spans="1:58" ht="19.95" customHeight="1">
      <c r="A394" s="18">
        <v>404</v>
      </c>
      <c r="B394" s="1188" t="s">
        <v>1288</v>
      </c>
      <c r="C394" s="1189" t="s">
        <v>1289</v>
      </c>
      <c r="D394" s="1189" t="s">
        <v>1290</v>
      </c>
      <c r="E394" s="1190" t="s">
        <v>1288</v>
      </c>
      <c r="F394" s="19">
        <v>9768175282</v>
      </c>
      <c r="G394" s="1168" t="s">
        <v>38</v>
      </c>
      <c r="H394" s="1182" t="s">
        <v>61</v>
      </c>
      <c r="I394" s="1015" t="s">
        <v>1048</v>
      </c>
      <c r="J394" s="1168" t="s">
        <v>12</v>
      </c>
      <c r="K394" s="18">
        <v>1000</v>
      </c>
      <c r="L394" s="43">
        <v>46261</v>
      </c>
      <c r="M394" s="1191" t="s">
        <v>1291</v>
      </c>
      <c r="N394" s="1180" t="s">
        <v>1189</v>
      </c>
      <c r="O394" s="1182" t="s">
        <v>35</v>
      </c>
      <c r="P394" s="1192" t="s">
        <v>19</v>
      </c>
      <c r="Q394" s="529">
        <v>46261</v>
      </c>
      <c r="R394" s="8">
        <v>1000</v>
      </c>
      <c r="S394" s="109">
        <f t="shared" si="13"/>
        <v>0</v>
      </c>
      <c r="W394" s="109"/>
      <c r="X394" s="40">
        <f t="shared" si="14"/>
        <v>0</v>
      </c>
    </row>
    <row r="395" spans="1:58" ht="19.95" customHeight="1">
      <c r="A395" s="18">
        <v>405</v>
      </c>
      <c r="B395" s="1193" t="s">
        <v>1292</v>
      </c>
      <c r="C395" s="1194" t="s">
        <v>1293</v>
      </c>
      <c r="E395" s="1193" t="s">
        <v>1292</v>
      </c>
      <c r="F395" s="19">
        <v>99987249647</v>
      </c>
      <c r="G395" s="1195" t="s">
        <v>1281</v>
      </c>
      <c r="H395" s="1195" t="s">
        <v>61</v>
      </c>
      <c r="I395" s="1015" t="s">
        <v>1048</v>
      </c>
      <c r="J395" s="1145" t="s">
        <v>15</v>
      </c>
      <c r="K395" s="18">
        <v>3700</v>
      </c>
      <c r="L395" s="1202">
        <v>46264</v>
      </c>
      <c r="M395" s="1199">
        <v>0.41666666666666669</v>
      </c>
      <c r="N395" s="1180" t="s">
        <v>1189</v>
      </c>
      <c r="O395" s="1195" t="s">
        <v>35</v>
      </c>
      <c r="P395" s="1218" t="s">
        <v>1</v>
      </c>
      <c r="Q395" s="529">
        <v>46264</v>
      </c>
      <c r="R395" s="8">
        <v>3700</v>
      </c>
      <c r="S395" s="109">
        <f t="shared" si="13"/>
        <v>0</v>
      </c>
      <c r="W395" s="109"/>
      <c r="X395" s="40">
        <f t="shared" si="14"/>
        <v>0</v>
      </c>
    </row>
    <row r="396" spans="1:58" ht="19.95" customHeight="1">
      <c r="A396" s="18">
        <v>406</v>
      </c>
      <c r="B396" s="1201" t="s">
        <v>1294</v>
      </c>
      <c r="C396" s="1197" t="s">
        <v>1295</v>
      </c>
      <c r="E396" s="1196" t="s">
        <v>1294</v>
      </c>
      <c r="F396" s="19">
        <v>8468965182</v>
      </c>
      <c r="G396" s="1195" t="s">
        <v>1281</v>
      </c>
      <c r="H396" s="1198" t="s">
        <v>61</v>
      </c>
      <c r="I396" s="1015" t="s">
        <v>1048</v>
      </c>
      <c r="J396" s="1145" t="s">
        <v>15</v>
      </c>
      <c r="K396" s="18">
        <v>3800</v>
      </c>
      <c r="L396" s="43">
        <v>46265</v>
      </c>
      <c r="M396" s="46">
        <v>0.58333333333333337</v>
      </c>
      <c r="N396" s="1180" t="s">
        <v>1189</v>
      </c>
      <c r="O396" s="1198" t="s">
        <v>454</v>
      </c>
      <c r="P396" s="1247" t="s">
        <v>19</v>
      </c>
      <c r="Q396" s="1248" t="s">
        <v>1327</v>
      </c>
      <c r="R396" s="8">
        <v>1900</v>
      </c>
      <c r="S396" s="109">
        <f t="shared" si="13"/>
        <v>1900</v>
      </c>
      <c r="W396" s="109"/>
      <c r="X396" s="40">
        <f t="shared" si="14"/>
        <v>1900</v>
      </c>
    </row>
    <row r="397" spans="1:58" s="752" customFormat="1" ht="19.95" customHeight="1">
      <c r="A397" s="748">
        <v>407</v>
      </c>
      <c r="B397" s="746" t="s">
        <v>1297</v>
      </c>
      <c r="C397" s="745" t="s">
        <v>1296</v>
      </c>
      <c r="D397" s="745" t="s">
        <v>1298</v>
      </c>
      <c r="E397" s="746" t="s">
        <v>1297</v>
      </c>
      <c r="F397" s="747">
        <v>9870788909</v>
      </c>
      <c r="G397" s="1280" t="s">
        <v>1299</v>
      </c>
      <c r="H397" s="748" t="s">
        <v>1300</v>
      </c>
      <c r="I397" s="745" t="s">
        <v>1048</v>
      </c>
      <c r="J397" s="748" t="s">
        <v>94</v>
      </c>
      <c r="K397" s="1281">
        <v>10000</v>
      </c>
      <c r="L397" s="749">
        <v>46263</v>
      </c>
      <c r="M397" s="750">
        <v>0.54166666666666663</v>
      </c>
      <c r="N397" s="746" t="s">
        <v>231</v>
      </c>
      <c r="O397" s="748" t="s">
        <v>197</v>
      </c>
      <c r="P397" s="748"/>
      <c r="Q397" s="745"/>
      <c r="R397" s="745"/>
      <c r="S397" s="745">
        <f t="shared" si="13"/>
        <v>10000</v>
      </c>
      <c r="T397" s="748"/>
      <c r="U397" s="745"/>
      <c r="V397" s="745"/>
      <c r="W397" s="745"/>
      <c r="X397" s="748">
        <f t="shared" si="14"/>
        <v>10000</v>
      </c>
      <c r="Y397" s="751"/>
      <c r="Z397" s="751"/>
      <c r="AA397" s="751"/>
      <c r="AB397" s="751"/>
      <c r="AC397" s="751"/>
      <c r="AD397" s="751"/>
      <c r="AE397" s="751"/>
      <c r="AF397" s="751"/>
      <c r="AG397" s="751"/>
      <c r="AH397" s="751"/>
      <c r="AI397" s="751"/>
      <c r="AJ397" s="751"/>
      <c r="AK397" s="751"/>
      <c r="AL397" s="751"/>
      <c r="AM397" s="751"/>
      <c r="AN397" s="751"/>
      <c r="AO397" s="751"/>
      <c r="AP397" s="751"/>
      <c r="AQ397" s="751"/>
      <c r="AR397" s="751"/>
      <c r="AS397" s="751"/>
      <c r="AT397" s="751"/>
      <c r="AU397" s="751"/>
      <c r="AV397" s="751"/>
      <c r="AW397" s="751"/>
      <c r="AX397" s="751"/>
      <c r="AY397" s="751"/>
      <c r="AZ397" s="751"/>
      <c r="BA397" s="751"/>
      <c r="BB397" s="751"/>
      <c r="BC397" s="751"/>
      <c r="BD397" s="751"/>
      <c r="BE397" s="751"/>
      <c r="BF397" s="751"/>
    </row>
    <row r="398" spans="1:58" ht="19.95" customHeight="1">
      <c r="A398" s="18">
        <v>408</v>
      </c>
      <c r="B398" s="1207" t="s">
        <v>1302</v>
      </c>
      <c r="C398" s="1205" t="s">
        <v>1303</v>
      </c>
      <c r="D398" s="1206" t="s">
        <v>1304</v>
      </c>
      <c r="E398" s="1204" t="s">
        <v>40</v>
      </c>
      <c r="F398" s="19">
        <v>7400190049</v>
      </c>
      <c r="G398" s="1204" t="s">
        <v>1301</v>
      </c>
      <c r="J398" s="1204" t="s">
        <v>12</v>
      </c>
      <c r="K398" s="1208" t="s">
        <v>1306</v>
      </c>
      <c r="N398" s="1207" t="s">
        <v>1305</v>
      </c>
      <c r="S398" s="109" t="e">
        <f t="shared" si="13"/>
        <v>#VALUE!</v>
      </c>
      <c r="W398" s="109"/>
      <c r="X398" s="40" t="e">
        <f t="shared" si="14"/>
        <v>#VALUE!</v>
      </c>
    </row>
    <row r="399" spans="1:58" ht="19.95" customHeight="1">
      <c r="A399" s="18">
        <v>409</v>
      </c>
      <c r="B399" s="1045" t="s">
        <v>1139</v>
      </c>
      <c r="C399" s="1046" t="s">
        <v>1141</v>
      </c>
      <c r="D399" s="1046" t="s">
        <v>1129</v>
      </c>
      <c r="E399" s="1047" t="s">
        <v>1140</v>
      </c>
      <c r="F399" s="19">
        <v>9082033836</v>
      </c>
      <c r="G399" s="1195" t="s">
        <v>1281</v>
      </c>
      <c r="H399" s="1047" t="s">
        <v>39</v>
      </c>
      <c r="I399" s="1015" t="s">
        <v>1048</v>
      </c>
      <c r="J399" s="1210" t="s">
        <v>15</v>
      </c>
      <c r="K399" s="18">
        <v>3400</v>
      </c>
      <c r="L399" s="43">
        <v>46264</v>
      </c>
      <c r="M399" s="1211" t="s">
        <v>1251</v>
      </c>
      <c r="N399" s="1209" t="s">
        <v>1189</v>
      </c>
      <c r="O399" s="1210" t="s">
        <v>35</v>
      </c>
      <c r="P399" s="1218" t="s">
        <v>19</v>
      </c>
      <c r="Q399" s="529">
        <v>46264</v>
      </c>
      <c r="R399" s="8">
        <v>1700</v>
      </c>
      <c r="S399" s="109">
        <f t="shared" si="13"/>
        <v>1700</v>
      </c>
      <c r="W399" s="109"/>
      <c r="X399" s="40">
        <f t="shared" si="14"/>
        <v>1700</v>
      </c>
    </row>
    <row r="400" spans="1:58" ht="19.95" customHeight="1">
      <c r="A400" s="18">
        <v>410</v>
      </c>
      <c r="B400" s="1212" t="s">
        <v>1307</v>
      </c>
      <c r="C400" s="1213" t="s">
        <v>1308</v>
      </c>
      <c r="D400" s="8" t="s">
        <v>1309</v>
      </c>
      <c r="E400" s="1212" t="s">
        <v>1307</v>
      </c>
      <c r="F400" s="19">
        <v>9833386233</v>
      </c>
      <c r="G400" s="1168" t="s">
        <v>38</v>
      </c>
      <c r="H400" s="1214" t="s">
        <v>39</v>
      </c>
      <c r="I400" s="1015" t="s">
        <v>1048</v>
      </c>
      <c r="J400" s="1214" t="s">
        <v>12</v>
      </c>
      <c r="K400" s="1247" t="s">
        <v>1226</v>
      </c>
      <c r="L400" s="43">
        <v>46264</v>
      </c>
      <c r="M400" s="46">
        <v>0.58333333333333337</v>
      </c>
      <c r="N400" s="1212" t="s">
        <v>1189</v>
      </c>
      <c r="O400" s="1214" t="s">
        <v>1310</v>
      </c>
      <c r="P400" s="1247" t="s">
        <v>1226</v>
      </c>
      <c r="S400" s="109" t="e">
        <f t="shared" si="13"/>
        <v>#VALUE!</v>
      </c>
      <c r="W400" s="109"/>
      <c r="X400" s="40" t="e">
        <f t="shared" si="14"/>
        <v>#VALUE!</v>
      </c>
    </row>
    <row r="401" spans="1:24" ht="19.95" customHeight="1">
      <c r="A401" s="18">
        <v>411</v>
      </c>
      <c r="B401" s="1215" t="s">
        <v>1311</v>
      </c>
      <c r="C401" s="1216" t="s">
        <v>1312</v>
      </c>
      <c r="D401" s="1216" t="s">
        <v>1313</v>
      </c>
      <c r="E401" s="1215" t="s">
        <v>1311</v>
      </c>
      <c r="F401" s="19">
        <v>8898001202</v>
      </c>
      <c r="G401" s="1168" t="s">
        <v>38</v>
      </c>
      <c r="H401" s="1214" t="s">
        <v>39</v>
      </c>
      <c r="I401" s="1015" t="s">
        <v>1048</v>
      </c>
      <c r="J401" s="1217" t="s">
        <v>12</v>
      </c>
      <c r="K401" s="18">
        <v>700</v>
      </c>
      <c r="L401" s="43">
        <v>46265</v>
      </c>
      <c r="M401" s="46">
        <v>0.375</v>
      </c>
      <c r="N401" s="1215" t="s">
        <v>1189</v>
      </c>
      <c r="O401" s="1217" t="s">
        <v>35</v>
      </c>
      <c r="P401" s="1277" t="s">
        <v>19</v>
      </c>
      <c r="Q401" s="529">
        <v>46265</v>
      </c>
      <c r="R401" s="8">
        <v>700</v>
      </c>
      <c r="S401" s="109">
        <f t="shared" si="13"/>
        <v>0</v>
      </c>
      <c r="W401" s="109"/>
      <c r="X401" s="40">
        <f t="shared" si="14"/>
        <v>0</v>
      </c>
    </row>
    <row r="402" spans="1:24" ht="19.95" customHeight="1">
      <c r="A402" s="18">
        <v>412</v>
      </c>
      <c r="B402" s="1226" t="s">
        <v>1314</v>
      </c>
      <c r="C402" s="1227" t="s">
        <v>1315</v>
      </c>
      <c r="D402" s="1228" t="s">
        <v>1175</v>
      </c>
      <c r="E402" s="1226" t="s">
        <v>1314</v>
      </c>
      <c r="F402" s="19">
        <v>7798348793</v>
      </c>
      <c r="G402" s="1229" t="s">
        <v>1281</v>
      </c>
      <c r="H402" s="1229" t="s">
        <v>1316</v>
      </c>
      <c r="I402" s="1228" t="s">
        <v>1048</v>
      </c>
      <c r="J402" s="1217" t="s">
        <v>12</v>
      </c>
      <c r="K402" s="18">
        <v>1000</v>
      </c>
      <c r="L402" s="43">
        <v>46265</v>
      </c>
      <c r="M402" s="1230" t="s">
        <v>1317</v>
      </c>
      <c r="N402" s="1215" t="s">
        <v>1189</v>
      </c>
      <c r="O402" s="1233" t="s">
        <v>35</v>
      </c>
      <c r="P402" s="1247" t="s">
        <v>19</v>
      </c>
      <c r="Q402" s="529">
        <v>46265</v>
      </c>
      <c r="R402" s="8">
        <v>1000</v>
      </c>
      <c r="S402" s="109">
        <f t="shared" si="13"/>
        <v>0</v>
      </c>
      <c r="W402" s="109"/>
      <c r="X402" s="40">
        <f t="shared" si="14"/>
        <v>0</v>
      </c>
    </row>
    <row r="403" spans="1:24" ht="19.95" customHeight="1">
      <c r="A403" s="18">
        <v>413</v>
      </c>
      <c r="B403" s="1231" t="s">
        <v>1318</v>
      </c>
      <c r="C403" s="1232" t="s">
        <v>1319</v>
      </c>
      <c r="D403" s="1232" t="s">
        <v>1129</v>
      </c>
      <c r="E403" s="1231" t="s">
        <v>1318</v>
      </c>
      <c r="F403" s="19">
        <v>9823103533</v>
      </c>
      <c r="G403" s="1168" t="s">
        <v>38</v>
      </c>
      <c r="H403" s="1233" t="s">
        <v>61</v>
      </c>
      <c r="I403" s="1228" t="s">
        <v>1048</v>
      </c>
      <c r="J403" s="1217" t="s">
        <v>12</v>
      </c>
      <c r="K403" s="18">
        <v>1000</v>
      </c>
      <c r="L403" s="43">
        <v>46266</v>
      </c>
      <c r="M403" s="1234" t="s">
        <v>1257</v>
      </c>
      <c r="N403" s="1231" t="s">
        <v>108</v>
      </c>
      <c r="O403" s="1233" t="s">
        <v>35</v>
      </c>
      <c r="P403" s="1247" t="s">
        <v>1162</v>
      </c>
      <c r="Q403" s="529">
        <v>46266</v>
      </c>
      <c r="R403" s="8">
        <v>1000</v>
      </c>
      <c r="S403" s="109">
        <f t="shared" si="13"/>
        <v>0</v>
      </c>
      <c r="W403" s="109"/>
      <c r="X403" s="40">
        <f t="shared" si="14"/>
        <v>0</v>
      </c>
    </row>
    <row r="404" spans="1:24" ht="19.95" customHeight="1">
      <c r="A404" s="18">
        <v>414</v>
      </c>
      <c r="B404" s="1010" t="s">
        <v>1108</v>
      </c>
      <c r="C404" s="1237" t="s">
        <v>1323</v>
      </c>
      <c r="D404" s="1011" t="s">
        <v>1104</v>
      </c>
      <c r="E404" s="1012" t="s">
        <v>1105</v>
      </c>
      <c r="F404" s="19">
        <v>9819994859</v>
      </c>
      <c r="G404" s="1236" t="s">
        <v>1320</v>
      </c>
      <c r="H404" s="1236" t="s">
        <v>1321</v>
      </c>
      <c r="I404" s="1237" t="s">
        <v>1322</v>
      </c>
      <c r="J404" s="1006" t="s">
        <v>12</v>
      </c>
      <c r="K404" s="18">
        <v>900</v>
      </c>
      <c r="L404" s="43">
        <v>46265</v>
      </c>
      <c r="M404" s="1238" t="s">
        <v>1264</v>
      </c>
      <c r="N404" s="1235" t="s">
        <v>108</v>
      </c>
      <c r="O404" s="1236" t="s">
        <v>197</v>
      </c>
      <c r="P404" s="1239" t="s">
        <v>1162</v>
      </c>
      <c r="Q404" s="529">
        <v>46265</v>
      </c>
      <c r="R404" s="8">
        <v>900</v>
      </c>
      <c r="S404" s="109">
        <f t="shared" si="13"/>
        <v>0</v>
      </c>
      <c r="W404" s="109"/>
      <c r="X404" s="40">
        <f t="shared" si="14"/>
        <v>0</v>
      </c>
    </row>
    <row r="405" spans="1:24" ht="19.95" customHeight="1">
      <c r="A405" s="18">
        <v>415</v>
      </c>
      <c r="B405" s="1240" t="s">
        <v>267</v>
      </c>
      <c r="C405" s="1241" t="s">
        <v>273</v>
      </c>
      <c r="D405" s="8" t="s">
        <v>1129</v>
      </c>
      <c r="E405" s="216" t="s">
        <v>267</v>
      </c>
      <c r="F405" s="19">
        <v>8999358979</v>
      </c>
      <c r="G405" s="17" t="s">
        <v>75</v>
      </c>
      <c r="H405" s="17" t="s">
        <v>39</v>
      </c>
      <c r="I405" s="35" t="s">
        <v>34</v>
      </c>
      <c r="J405" s="1242" t="s">
        <v>15</v>
      </c>
      <c r="K405" s="18">
        <v>2800</v>
      </c>
      <c r="L405" s="43">
        <v>46268</v>
      </c>
      <c r="M405" s="1243">
        <v>0.5</v>
      </c>
      <c r="N405" s="1240" t="s">
        <v>1189</v>
      </c>
      <c r="O405" s="1242" t="s">
        <v>454</v>
      </c>
      <c r="S405" s="109">
        <f t="shared" si="13"/>
        <v>2800</v>
      </c>
      <c r="W405" s="109"/>
      <c r="X405" s="40">
        <f t="shared" si="14"/>
        <v>2800</v>
      </c>
    </row>
    <row r="406" spans="1:24" ht="19.95" customHeight="1">
      <c r="A406" s="18">
        <v>416</v>
      </c>
      <c r="B406" s="1244" t="s">
        <v>1325</v>
      </c>
      <c r="C406" s="1245" t="s">
        <v>1324</v>
      </c>
      <c r="E406" s="1244" t="s">
        <v>1325</v>
      </c>
      <c r="F406" s="19">
        <v>8087388989</v>
      </c>
      <c r="G406" s="1246" t="s">
        <v>1053</v>
      </c>
      <c r="H406" s="1246" t="s">
        <v>55</v>
      </c>
      <c r="I406" s="35" t="s">
        <v>34</v>
      </c>
      <c r="J406" s="1246" t="s">
        <v>1326</v>
      </c>
      <c r="K406" s="18">
        <v>3700</v>
      </c>
      <c r="L406" s="43">
        <v>46268</v>
      </c>
      <c r="M406" s="46">
        <v>0.41666666666666669</v>
      </c>
      <c r="N406" s="1240" t="s">
        <v>1189</v>
      </c>
      <c r="O406" s="1246" t="s">
        <v>35</v>
      </c>
      <c r="P406" s="1277" t="s">
        <v>19</v>
      </c>
      <c r="Q406" s="529">
        <v>46268</v>
      </c>
      <c r="R406" s="8">
        <v>2000</v>
      </c>
      <c r="S406" s="109">
        <f t="shared" si="13"/>
        <v>1700</v>
      </c>
      <c r="W406" s="109"/>
      <c r="X406" s="40">
        <f t="shared" si="14"/>
        <v>1700</v>
      </c>
    </row>
    <row r="407" spans="1:24" ht="19.95" customHeight="1">
      <c r="A407" s="18">
        <v>417</v>
      </c>
      <c r="B407" s="1249" t="s">
        <v>1328</v>
      </c>
      <c r="C407" s="1250" t="s">
        <v>1330</v>
      </c>
      <c r="D407" s="8" t="s">
        <v>1129</v>
      </c>
      <c r="E407" s="1249" t="s">
        <v>1328</v>
      </c>
      <c r="F407" s="19">
        <v>7718953707</v>
      </c>
      <c r="G407" s="1251" t="s">
        <v>1329</v>
      </c>
      <c r="H407" s="1251" t="s">
        <v>70</v>
      </c>
      <c r="I407" s="1257" t="s">
        <v>1335</v>
      </c>
      <c r="J407" s="1251" t="s">
        <v>1102</v>
      </c>
      <c r="K407" s="18">
        <v>4500</v>
      </c>
      <c r="L407" s="43">
        <v>46270</v>
      </c>
      <c r="M407" s="46">
        <v>0.41666666666666669</v>
      </c>
      <c r="N407" s="1249" t="s">
        <v>108</v>
      </c>
      <c r="O407" s="1251" t="s">
        <v>35</v>
      </c>
      <c r="P407" s="1277" t="s">
        <v>19</v>
      </c>
      <c r="Q407" s="529">
        <v>46270</v>
      </c>
      <c r="R407" s="8">
        <v>4500</v>
      </c>
      <c r="S407" s="109">
        <f t="shared" si="13"/>
        <v>0</v>
      </c>
      <c r="W407" s="109"/>
      <c r="X407" s="40">
        <f t="shared" si="14"/>
        <v>0</v>
      </c>
    </row>
    <row r="408" spans="1:24" ht="19.95" customHeight="1">
      <c r="A408" s="18">
        <v>418</v>
      </c>
      <c r="B408" s="1252" t="s">
        <v>1331</v>
      </c>
      <c r="C408" s="1253" t="s">
        <v>1332</v>
      </c>
      <c r="D408" s="8" t="s">
        <v>1175</v>
      </c>
      <c r="E408" s="1252" t="s">
        <v>1331</v>
      </c>
      <c r="F408" s="19">
        <v>9421872731</v>
      </c>
      <c r="G408" s="1254" t="s">
        <v>1333</v>
      </c>
      <c r="H408" s="1255" t="s">
        <v>39</v>
      </c>
      <c r="I408" s="1253" t="s">
        <v>1048</v>
      </c>
      <c r="J408" s="1255" t="s">
        <v>12</v>
      </c>
      <c r="K408" s="18">
        <v>2200</v>
      </c>
      <c r="L408" s="43">
        <v>46270</v>
      </c>
      <c r="M408" s="1256" t="s">
        <v>1334</v>
      </c>
      <c r="N408" s="1252" t="s">
        <v>108</v>
      </c>
      <c r="O408" s="1255" t="s">
        <v>35</v>
      </c>
      <c r="P408" s="1277" t="s">
        <v>1</v>
      </c>
      <c r="Q408" s="529">
        <v>46270</v>
      </c>
      <c r="R408" s="8">
        <v>2200</v>
      </c>
      <c r="S408" s="109">
        <f t="shared" si="13"/>
        <v>0</v>
      </c>
      <c r="W408" s="109"/>
      <c r="X408" s="40">
        <f t="shared" si="14"/>
        <v>0</v>
      </c>
    </row>
    <row r="409" spans="1:24" ht="19.95" customHeight="1">
      <c r="A409" s="18">
        <v>419</v>
      </c>
      <c r="B409" s="1258" t="s">
        <v>504</v>
      </c>
      <c r="C409" s="1259" t="s">
        <v>505</v>
      </c>
      <c r="D409" s="8" t="s">
        <v>1175</v>
      </c>
      <c r="E409" s="520" t="s">
        <v>506</v>
      </c>
      <c r="F409" s="19">
        <v>7506626920</v>
      </c>
      <c r="G409" s="518" t="s">
        <v>38</v>
      </c>
      <c r="H409" s="518" t="s">
        <v>39</v>
      </c>
      <c r="I409" s="1259" t="s">
        <v>1335</v>
      </c>
      <c r="J409" s="518" t="s">
        <v>12</v>
      </c>
      <c r="K409" s="18">
        <v>750</v>
      </c>
      <c r="L409" s="43">
        <v>46271</v>
      </c>
      <c r="N409" s="1258" t="s">
        <v>231</v>
      </c>
      <c r="O409" s="1260" t="s">
        <v>35</v>
      </c>
      <c r="S409" s="109">
        <f t="shared" si="13"/>
        <v>750</v>
      </c>
      <c r="W409" s="109"/>
      <c r="X409" s="40">
        <f t="shared" si="14"/>
        <v>750</v>
      </c>
    </row>
    <row r="410" spans="1:24" ht="19.95" customHeight="1">
      <c r="A410" s="18">
        <v>420</v>
      </c>
      <c r="B410" s="1261" t="s">
        <v>1336</v>
      </c>
      <c r="C410" s="1262" t="s">
        <v>1337</v>
      </c>
      <c r="D410" s="1262" t="s">
        <v>1175</v>
      </c>
      <c r="E410" s="1261" t="s">
        <v>1336</v>
      </c>
      <c r="F410" s="19">
        <v>9082571592</v>
      </c>
      <c r="G410" s="518" t="s">
        <v>38</v>
      </c>
      <c r="H410" s="1264" t="s">
        <v>39</v>
      </c>
      <c r="I410" s="1259" t="s">
        <v>1335</v>
      </c>
      <c r="J410" s="1264" t="s">
        <v>94</v>
      </c>
      <c r="K410" s="18">
        <v>2400</v>
      </c>
      <c r="L410" s="43">
        <v>46271</v>
      </c>
      <c r="M410" s="1263" t="s">
        <v>1187</v>
      </c>
      <c r="N410" s="1261" t="s">
        <v>231</v>
      </c>
      <c r="O410" s="1264" t="s">
        <v>35</v>
      </c>
      <c r="P410" s="1277" t="s">
        <v>19</v>
      </c>
      <c r="Q410" s="529">
        <v>46271</v>
      </c>
      <c r="R410" s="8">
        <v>2400</v>
      </c>
      <c r="S410" s="109">
        <f t="shared" si="13"/>
        <v>0</v>
      </c>
      <c r="W410" s="109"/>
      <c r="X410" s="40">
        <f t="shared" si="14"/>
        <v>0</v>
      </c>
    </row>
    <row r="411" spans="1:24" ht="19.95" customHeight="1">
      <c r="A411" s="18">
        <v>421</v>
      </c>
      <c r="B411" s="1265" t="s">
        <v>1338</v>
      </c>
      <c r="C411" s="1266" t="s">
        <v>1339</v>
      </c>
      <c r="D411" s="8" t="s">
        <v>1340</v>
      </c>
      <c r="E411" s="1265" t="s">
        <v>1338</v>
      </c>
      <c r="F411" s="19">
        <v>9930934797</v>
      </c>
      <c r="G411" s="518" t="s">
        <v>38</v>
      </c>
      <c r="J411" s="1267" t="s">
        <v>12</v>
      </c>
      <c r="K411" s="1267" t="s">
        <v>1341</v>
      </c>
      <c r="L411" s="43">
        <v>46271</v>
      </c>
      <c r="M411" s="1263" t="s">
        <v>1187</v>
      </c>
      <c r="N411" s="1265" t="s">
        <v>104</v>
      </c>
      <c r="O411" s="1267" t="s">
        <v>198</v>
      </c>
      <c r="S411" s="109" t="e">
        <f t="shared" si="13"/>
        <v>#VALUE!</v>
      </c>
      <c r="W411" s="109"/>
      <c r="X411" s="40" t="e">
        <f t="shared" si="14"/>
        <v>#VALUE!</v>
      </c>
    </row>
    <row r="412" spans="1:24" ht="19.95" customHeight="1">
      <c r="A412" s="18">
        <v>422</v>
      </c>
      <c r="B412" s="1268" t="s">
        <v>1342</v>
      </c>
      <c r="C412" s="1269" t="s">
        <v>1343</v>
      </c>
      <c r="D412" s="1269" t="s">
        <v>1344</v>
      </c>
      <c r="E412" s="1268" t="s">
        <v>1342</v>
      </c>
      <c r="F412" s="19">
        <v>8097179375</v>
      </c>
      <c r="G412" s="518" t="s">
        <v>38</v>
      </c>
      <c r="H412" s="1264" t="s">
        <v>39</v>
      </c>
      <c r="I412" s="1259" t="s">
        <v>1335</v>
      </c>
      <c r="J412" s="1270" t="s">
        <v>12</v>
      </c>
      <c r="K412" s="18">
        <v>700</v>
      </c>
      <c r="L412" s="43">
        <v>46271</v>
      </c>
      <c r="M412" s="1263" t="s">
        <v>1187</v>
      </c>
      <c r="N412" s="1268" t="s">
        <v>565</v>
      </c>
      <c r="O412" s="1270" t="s">
        <v>35</v>
      </c>
      <c r="S412" s="109">
        <f t="shared" si="13"/>
        <v>700</v>
      </c>
      <c r="W412" s="109"/>
      <c r="X412" s="40">
        <f t="shared" si="14"/>
        <v>700</v>
      </c>
    </row>
    <row r="413" spans="1:24" ht="19.95" customHeight="1">
      <c r="A413" s="18">
        <v>423</v>
      </c>
      <c r="B413" s="1271" t="s">
        <v>1345</v>
      </c>
      <c r="C413" s="1272" t="s">
        <v>1346</v>
      </c>
      <c r="E413" s="18" t="s">
        <v>1345</v>
      </c>
      <c r="F413" s="19">
        <v>8949709300</v>
      </c>
      <c r="G413" s="1273" t="s">
        <v>75</v>
      </c>
      <c r="H413" s="1273" t="s">
        <v>55</v>
      </c>
      <c r="I413" s="1259" t="s">
        <v>1335</v>
      </c>
      <c r="J413" s="1273" t="s">
        <v>12</v>
      </c>
      <c r="K413" s="18">
        <v>1400</v>
      </c>
      <c r="L413" s="43">
        <v>46272</v>
      </c>
      <c r="M413" s="46">
        <v>0.41666666666666669</v>
      </c>
      <c r="N413" s="1271" t="s">
        <v>104</v>
      </c>
      <c r="O413" s="1273" t="s">
        <v>35</v>
      </c>
      <c r="P413" s="1283" t="s">
        <v>1</v>
      </c>
      <c r="Q413" s="529">
        <v>46272</v>
      </c>
      <c r="R413" s="8">
        <v>1400</v>
      </c>
      <c r="S413" s="109">
        <f t="shared" si="13"/>
        <v>0</v>
      </c>
      <c r="W413" s="109"/>
      <c r="X413" s="40">
        <f t="shared" si="14"/>
        <v>0</v>
      </c>
    </row>
    <row r="414" spans="1:24" ht="19.95" customHeight="1">
      <c r="A414" s="18">
        <v>424</v>
      </c>
      <c r="B414" s="1274" t="s">
        <v>1347</v>
      </c>
      <c r="C414" s="1275" t="s">
        <v>1348</v>
      </c>
      <c r="D414" s="8" t="s">
        <v>1349</v>
      </c>
      <c r="E414" s="1274" t="s">
        <v>1347</v>
      </c>
      <c r="F414" s="19">
        <v>9321984081</v>
      </c>
      <c r="G414" s="1276" t="s">
        <v>569</v>
      </c>
      <c r="H414" s="1276" t="s">
        <v>39</v>
      </c>
      <c r="I414" s="1259" t="s">
        <v>1335</v>
      </c>
      <c r="J414" s="1273" t="s">
        <v>12</v>
      </c>
      <c r="K414" s="18">
        <v>600</v>
      </c>
      <c r="L414" s="43">
        <v>46272</v>
      </c>
      <c r="M414" s="46">
        <v>0.66666666666666663</v>
      </c>
      <c r="N414" s="1274" t="s">
        <v>565</v>
      </c>
      <c r="O414" s="1276" t="s">
        <v>35</v>
      </c>
      <c r="S414" s="109">
        <f t="shared" si="13"/>
        <v>600</v>
      </c>
      <c r="W414" s="109"/>
      <c r="X414" s="40">
        <f t="shared" si="14"/>
        <v>600</v>
      </c>
    </row>
    <row r="415" spans="1:24" ht="19.95" customHeight="1">
      <c r="A415" s="18">
        <v>425</v>
      </c>
      <c r="B415" s="1284" t="s">
        <v>1352</v>
      </c>
      <c r="C415" s="1285" t="s">
        <v>1353</v>
      </c>
      <c r="D415" s="1285" t="s">
        <v>1354</v>
      </c>
      <c r="E415" s="1284" t="s">
        <v>1352</v>
      </c>
      <c r="F415" s="19">
        <v>8898647412</v>
      </c>
      <c r="G415" s="1287" t="s">
        <v>1329</v>
      </c>
      <c r="H415" s="1286" t="s">
        <v>65</v>
      </c>
      <c r="I415" s="1285" t="s">
        <v>1355</v>
      </c>
      <c r="J415" s="1286" t="s">
        <v>12</v>
      </c>
      <c r="L415" s="43">
        <v>46275</v>
      </c>
      <c r="M415" s="46">
        <v>0.75</v>
      </c>
      <c r="N415" s="1284" t="s">
        <v>104</v>
      </c>
      <c r="O415" s="1286" t="s">
        <v>35</v>
      </c>
      <c r="S415" s="109">
        <f t="shared" si="13"/>
        <v>0</v>
      </c>
      <c r="W415" s="109"/>
      <c r="X415" s="40">
        <f t="shared" si="14"/>
        <v>0</v>
      </c>
    </row>
    <row r="416" spans="1:24" ht="19.95" customHeight="1">
      <c r="A416" s="18">
        <v>426</v>
      </c>
      <c r="B416" s="1288" t="s">
        <v>1357</v>
      </c>
      <c r="C416" s="1289" t="s">
        <v>1360</v>
      </c>
      <c r="D416" s="1289" t="s">
        <v>1356</v>
      </c>
      <c r="E416" s="1288" t="s">
        <v>1357</v>
      </c>
      <c r="F416" s="19">
        <v>7021387657</v>
      </c>
      <c r="G416" s="1290" t="s">
        <v>38</v>
      </c>
      <c r="H416" s="1290" t="s">
        <v>1358</v>
      </c>
      <c r="I416" s="1289" t="s">
        <v>1359</v>
      </c>
      <c r="J416" s="1286" t="s">
        <v>12</v>
      </c>
      <c r="L416" s="43">
        <v>46276</v>
      </c>
      <c r="M416" s="1291">
        <v>0.91666666666666663</v>
      </c>
      <c r="N416" s="1288" t="s">
        <v>231</v>
      </c>
      <c r="O416" s="1290" t="s">
        <v>198</v>
      </c>
      <c r="S416" s="109">
        <f t="shared" si="13"/>
        <v>0</v>
      </c>
      <c r="W416" s="109"/>
      <c r="X416" s="40">
        <f t="shared" si="14"/>
        <v>0</v>
      </c>
    </row>
    <row r="417" spans="19:24" ht="19.95" customHeight="1">
      <c r="S417" s="109">
        <f t="shared" si="13"/>
        <v>0</v>
      </c>
      <c r="W417" s="109"/>
      <c r="X417" s="40">
        <f t="shared" si="14"/>
        <v>0</v>
      </c>
    </row>
    <row r="418" spans="19:24" ht="19.95" customHeight="1">
      <c r="S418" s="109">
        <f t="shared" si="13"/>
        <v>0</v>
      </c>
      <c r="W418" s="109"/>
      <c r="X418" s="40">
        <f t="shared" si="14"/>
        <v>0</v>
      </c>
    </row>
    <row r="419" spans="19:24" ht="19.95" customHeight="1">
      <c r="S419" s="109">
        <f t="shared" si="13"/>
        <v>0</v>
      </c>
      <c r="W419" s="109"/>
      <c r="X419" s="40">
        <f t="shared" si="14"/>
        <v>0</v>
      </c>
    </row>
    <row r="420" spans="19:24" ht="19.95" customHeight="1">
      <c r="S420" s="109">
        <f t="shared" si="13"/>
        <v>0</v>
      </c>
      <c r="W420" s="109"/>
      <c r="X420" s="40">
        <f t="shared" si="14"/>
        <v>0</v>
      </c>
    </row>
    <row r="421" spans="19:24" ht="19.95" customHeight="1">
      <c r="S421" s="109">
        <f t="shared" si="13"/>
        <v>0</v>
      </c>
      <c r="W421" s="109"/>
      <c r="X421" s="40">
        <f t="shared" si="14"/>
        <v>0</v>
      </c>
    </row>
    <row r="422" spans="19:24" ht="19.95" customHeight="1">
      <c r="S422" s="109">
        <f t="shared" si="13"/>
        <v>0</v>
      </c>
      <c r="W422" s="109"/>
      <c r="X422" s="40">
        <f t="shared" si="14"/>
        <v>0</v>
      </c>
    </row>
    <row r="423" spans="19:24" ht="19.95" customHeight="1">
      <c r="S423" s="109">
        <f t="shared" si="13"/>
        <v>0</v>
      </c>
      <c r="W423" s="109"/>
      <c r="X423" s="40">
        <f t="shared" si="14"/>
        <v>0</v>
      </c>
    </row>
    <row r="424" spans="19:24" ht="19.95" customHeight="1">
      <c r="S424" s="109">
        <f t="shared" si="13"/>
        <v>0</v>
      </c>
      <c r="W424" s="109"/>
      <c r="X424" s="40">
        <f t="shared" si="14"/>
        <v>0</v>
      </c>
    </row>
    <row r="425" spans="19:24" ht="19.95" customHeight="1">
      <c r="S425" s="109">
        <f t="shared" si="13"/>
        <v>0</v>
      </c>
      <c r="W425" s="109"/>
      <c r="X425" s="40">
        <f t="shared" si="14"/>
        <v>0</v>
      </c>
    </row>
    <row r="426" spans="19:24" ht="19.95" customHeight="1">
      <c r="S426" s="109">
        <f t="shared" si="13"/>
        <v>0</v>
      </c>
      <c r="W426" s="109"/>
      <c r="X426" s="40">
        <f t="shared" si="14"/>
        <v>0</v>
      </c>
    </row>
    <row r="427" spans="19:24" ht="19.95" customHeight="1">
      <c r="S427" s="109">
        <f t="shared" si="13"/>
        <v>0</v>
      </c>
      <c r="W427" s="109"/>
      <c r="X427" s="40">
        <f t="shared" si="14"/>
        <v>0</v>
      </c>
    </row>
    <row r="428" spans="19:24" ht="19.95" customHeight="1">
      <c r="S428" s="109">
        <f t="shared" si="13"/>
        <v>0</v>
      </c>
      <c r="W428" s="109"/>
      <c r="X428" s="40">
        <f t="shared" si="14"/>
        <v>0</v>
      </c>
    </row>
    <row r="429" spans="19:24" ht="19.95" customHeight="1">
      <c r="S429" s="109">
        <f t="shared" si="13"/>
        <v>0</v>
      </c>
      <c r="W429" s="109"/>
      <c r="X429" s="40">
        <f t="shared" si="14"/>
        <v>0</v>
      </c>
    </row>
    <row r="430" spans="19:24" ht="19.95" customHeight="1">
      <c r="S430" s="109">
        <f t="shared" si="13"/>
        <v>0</v>
      </c>
      <c r="W430" s="109"/>
      <c r="X430" s="40">
        <f t="shared" si="14"/>
        <v>0</v>
      </c>
    </row>
    <row r="431" spans="19:24" ht="19.95" customHeight="1">
      <c r="S431" s="109">
        <f t="shared" si="13"/>
        <v>0</v>
      </c>
      <c r="W431" s="109"/>
      <c r="X431" s="40">
        <f t="shared" si="14"/>
        <v>0</v>
      </c>
    </row>
    <row r="432" spans="19:24" ht="19.95" customHeight="1">
      <c r="S432" s="109">
        <f t="shared" si="13"/>
        <v>0</v>
      </c>
      <c r="W432" s="109"/>
      <c r="X432" s="40">
        <f t="shared" si="14"/>
        <v>0</v>
      </c>
    </row>
    <row r="433" spans="19:24" ht="19.95" customHeight="1">
      <c r="S433" s="109">
        <f t="shared" si="13"/>
        <v>0</v>
      </c>
      <c r="W433" s="109"/>
      <c r="X433" s="40">
        <f t="shared" si="14"/>
        <v>0</v>
      </c>
    </row>
    <row r="434" spans="19:24" ht="19.95" customHeight="1">
      <c r="S434" s="109">
        <f t="shared" si="13"/>
        <v>0</v>
      </c>
      <c r="W434" s="109"/>
      <c r="X434" s="40">
        <f t="shared" si="14"/>
        <v>0</v>
      </c>
    </row>
    <row r="435" spans="19:24" ht="19.95" customHeight="1">
      <c r="S435" s="109">
        <f t="shared" si="13"/>
        <v>0</v>
      </c>
      <c r="W435" s="109"/>
      <c r="X435" s="40">
        <f t="shared" si="14"/>
        <v>0</v>
      </c>
    </row>
    <row r="436" spans="19:24" ht="19.95" customHeight="1">
      <c r="S436" s="109">
        <f t="shared" si="13"/>
        <v>0</v>
      </c>
      <c r="W436" s="109"/>
      <c r="X436" s="40">
        <f t="shared" si="14"/>
        <v>0</v>
      </c>
    </row>
    <row r="437" spans="19:24" ht="19.95" customHeight="1">
      <c r="S437" s="109">
        <f t="shared" si="13"/>
        <v>0</v>
      </c>
      <c r="W437" s="109"/>
      <c r="X437" s="40">
        <f t="shared" si="14"/>
        <v>0</v>
      </c>
    </row>
    <row r="438" spans="19:24" ht="19.95" customHeight="1">
      <c r="S438" s="109">
        <f t="shared" si="13"/>
        <v>0</v>
      </c>
      <c r="W438" s="109"/>
      <c r="X438" s="40">
        <f t="shared" si="14"/>
        <v>0</v>
      </c>
    </row>
    <row r="439" spans="19:24" ht="19.95" customHeight="1">
      <c r="S439" s="109">
        <f t="shared" si="13"/>
        <v>0</v>
      </c>
      <c r="W439" s="109"/>
      <c r="X439" s="40">
        <f t="shared" si="14"/>
        <v>0</v>
      </c>
    </row>
    <row r="440" spans="19:24" ht="19.95" customHeight="1">
      <c r="S440" s="109">
        <f t="shared" si="13"/>
        <v>0</v>
      </c>
      <c r="W440" s="109"/>
      <c r="X440" s="40">
        <f t="shared" si="14"/>
        <v>0</v>
      </c>
    </row>
    <row r="441" spans="19:24" ht="19.95" customHeight="1">
      <c r="S441" s="109">
        <f t="shared" si="13"/>
        <v>0</v>
      </c>
      <c r="W441" s="109"/>
      <c r="X441" s="40">
        <f t="shared" si="14"/>
        <v>0</v>
      </c>
    </row>
    <row r="442" spans="19:24" ht="19.95" customHeight="1">
      <c r="S442" s="109">
        <f t="shared" si="13"/>
        <v>0</v>
      </c>
      <c r="W442" s="109"/>
      <c r="X442" s="40">
        <f t="shared" si="14"/>
        <v>0</v>
      </c>
    </row>
    <row r="443" spans="19:24" ht="19.95" customHeight="1">
      <c r="S443" s="109">
        <f t="shared" si="13"/>
        <v>0</v>
      </c>
      <c r="W443" s="109"/>
      <c r="X443" s="40">
        <f t="shared" si="14"/>
        <v>0</v>
      </c>
    </row>
    <row r="444" spans="19:24" ht="19.95" customHeight="1">
      <c r="S444" s="109">
        <f t="shared" si="13"/>
        <v>0</v>
      </c>
      <c r="W444" s="109"/>
      <c r="X444" s="40">
        <f t="shared" si="14"/>
        <v>0</v>
      </c>
    </row>
    <row r="445" spans="19:24" ht="19.95" customHeight="1">
      <c r="S445" s="109">
        <f t="shared" si="13"/>
        <v>0</v>
      </c>
      <c r="W445" s="109"/>
      <c r="X445" s="40">
        <f t="shared" si="14"/>
        <v>0</v>
      </c>
    </row>
    <row r="446" spans="19:24" ht="19.95" customHeight="1">
      <c r="S446" s="109">
        <f t="shared" si="13"/>
        <v>0</v>
      </c>
      <c r="W446" s="109"/>
      <c r="X446" s="40">
        <f t="shared" si="14"/>
        <v>0</v>
      </c>
    </row>
    <row r="447" spans="19:24" ht="19.95" customHeight="1">
      <c r="S447" s="109">
        <f t="shared" si="13"/>
        <v>0</v>
      </c>
      <c r="W447" s="109"/>
      <c r="X447" s="40">
        <f t="shared" si="14"/>
        <v>0</v>
      </c>
    </row>
    <row r="448" spans="19:24" ht="19.95" customHeight="1">
      <c r="S448" s="109">
        <f t="shared" si="13"/>
        <v>0</v>
      </c>
      <c r="W448" s="109"/>
      <c r="X448" s="40">
        <f t="shared" si="14"/>
        <v>0</v>
      </c>
    </row>
    <row r="449" spans="19:24" ht="19.95" customHeight="1">
      <c r="S449" s="109">
        <f t="shared" si="13"/>
        <v>0</v>
      </c>
      <c r="W449" s="109"/>
      <c r="X449" s="40">
        <f t="shared" si="14"/>
        <v>0</v>
      </c>
    </row>
    <row r="450" spans="19:24" ht="19.95" customHeight="1">
      <c r="S450" s="109">
        <f t="shared" si="13"/>
        <v>0</v>
      </c>
      <c r="W450" s="109"/>
      <c r="X450" s="40">
        <f t="shared" si="14"/>
        <v>0</v>
      </c>
    </row>
    <row r="451" spans="19:24" ht="19.95" customHeight="1">
      <c r="S451" s="109">
        <f t="shared" ref="S451:S514" si="15">K451-R451</f>
        <v>0</v>
      </c>
      <c r="W451" s="109"/>
      <c r="X451" s="40">
        <f t="shared" ref="X451:X514" si="16">S451-W451</f>
        <v>0</v>
      </c>
    </row>
    <row r="452" spans="19:24" ht="19.95" customHeight="1">
      <c r="S452" s="109">
        <f t="shared" si="15"/>
        <v>0</v>
      </c>
      <c r="W452" s="109"/>
      <c r="X452" s="40">
        <f t="shared" si="16"/>
        <v>0</v>
      </c>
    </row>
    <row r="453" spans="19:24" ht="19.95" customHeight="1">
      <c r="S453" s="109">
        <f t="shared" si="15"/>
        <v>0</v>
      </c>
      <c r="W453" s="109"/>
      <c r="X453" s="40">
        <f t="shared" si="16"/>
        <v>0</v>
      </c>
    </row>
    <row r="454" spans="19:24" ht="19.95" customHeight="1">
      <c r="S454" s="109">
        <f t="shared" si="15"/>
        <v>0</v>
      </c>
      <c r="W454" s="109"/>
      <c r="X454" s="40">
        <f t="shared" si="16"/>
        <v>0</v>
      </c>
    </row>
    <row r="455" spans="19:24" ht="19.95" customHeight="1">
      <c r="S455" s="109">
        <f t="shared" si="15"/>
        <v>0</v>
      </c>
      <c r="W455" s="109"/>
      <c r="X455" s="40">
        <f t="shared" si="16"/>
        <v>0</v>
      </c>
    </row>
    <row r="456" spans="19:24" ht="19.95" customHeight="1">
      <c r="S456" s="109">
        <f t="shared" si="15"/>
        <v>0</v>
      </c>
      <c r="W456" s="109"/>
      <c r="X456" s="40">
        <f t="shared" si="16"/>
        <v>0</v>
      </c>
    </row>
    <row r="457" spans="19:24" ht="19.95" customHeight="1">
      <c r="S457" s="109">
        <f t="shared" si="15"/>
        <v>0</v>
      </c>
      <c r="W457" s="109"/>
      <c r="X457" s="40">
        <f t="shared" si="16"/>
        <v>0</v>
      </c>
    </row>
    <row r="458" spans="19:24" ht="19.95" customHeight="1">
      <c r="S458" s="109">
        <f t="shared" si="15"/>
        <v>0</v>
      </c>
      <c r="W458" s="109"/>
      <c r="X458" s="40">
        <f t="shared" si="16"/>
        <v>0</v>
      </c>
    </row>
    <row r="459" spans="19:24" ht="19.95" customHeight="1">
      <c r="S459" s="109">
        <f t="shared" si="15"/>
        <v>0</v>
      </c>
      <c r="W459" s="109"/>
      <c r="X459" s="40">
        <f t="shared" si="16"/>
        <v>0</v>
      </c>
    </row>
    <row r="460" spans="19:24" ht="19.95" customHeight="1">
      <c r="S460" s="109">
        <f t="shared" si="15"/>
        <v>0</v>
      </c>
      <c r="W460" s="109"/>
      <c r="X460" s="40">
        <f t="shared" si="16"/>
        <v>0</v>
      </c>
    </row>
    <row r="461" spans="19:24" ht="19.95" customHeight="1">
      <c r="S461" s="109">
        <f t="shared" si="15"/>
        <v>0</v>
      </c>
      <c r="W461" s="109"/>
      <c r="X461" s="40">
        <f t="shared" si="16"/>
        <v>0</v>
      </c>
    </row>
    <row r="462" spans="19:24" ht="19.95" customHeight="1">
      <c r="S462" s="109">
        <f t="shared" si="15"/>
        <v>0</v>
      </c>
      <c r="W462" s="109"/>
      <c r="X462" s="40">
        <f t="shared" si="16"/>
        <v>0</v>
      </c>
    </row>
    <row r="463" spans="19:24" ht="19.95" customHeight="1">
      <c r="S463" s="109">
        <f t="shared" si="15"/>
        <v>0</v>
      </c>
      <c r="W463" s="109"/>
      <c r="X463" s="40">
        <f t="shared" si="16"/>
        <v>0</v>
      </c>
    </row>
    <row r="464" spans="19:24" ht="19.95" customHeight="1">
      <c r="S464" s="109">
        <f t="shared" si="15"/>
        <v>0</v>
      </c>
      <c r="W464" s="109"/>
      <c r="X464" s="40">
        <f t="shared" si="16"/>
        <v>0</v>
      </c>
    </row>
    <row r="465" spans="19:24" ht="19.95" customHeight="1">
      <c r="S465" s="109">
        <f t="shared" si="15"/>
        <v>0</v>
      </c>
      <c r="W465" s="109"/>
      <c r="X465" s="40">
        <f t="shared" si="16"/>
        <v>0</v>
      </c>
    </row>
    <row r="466" spans="19:24" ht="19.95" customHeight="1">
      <c r="S466" s="109">
        <f t="shared" si="15"/>
        <v>0</v>
      </c>
      <c r="W466" s="109"/>
      <c r="X466" s="40">
        <f t="shared" si="16"/>
        <v>0</v>
      </c>
    </row>
    <row r="467" spans="19:24" ht="19.95" customHeight="1">
      <c r="S467" s="109">
        <f t="shared" si="15"/>
        <v>0</v>
      </c>
      <c r="W467" s="109"/>
      <c r="X467" s="40">
        <f t="shared" si="16"/>
        <v>0</v>
      </c>
    </row>
    <row r="468" spans="19:24" ht="19.95" customHeight="1">
      <c r="S468" s="109">
        <f t="shared" si="15"/>
        <v>0</v>
      </c>
      <c r="W468" s="109"/>
      <c r="X468" s="40">
        <f t="shared" si="16"/>
        <v>0</v>
      </c>
    </row>
    <row r="469" spans="19:24" ht="19.95" customHeight="1">
      <c r="S469" s="109">
        <f t="shared" si="15"/>
        <v>0</v>
      </c>
      <c r="W469" s="109"/>
      <c r="X469" s="40">
        <f t="shared" si="16"/>
        <v>0</v>
      </c>
    </row>
    <row r="470" spans="19:24" ht="19.95" customHeight="1">
      <c r="S470" s="109">
        <f t="shared" si="15"/>
        <v>0</v>
      </c>
      <c r="W470" s="109"/>
      <c r="X470" s="40">
        <f t="shared" si="16"/>
        <v>0</v>
      </c>
    </row>
    <row r="471" spans="19:24" ht="19.95" customHeight="1">
      <c r="S471" s="109">
        <f t="shared" si="15"/>
        <v>0</v>
      </c>
      <c r="W471" s="109"/>
      <c r="X471" s="40">
        <f t="shared" si="16"/>
        <v>0</v>
      </c>
    </row>
    <row r="472" spans="19:24" ht="19.95" customHeight="1">
      <c r="S472" s="109">
        <f t="shared" si="15"/>
        <v>0</v>
      </c>
      <c r="W472" s="109"/>
      <c r="X472" s="40">
        <f t="shared" si="16"/>
        <v>0</v>
      </c>
    </row>
    <row r="473" spans="19:24" ht="19.95" customHeight="1">
      <c r="S473" s="109">
        <f t="shared" si="15"/>
        <v>0</v>
      </c>
      <c r="W473" s="109"/>
      <c r="X473" s="40">
        <f t="shared" si="16"/>
        <v>0</v>
      </c>
    </row>
    <row r="474" spans="19:24" ht="19.95" customHeight="1">
      <c r="S474" s="109">
        <f t="shared" si="15"/>
        <v>0</v>
      </c>
      <c r="W474" s="109"/>
      <c r="X474" s="40">
        <f t="shared" si="16"/>
        <v>0</v>
      </c>
    </row>
    <row r="475" spans="19:24" ht="19.95" customHeight="1">
      <c r="S475" s="109">
        <f t="shared" si="15"/>
        <v>0</v>
      </c>
      <c r="W475" s="109"/>
      <c r="X475" s="40">
        <f t="shared" si="16"/>
        <v>0</v>
      </c>
    </row>
    <row r="476" spans="19:24" ht="19.95" customHeight="1">
      <c r="S476" s="109">
        <f t="shared" si="15"/>
        <v>0</v>
      </c>
      <c r="W476" s="109"/>
      <c r="X476" s="40">
        <f t="shared" si="16"/>
        <v>0</v>
      </c>
    </row>
    <row r="477" spans="19:24" ht="19.95" customHeight="1">
      <c r="S477" s="109">
        <f t="shared" si="15"/>
        <v>0</v>
      </c>
      <c r="W477" s="109"/>
      <c r="X477" s="40">
        <f t="shared" si="16"/>
        <v>0</v>
      </c>
    </row>
    <row r="478" spans="19:24" ht="19.95" customHeight="1">
      <c r="S478" s="109">
        <f t="shared" si="15"/>
        <v>0</v>
      </c>
      <c r="W478" s="109"/>
      <c r="X478" s="40">
        <f t="shared" si="16"/>
        <v>0</v>
      </c>
    </row>
    <row r="479" spans="19:24" ht="19.95" customHeight="1">
      <c r="S479" s="109">
        <f t="shared" si="15"/>
        <v>0</v>
      </c>
      <c r="W479" s="109"/>
      <c r="X479" s="40">
        <f t="shared" si="16"/>
        <v>0</v>
      </c>
    </row>
    <row r="480" spans="19:24" ht="19.95" customHeight="1">
      <c r="S480" s="109">
        <f t="shared" si="15"/>
        <v>0</v>
      </c>
      <c r="W480" s="109"/>
      <c r="X480" s="40">
        <f t="shared" si="16"/>
        <v>0</v>
      </c>
    </row>
    <row r="481" spans="19:24" ht="19.95" customHeight="1">
      <c r="S481" s="109">
        <f t="shared" si="15"/>
        <v>0</v>
      </c>
      <c r="W481" s="109"/>
      <c r="X481" s="40">
        <f t="shared" si="16"/>
        <v>0</v>
      </c>
    </row>
    <row r="482" spans="19:24" ht="19.95" customHeight="1">
      <c r="S482" s="109">
        <f t="shared" si="15"/>
        <v>0</v>
      </c>
      <c r="W482" s="109"/>
      <c r="X482" s="40">
        <f t="shared" si="16"/>
        <v>0</v>
      </c>
    </row>
    <row r="483" spans="19:24" ht="19.95" customHeight="1">
      <c r="S483" s="109">
        <f t="shared" si="15"/>
        <v>0</v>
      </c>
      <c r="W483" s="109"/>
      <c r="X483" s="40">
        <f t="shared" si="16"/>
        <v>0</v>
      </c>
    </row>
    <row r="484" spans="19:24" ht="19.95" customHeight="1">
      <c r="S484" s="109">
        <f t="shared" si="15"/>
        <v>0</v>
      </c>
      <c r="W484" s="109"/>
      <c r="X484" s="40">
        <f t="shared" si="16"/>
        <v>0</v>
      </c>
    </row>
    <row r="485" spans="19:24" ht="19.95" customHeight="1">
      <c r="S485" s="109">
        <f t="shared" si="15"/>
        <v>0</v>
      </c>
      <c r="W485" s="109"/>
      <c r="X485" s="40">
        <f t="shared" si="16"/>
        <v>0</v>
      </c>
    </row>
    <row r="486" spans="19:24" ht="19.95" customHeight="1">
      <c r="S486" s="109">
        <f t="shared" si="15"/>
        <v>0</v>
      </c>
      <c r="W486" s="109"/>
      <c r="X486" s="40">
        <f t="shared" si="16"/>
        <v>0</v>
      </c>
    </row>
    <row r="487" spans="19:24" ht="19.95" customHeight="1">
      <c r="S487" s="109">
        <f t="shared" si="15"/>
        <v>0</v>
      </c>
      <c r="W487" s="109"/>
      <c r="X487" s="40">
        <f t="shared" si="16"/>
        <v>0</v>
      </c>
    </row>
    <row r="488" spans="19:24" ht="19.95" customHeight="1">
      <c r="S488" s="109">
        <f t="shared" si="15"/>
        <v>0</v>
      </c>
      <c r="W488" s="109"/>
      <c r="X488" s="40">
        <f t="shared" si="16"/>
        <v>0</v>
      </c>
    </row>
    <row r="489" spans="19:24" ht="19.95" customHeight="1">
      <c r="S489" s="109">
        <f t="shared" si="15"/>
        <v>0</v>
      </c>
      <c r="W489" s="109"/>
      <c r="X489" s="40">
        <f t="shared" si="16"/>
        <v>0</v>
      </c>
    </row>
    <row r="490" spans="19:24" ht="19.95" customHeight="1">
      <c r="S490" s="109">
        <f t="shared" si="15"/>
        <v>0</v>
      </c>
      <c r="W490" s="109"/>
      <c r="X490" s="40">
        <f t="shared" si="16"/>
        <v>0</v>
      </c>
    </row>
    <row r="491" spans="19:24" ht="19.95" customHeight="1">
      <c r="S491" s="109">
        <f t="shared" si="15"/>
        <v>0</v>
      </c>
      <c r="W491" s="109"/>
      <c r="X491" s="40">
        <f t="shared" si="16"/>
        <v>0</v>
      </c>
    </row>
    <row r="492" spans="19:24" ht="19.95" customHeight="1">
      <c r="S492" s="109">
        <f t="shared" si="15"/>
        <v>0</v>
      </c>
      <c r="W492" s="109"/>
      <c r="X492" s="40">
        <f t="shared" si="16"/>
        <v>0</v>
      </c>
    </row>
    <row r="493" spans="19:24" ht="19.95" customHeight="1">
      <c r="S493" s="109">
        <f t="shared" si="15"/>
        <v>0</v>
      </c>
      <c r="W493" s="109"/>
      <c r="X493" s="40">
        <f t="shared" si="16"/>
        <v>0</v>
      </c>
    </row>
    <row r="494" spans="19:24" ht="19.95" customHeight="1">
      <c r="S494" s="109">
        <f t="shared" si="15"/>
        <v>0</v>
      </c>
      <c r="W494" s="109"/>
      <c r="X494" s="40">
        <f t="shared" si="16"/>
        <v>0</v>
      </c>
    </row>
    <row r="495" spans="19:24" ht="19.95" customHeight="1">
      <c r="S495" s="109">
        <f t="shared" si="15"/>
        <v>0</v>
      </c>
      <c r="W495" s="109"/>
      <c r="X495" s="40">
        <f t="shared" si="16"/>
        <v>0</v>
      </c>
    </row>
    <row r="496" spans="19:24" ht="19.95" customHeight="1">
      <c r="S496" s="109">
        <f t="shared" si="15"/>
        <v>0</v>
      </c>
      <c r="W496" s="109"/>
      <c r="X496" s="40">
        <f t="shared" si="16"/>
        <v>0</v>
      </c>
    </row>
    <row r="497" spans="19:24" ht="19.95" customHeight="1">
      <c r="S497" s="109">
        <f t="shared" si="15"/>
        <v>0</v>
      </c>
      <c r="W497" s="109"/>
      <c r="X497" s="40">
        <f t="shared" si="16"/>
        <v>0</v>
      </c>
    </row>
    <row r="498" spans="19:24" ht="19.95" customHeight="1">
      <c r="S498" s="109">
        <f t="shared" si="15"/>
        <v>0</v>
      </c>
      <c r="W498" s="109"/>
      <c r="X498" s="40">
        <f t="shared" si="16"/>
        <v>0</v>
      </c>
    </row>
    <row r="499" spans="19:24" ht="19.95" customHeight="1">
      <c r="S499" s="109">
        <f t="shared" si="15"/>
        <v>0</v>
      </c>
      <c r="W499" s="109"/>
      <c r="X499" s="40">
        <f t="shared" si="16"/>
        <v>0</v>
      </c>
    </row>
    <row r="500" spans="19:24" ht="19.95" customHeight="1">
      <c r="S500" s="109">
        <f t="shared" si="15"/>
        <v>0</v>
      </c>
      <c r="W500" s="109"/>
      <c r="X500" s="40">
        <f t="shared" si="16"/>
        <v>0</v>
      </c>
    </row>
    <row r="501" spans="19:24" ht="19.95" customHeight="1">
      <c r="S501" s="109">
        <f t="shared" si="15"/>
        <v>0</v>
      </c>
      <c r="W501" s="109"/>
      <c r="X501" s="40">
        <f t="shared" si="16"/>
        <v>0</v>
      </c>
    </row>
    <row r="502" spans="19:24" ht="19.95" customHeight="1">
      <c r="S502" s="109">
        <f t="shared" si="15"/>
        <v>0</v>
      </c>
      <c r="W502" s="109"/>
      <c r="X502" s="40">
        <f t="shared" si="16"/>
        <v>0</v>
      </c>
    </row>
    <row r="503" spans="19:24" ht="19.95" customHeight="1">
      <c r="S503" s="109">
        <f t="shared" si="15"/>
        <v>0</v>
      </c>
      <c r="W503" s="109"/>
      <c r="X503" s="40">
        <f t="shared" si="16"/>
        <v>0</v>
      </c>
    </row>
    <row r="504" spans="19:24" ht="19.95" customHeight="1">
      <c r="S504" s="109">
        <f t="shared" si="15"/>
        <v>0</v>
      </c>
      <c r="W504" s="109"/>
      <c r="X504" s="40">
        <f t="shared" si="16"/>
        <v>0</v>
      </c>
    </row>
    <row r="505" spans="19:24" ht="19.95" customHeight="1">
      <c r="S505" s="109">
        <f t="shared" si="15"/>
        <v>0</v>
      </c>
      <c r="W505" s="109"/>
      <c r="X505" s="40">
        <f t="shared" si="16"/>
        <v>0</v>
      </c>
    </row>
    <row r="506" spans="19:24" ht="19.95" customHeight="1">
      <c r="S506" s="109">
        <f t="shared" si="15"/>
        <v>0</v>
      </c>
      <c r="W506" s="109"/>
      <c r="X506" s="40">
        <f t="shared" si="16"/>
        <v>0</v>
      </c>
    </row>
    <row r="507" spans="19:24" ht="19.95" customHeight="1">
      <c r="S507" s="109">
        <f t="shared" si="15"/>
        <v>0</v>
      </c>
      <c r="W507" s="109"/>
      <c r="X507" s="40">
        <f t="shared" si="16"/>
        <v>0</v>
      </c>
    </row>
    <row r="508" spans="19:24" ht="19.95" customHeight="1">
      <c r="S508" s="109">
        <f t="shared" si="15"/>
        <v>0</v>
      </c>
      <c r="W508" s="109"/>
      <c r="X508" s="40">
        <f t="shared" si="16"/>
        <v>0</v>
      </c>
    </row>
    <row r="509" spans="19:24" ht="19.95" customHeight="1">
      <c r="S509" s="109">
        <f t="shared" si="15"/>
        <v>0</v>
      </c>
      <c r="W509" s="109"/>
      <c r="X509" s="40">
        <f t="shared" si="16"/>
        <v>0</v>
      </c>
    </row>
    <row r="510" spans="19:24" ht="19.95" customHeight="1">
      <c r="S510" s="109">
        <f t="shared" si="15"/>
        <v>0</v>
      </c>
      <c r="W510" s="109"/>
      <c r="X510" s="40">
        <f t="shared" si="16"/>
        <v>0</v>
      </c>
    </row>
    <row r="511" spans="19:24" ht="19.95" customHeight="1">
      <c r="S511" s="109">
        <f t="shared" si="15"/>
        <v>0</v>
      </c>
      <c r="W511" s="109"/>
      <c r="X511" s="40">
        <f t="shared" si="16"/>
        <v>0</v>
      </c>
    </row>
    <row r="512" spans="19:24" ht="19.95" customHeight="1">
      <c r="S512" s="109">
        <f t="shared" si="15"/>
        <v>0</v>
      </c>
      <c r="W512" s="109"/>
      <c r="X512" s="40">
        <f t="shared" si="16"/>
        <v>0</v>
      </c>
    </row>
    <row r="513" spans="19:24" ht="19.95" customHeight="1">
      <c r="S513" s="109">
        <f t="shared" si="15"/>
        <v>0</v>
      </c>
      <c r="W513" s="109"/>
      <c r="X513" s="40">
        <f t="shared" si="16"/>
        <v>0</v>
      </c>
    </row>
    <row r="514" spans="19:24" ht="19.95" customHeight="1">
      <c r="S514" s="109">
        <f t="shared" si="15"/>
        <v>0</v>
      </c>
      <c r="W514" s="109"/>
      <c r="X514" s="40">
        <f t="shared" si="16"/>
        <v>0</v>
      </c>
    </row>
    <row r="515" spans="19:24" ht="19.95" customHeight="1">
      <c r="S515" s="109">
        <f t="shared" ref="S515:S578" si="17">K515-R515</f>
        <v>0</v>
      </c>
      <c r="W515" s="109"/>
      <c r="X515" s="40">
        <f t="shared" ref="X515:X578" si="18">S515-W515</f>
        <v>0</v>
      </c>
    </row>
    <row r="516" spans="19:24" ht="19.95" customHeight="1">
      <c r="S516" s="109">
        <f t="shared" si="17"/>
        <v>0</v>
      </c>
      <c r="W516" s="109"/>
      <c r="X516" s="40">
        <f t="shared" si="18"/>
        <v>0</v>
      </c>
    </row>
    <row r="517" spans="19:24" ht="19.95" customHeight="1">
      <c r="S517" s="109">
        <f t="shared" si="17"/>
        <v>0</v>
      </c>
      <c r="W517" s="109"/>
      <c r="X517" s="40">
        <f t="shared" si="18"/>
        <v>0</v>
      </c>
    </row>
    <row r="518" spans="19:24" ht="19.95" customHeight="1">
      <c r="S518" s="109">
        <f t="shared" si="17"/>
        <v>0</v>
      </c>
      <c r="W518" s="109"/>
      <c r="X518" s="40">
        <f t="shared" si="18"/>
        <v>0</v>
      </c>
    </row>
    <row r="519" spans="19:24" ht="19.95" customHeight="1">
      <c r="S519" s="109">
        <f t="shared" si="17"/>
        <v>0</v>
      </c>
      <c r="W519" s="109"/>
      <c r="X519" s="40">
        <f t="shared" si="18"/>
        <v>0</v>
      </c>
    </row>
    <row r="520" spans="19:24" ht="19.95" customHeight="1">
      <c r="S520" s="109">
        <f t="shared" si="17"/>
        <v>0</v>
      </c>
      <c r="W520" s="109"/>
      <c r="X520" s="40">
        <f t="shared" si="18"/>
        <v>0</v>
      </c>
    </row>
    <row r="521" spans="19:24" ht="19.95" customHeight="1">
      <c r="S521" s="109">
        <f t="shared" si="17"/>
        <v>0</v>
      </c>
      <c r="W521" s="109"/>
      <c r="X521" s="40">
        <f t="shared" si="18"/>
        <v>0</v>
      </c>
    </row>
    <row r="522" spans="19:24" ht="19.95" customHeight="1">
      <c r="S522" s="109">
        <f t="shared" si="17"/>
        <v>0</v>
      </c>
      <c r="W522" s="109"/>
      <c r="X522" s="40">
        <f t="shared" si="18"/>
        <v>0</v>
      </c>
    </row>
    <row r="523" spans="19:24" ht="19.95" customHeight="1">
      <c r="S523" s="109">
        <f t="shared" si="17"/>
        <v>0</v>
      </c>
      <c r="W523" s="109"/>
      <c r="X523" s="40">
        <f t="shared" si="18"/>
        <v>0</v>
      </c>
    </row>
    <row r="524" spans="19:24" ht="19.95" customHeight="1">
      <c r="S524" s="109">
        <f t="shared" si="17"/>
        <v>0</v>
      </c>
      <c r="W524" s="109"/>
      <c r="X524" s="40">
        <f t="shared" si="18"/>
        <v>0</v>
      </c>
    </row>
    <row r="525" spans="19:24" ht="19.95" customHeight="1">
      <c r="S525" s="109">
        <f t="shared" si="17"/>
        <v>0</v>
      </c>
      <c r="W525" s="109"/>
      <c r="X525" s="40">
        <f t="shared" si="18"/>
        <v>0</v>
      </c>
    </row>
    <row r="526" spans="19:24" ht="19.95" customHeight="1">
      <c r="S526" s="109">
        <f t="shared" si="17"/>
        <v>0</v>
      </c>
      <c r="W526" s="109"/>
      <c r="X526" s="40">
        <f t="shared" si="18"/>
        <v>0</v>
      </c>
    </row>
    <row r="527" spans="19:24" ht="19.95" customHeight="1">
      <c r="S527" s="109">
        <f t="shared" si="17"/>
        <v>0</v>
      </c>
      <c r="W527" s="109"/>
      <c r="X527" s="40">
        <f t="shared" si="18"/>
        <v>0</v>
      </c>
    </row>
    <row r="528" spans="19:24" ht="19.95" customHeight="1">
      <c r="S528" s="109">
        <f t="shared" si="17"/>
        <v>0</v>
      </c>
      <c r="W528" s="109"/>
      <c r="X528" s="40">
        <f t="shared" si="18"/>
        <v>0</v>
      </c>
    </row>
    <row r="529" spans="19:24" ht="19.95" customHeight="1">
      <c r="S529" s="109">
        <f t="shared" si="17"/>
        <v>0</v>
      </c>
      <c r="W529" s="109"/>
      <c r="X529" s="40">
        <f t="shared" si="18"/>
        <v>0</v>
      </c>
    </row>
    <row r="530" spans="19:24" ht="19.95" customHeight="1">
      <c r="S530" s="109">
        <f t="shared" si="17"/>
        <v>0</v>
      </c>
      <c r="W530" s="109"/>
      <c r="X530" s="40">
        <f t="shared" si="18"/>
        <v>0</v>
      </c>
    </row>
    <row r="531" spans="19:24" ht="19.95" customHeight="1">
      <c r="S531" s="109">
        <f t="shared" si="17"/>
        <v>0</v>
      </c>
      <c r="W531" s="109"/>
      <c r="X531" s="40">
        <f t="shared" si="18"/>
        <v>0</v>
      </c>
    </row>
    <row r="532" spans="19:24" ht="19.95" customHeight="1">
      <c r="S532" s="109">
        <f t="shared" si="17"/>
        <v>0</v>
      </c>
      <c r="W532" s="109"/>
      <c r="X532" s="40">
        <f t="shared" si="18"/>
        <v>0</v>
      </c>
    </row>
    <row r="533" spans="19:24" ht="19.95" customHeight="1">
      <c r="S533" s="109">
        <f t="shared" si="17"/>
        <v>0</v>
      </c>
      <c r="W533" s="109"/>
      <c r="X533" s="40">
        <f t="shared" si="18"/>
        <v>0</v>
      </c>
    </row>
    <row r="534" spans="19:24" ht="19.95" customHeight="1">
      <c r="S534" s="109">
        <f t="shared" si="17"/>
        <v>0</v>
      </c>
      <c r="W534" s="109"/>
      <c r="X534" s="40">
        <f t="shared" si="18"/>
        <v>0</v>
      </c>
    </row>
    <row r="535" spans="19:24" ht="19.95" customHeight="1">
      <c r="S535" s="109">
        <f t="shared" si="17"/>
        <v>0</v>
      </c>
      <c r="W535" s="109"/>
      <c r="X535" s="40">
        <f t="shared" si="18"/>
        <v>0</v>
      </c>
    </row>
    <row r="536" spans="19:24" ht="19.95" customHeight="1">
      <c r="S536" s="109">
        <f t="shared" si="17"/>
        <v>0</v>
      </c>
      <c r="W536" s="109"/>
      <c r="X536" s="40">
        <f t="shared" si="18"/>
        <v>0</v>
      </c>
    </row>
    <row r="537" spans="19:24" ht="19.95" customHeight="1">
      <c r="S537" s="109">
        <f t="shared" si="17"/>
        <v>0</v>
      </c>
      <c r="W537" s="109"/>
      <c r="X537" s="40">
        <f t="shared" si="18"/>
        <v>0</v>
      </c>
    </row>
    <row r="538" spans="19:24" ht="19.95" customHeight="1">
      <c r="S538" s="109">
        <f t="shared" si="17"/>
        <v>0</v>
      </c>
      <c r="W538" s="109"/>
      <c r="X538" s="40">
        <f t="shared" si="18"/>
        <v>0</v>
      </c>
    </row>
    <row r="539" spans="19:24" ht="19.95" customHeight="1">
      <c r="S539" s="109">
        <f t="shared" si="17"/>
        <v>0</v>
      </c>
      <c r="W539" s="109"/>
      <c r="X539" s="40">
        <f t="shared" si="18"/>
        <v>0</v>
      </c>
    </row>
    <row r="540" spans="19:24" ht="19.95" customHeight="1">
      <c r="S540" s="109">
        <f t="shared" si="17"/>
        <v>0</v>
      </c>
      <c r="W540" s="109"/>
      <c r="X540" s="40">
        <f t="shared" si="18"/>
        <v>0</v>
      </c>
    </row>
    <row r="541" spans="19:24" ht="19.95" customHeight="1">
      <c r="S541" s="109">
        <f t="shared" si="17"/>
        <v>0</v>
      </c>
      <c r="W541" s="109"/>
      <c r="X541" s="40">
        <f t="shared" si="18"/>
        <v>0</v>
      </c>
    </row>
    <row r="542" spans="19:24" ht="19.95" customHeight="1">
      <c r="S542" s="109">
        <f t="shared" si="17"/>
        <v>0</v>
      </c>
      <c r="W542" s="109"/>
      <c r="X542" s="40">
        <f t="shared" si="18"/>
        <v>0</v>
      </c>
    </row>
    <row r="543" spans="19:24" ht="19.95" customHeight="1">
      <c r="S543" s="109">
        <f t="shared" si="17"/>
        <v>0</v>
      </c>
      <c r="W543" s="109"/>
      <c r="X543" s="40">
        <f t="shared" si="18"/>
        <v>0</v>
      </c>
    </row>
    <row r="544" spans="19:24" ht="19.95" customHeight="1">
      <c r="S544" s="109">
        <f t="shared" si="17"/>
        <v>0</v>
      </c>
      <c r="W544" s="109"/>
      <c r="X544" s="40">
        <f t="shared" si="18"/>
        <v>0</v>
      </c>
    </row>
    <row r="545" spans="19:24" ht="19.95" customHeight="1">
      <c r="S545" s="109">
        <f t="shared" si="17"/>
        <v>0</v>
      </c>
      <c r="W545" s="109"/>
      <c r="X545" s="40">
        <f t="shared" si="18"/>
        <v>0</v>
      </c>
    </row>
    <row r="546" spans="19:24" ht="19.95" customHeight="1">
      <c r="S546" s="109">
        <f t="shared" si="17"/>
        <v>0</v>
      </c>
      <c r="W546" s="109"/>
      <c r="X546" s="40">
        <f t="shared" si="18"/>
        <v>0</v>
      </c>
    </row>
    <row r="547" spans="19:24" ht="19.95" customHeight="1">
      <c r="S547" s="109">
        <f t="shared" si="17"/>
        <v>0</v>
      </c>
      <c r="W547" s="109"/>
      <c r="X547" s="40">
        <f t="shared" si="18"/>
        <v>0</v>
      </c>
    </row>
    <row r="548" spans="19:24" ht="19.95" customHeight="1">
      <c r="S548" s="109">
        <f t="shared" si="17"/>
        <v>0</v>
      </c>
      <c r="W548" s="109"/>
      <c r="X548" s="40">
        <f t="shared" si="18"/>
        <v>0</v>
      </c>
    </row>
    <row r="549" spans="19:24" ht="19.95" customHeight="1">
      <c r="S549" s="109">
        <f t="shared" si="17"/>
        <v>0</v>
      </c>
      <c r="W549" s="109"/>
      <c r="X549" s="40">
        <f t="shared" si="18"/>
        <v>0</v>
      </c>
    </row>
    <row r="550" spans="19:24" ht="19.95" customHeight="1">
      <c r="S550" s="109">
        <f t="shared" si="17"/>
        <v>0</v>
      </c>
      <c r="W550" s="109"/>
      <c r="X550" s="40">
        <f t="shared" si="18"/>
        <v>0</v>
      </c>
    </row>
    <row r="551" spans="19:24" ht="19.95" customHeight="1">
      <c r="S551" s="109">
        <f t="shared" si="17"/>
        <v>0</v>
      </c>
      <c r="W551" s="109"/>
      <c r="X551" s="40">
        <f t="shared" si="18"/>
        <v>0</v>
      </c>
    </row>
    <row r="552" spans="19:24" ht="19.95" customHeight="1">
      <c r="S552" s="109">
        <f t="shared" si="17"/>
        <v>0</v>
      </c>
      <c r="W552" s="109"/>
      <c r="X552" s="40">
        <f t="shared" si="18"/>
        <v>0</v>
      </c>
    </row>
    <row r="553" spans="19:24" ht="19.95" customHeight="1">
      <c r="S553" s="109">
        <f t="shared" si="17"/>
        <v>0</v>
      </c>
      <c r="W553" s="109"/>
      <c r="X553" s="40">
        <f t="shared" si="18"/>
        <v>0</v>
      </c>
    </row>
    <row r="554" spans="19:24" ht="19.95" customHeight="1">
      <c r="S554" s="109">
        <f t="shared" si="17"/>
        <v>0</v>
      </c>
      <c r="W554" s="109"/>
      <c r="X554" s="40">
        <f t="shared" si="18"/>
        <v>0</v>
      </c>
    </row>
    <row r="555" spans="19:24" ht="19.95" customHeight="1">
      <c r="S555" s="109">
        <f t="shared" si="17"/>
        <v>0</v>
      </c>
      <c r="W555" s="109"/>
      <c r="X555" s="40">
        <f t="shared" si="18"/>
        <v>0</v>
      </c>
    </row>
    <row r="556" spans="19:24" ht="19.95" customHeight="1">
      <c r="S556" s="109">
        <f t="shared" si="17"/>
        <v>0</v>
      </c>
      <c r="W556" s="109"/>
      <c r="X556" s="40">
        <f t="shared" si="18"/>
        <v>0</v>
      </c>
    </row>
    <row r="557" spans="19:24" ht="19.95" customHeight="1">
      <c r="S557" s="109">
        <f t="shared" si="17"/>
        <v>0</v>
      </c>
      <c r="W557" s="109"/>
      <c r="X557" s="40">
        <f t="shared" si="18"/>
        <v>0</v>
      </c>
    </row>
    <row r="558" spans="19:24" ht="19.95" customHeight="1">
      <c r="S558" s="109">
        <f t="shared" si="17"/>
        <v>0</v>
      </c>
      <c r="W558" s="109"/>
      <c r="X558" s="40">
        <f t="shared" si="18"/>
        <v>0</v>
      </c>
    </row>
    <row r="559" spans="19:24" ht="19.95" customHeight="1">
      <c r="S559" s="109">
        <f t="shared" si="17"/>
        <v>0</v>
      </c>
      <c r="W559" s="109"/>
      <c r="X559" s="40">
        <f t="shared" si="18"/>
        <v>0</v>
      </c>
    </row>
    <row r="560" spans="19:24" ht="19.95" customHeight="1">
      <c r="S560" s="109">
        <f t="shared" si="17"/>
        <v>0</v>
      </c>
      <c r="W560" s="109"/>
      <c r="X560" s="40">
        <f t="shared" si="18"/>
        <v>0</v>
      </c>
    </row>
    <row r="561" spans="19:24" ht="19.95" customHeight="1">
      <c r="S561" s="109">
        <f t="shared" si="17"/>
        <v>0</v>
      </c>
      <c r="W561" s="109"/>
      <c r="X561" s="40">
        <f t="shared" si="18"/>
        <v>0</v>
      </c>
    </row>
    <row r="562" spans="19:24" ht="19.95" customHeight="1">
      <c r="S562" s="109">
        <f t="shared" si="17"/>
        <v>0</v>
      </c>
      <c r="W562" s="109"/>
      <c r="X562" s="40">
        <f t="shared" si="18"/>
        <v>0</v>
      </c>
    </row>
    <row r="563" spans="19:24" ht="19.95" customHeight="1">
      <c r="S563" s="109">
        <f t="shared" si="17"/>
        <v>0</v>
      </c>
      <c r="W563" s="109"/>
      <c r="X563" s="40">
        <f t="shared" si="18"/>
        <v>0</v>
      </c>
    </row>
    <row r="564" spans="19:24" ht="19.95" customHeight="1">
      <c r="S564" s="109">
        <f t="shared" si="17"/>
        <v>0</v>
      </c>
      <c r="W564" s="109"/>
      <c r="X564" s="40">
        <f t="shared" si="18"/>
        <v>0</v>
      </c>
    </row>
    <row r="565" spans="19:24" ht="19.95" customHeight="1">
      <c r="S565" s="109">
        <f t="shared" si="17"/>
        <v>0</v>
      </c>
      <c r="W565" s="109"/>
      <c r="X565" s="40">
        <f t="shared" si="18"/>
        <v>0</v>
      </c>
    </row>
    <row r="566" spans="19:24" ht="19.95" customHeight="1">
      <c r="S566" s="109">
        <f t="shared" si="17"/>
        <v>0</v>
      </c>
      <c r="W566" s="109"/>
      <c r="X566" s="40">
        <f t="shared" si="18"/>
        <v>0</v>
      </c>
    </row>
    <row r="567" spans="19:24" ht="19.95" customHeight="1">
      <c r="S567" s="109">
        <f t="shared" si="17"/>
        <v>0</v>
      </c>
      <c r="W567" s="109"/>
      <c r="X567" s="40">
        <f t="shared" si="18"/>
        <v>0</v>
      </c>
    </row>
    <row r="568" spans="19:24" ht="19.95" customHeight="1">
      <c r="S568" s="109">
        <f t="shared" si="17"/>
        <v>0</v>
      </c>
      <c r="W568" s="109"/>
      <c r="X568" s="40">
        <f t="shared" si="18"/>
        <v>0</v>
      </c>
    </row>
    <row r="569" spans="19:24" ht="19.95" customHeight="1">
      <c r="S569" s="109">
        <f t="shared" si="17"/>
        <v>0</v>
      </c>
      <c r="W569" s="109"/>
      <c r="X569" s="40">
        <f t="shared" si="18"/>
        <v>0</v>
      </c>
    </row>
    <row r="570" spans="19:24" ht="19.95" customHeight="1">
      <c r="S570" s="109">
        <f t="shared" si="17"/>
        <v>0</v>
      </c>
      <c r="W570" s="109"/>
      <c r="X570" s="40">
        <f t="shared" si="18"/>
        <v>0</v>
      </c>
    </row>
    <row r="571" spans="19:24" ht="19.95" customHeight="1">
      <c r="S571" s="109">
        <f t="shared" si="17"/>
        <v>0</v>
      </c>
      <c r="W571" s="109"/>
      <c r="X571" s="40">
        <f t="shared" si="18"/>
        <v>0</v>
      </c>
    </row>
    <row r="572" spans="19:24" ht="19.95" customHeight="1">
      <c r="S572" s="109">
        <f t="shared" si="17"/>
        <v>0</v>
      </c>
      <c r="W572" s="109"/>
      <c r="X572" s="40">
        <f t="shared" si="18"/>
        <v>0</v>
      </c>
    </row>
    <row r="573" spans="19:24" ht="19.95" customHeight="1">
      <c r="S573" s="109">
        <f t="shared" si="17"/>
        <v>0</v>
      </c>
      <c r="W573" s="109"/>
      <c r="X573" s="40">
        <f t="shared" si="18"/>
        <v>0</v>
      </c>
    </row>
    <row r="574" spans="19:24" ht="19.95" customHeight="1">
      <c r="S574" s="109">
        <f t="shared" si="17"/>
        <v>0</v>
      </c>
      <c r="W574" s="109"/>
      <c r="X574" s="40">
        <f t="shared" si="18"/>
        <v>0</v>
      </c>
    </row>
    <row r="575" spans="19:24" ht="19.95" customHeight="1">
      <c r="S575" s="109">
        <f t="shared" si="17"/>
        <v>0</v>
      </c>
      <c r="W575" s="109"/>
      <c r="X575" s="40">
        <f t="shared" si="18"/>
        <v>0</v>
      </c>
    </row>
    <row r="576" spans="19:24" ht="19.95" customHeight="1">
      <c r="S576" s="109">
        <f t="shared" si="17"/>
        <v>0</v>
      </c>
      <c r="W576" s="109"/>
      <c r="X576" s="40">
        <f t="shared" si="18"/>
        <v>0</v>
      </c>
    </row>
    <row r="577" spans="19:24" ht="19.95" customHeight="1">
      <c r="S577" s="109">
        <f t="shared" si="17"/>
        <v>0</v>
      </c>
      <c r="W577" s="109"/>
      <c r="X577" s="40">
        <f t="shared" si="18"/>
        <v>0</v>
      </c>
    </row>
    <row r="578" spans="19:24" ht="19.95" customHeight="1">
      <c r="S578" s="109">
        <f t="shared" si="17"/>
        <v>0</v>
      </c>
      <c r="W578" s="109"/>
      <c r="X578" s="40">
        <f t="shared" si="18"/>
        <v>0</v>
      </c>
    </row>
    <row r="579" spans="19:24" ht="19.95" customHeight="1">
      <c r="S579" s="109">
        <f t="shared" ref="S579:S642" si="19">K579-R579</f>
        <v>0</v>
      </c>
      <c r="W579" s="109"/>
      <c r="X579" s="40">
        <f t="shared" ref="X579:X642" si="20">S579-W579</f>
        <v>0</v>
      </c>
    </row>
    <row r="580" spans="19:24" ht="19.95" customHeight="1">
      <c r="S580" s="109">
        <f t="shared" si="19"/>
        <v>0</v>
      </c>
      <c r="W580" s="109"/>
      <c r="X580" s="40">
        <f t="shared" si="20"/>
        <v>0</v>
      </c>
    </row>
    <row r="581" spans="19:24" ht="19.95" customHeight="1">
      <c r="S581" s="109">
        <f t="shared" si="19"/>
        <v>0</v>
      </c>
      <c r="W581" s="109"/>
      <c r="X581" s="40">
        <f t="shared" si="20"/>
        <v>0</v>
      </c>
    </row>
    <row r="582" spans="19:24" ht="19.95" customHeight="1">
      <c r="S582" s="109">
        <f t="shared" si="19"/>
        <v>0</v>
      </c>
      <c r="W582" s="109"/>
      <c r="X582" s="40">
        <f t="shared" si="20"/>
        <v>0</v>
      </c>
    </row>
    <row r="583" spans="19:24" ht="19.95" customHeight="1">
      <c r="S583" s="109">
        <f t="shared" si="19"/>
        <v>0</v>
      </c>
      <c r="W583" s="109"/>
      <c r="X583" s="40">
        <f t="shared" si="20"/>
        <v>0</v>
      </c>
    </row>
    <row r="584" spans="19:24" ht="19.95" customHeight="1">
      <c r="S584" s="109">
        <f t="shared" si="19"/>
        <v>0</v>
      </c>
      <c r="W584" s="109"/>
      <c r="X584" s="40">
        <f t="shared" si="20"/>
        <v>0</v>
      </c>
    </row>
    <row r="585" spans="19:24" ht="19.95" customHeight="1">
      <c r="S585" s="109">
        <f t="shared" si="19"/>
        <v>0</v>
      </c>
      <c r="W585" s="109"/>
      <c r="X585" s="40">
        <f t="shared" si="20"/>
        <v>0</v>
      </c>
    </row>
    <row r="586" spans="19:24" ht="19.95" customHeight="1">
      <c r="S586" s="109">
        <f t="shared" si="19"/>
        <v>0</v>
      </c>
      <c r="W586" s="109"/>
      <c r="X586" s="40">
        <f t="shared" si="20"/>
        <v>0</v>
      </c>
    </row>
    <row r="587" spans="19:24" ht="19.95" customHeight="1">
      <c r="S587" s="109">
        <f t="shared" si="19"/>
        <v>0</v>
      </c>
      <c r="W587" s="109"/>
      <c r="X587" s="40">
        <f t="shared" si="20"/>
        <v>0</v>
      </c>
    </row>
    <row r="588" spans="19:24" ht="19.95" customHeight="1">
      <c r="S588" s="109">
        <f t="shared" si="19"/>
        <v>0</v>
      </c>
      <c r="W588" s="109"/>
      <c r="X588" s="40">
        <f t="shared" si="20"/>
        <v>0</v>
      </c>
    </row>
    <row r="589" spans="19:24" ht="19.95" customHeight="1">
      <c r="S589" s="109">
        <f t="shared" si="19"/>
        <v>0</v>
      </c>
      <c r="W589" s="109"/>
      <c r="X589" s="40">
        <f t="shared" si="20"/>
        <v>0</v>
      </c>
    </row>
    <row r="590" spans="19:24" ht="19.95" customHeight="1">
      <c r="S590" s="109">
        <f t="shared" si="19"/>
        <v>0</v>
      </c>
      <c r="W590" s="109"/>
      <c r="X590" s="40">
        <f t="shared" si="20"/>
        <v>0</v>
      </c>
    </row>
    <row r="591" spans="19:24" ht="19.95" customHeight="1">
      <c r="S591" s="109">
        <f t="shared" si="19"/>
        <v>0</v>
      </c>
      <c r="W591" s="109"/>
      <c r="X591" s="40">
        <f t="shared" si="20"/>
        <v>0</v>
      </c>
    </row>
    <row r="592" spans="19:24" ht="19.95" customHeight="1">
      <c r="S592" s="109">
        <f t="shared" si="19"/>
        <v>0</v>
      </c>
      <c r="W592" s="109"/>
      <c r="X592" s="40">
        <f t="shared" si="20"/>
        <v>0</v>
      </c>
    </row>
    <row r="593" spans="19:24" ht="19.95" customHeight="1">
      <c r="S593" s="109">
        <f t="shared" si="19"/>
        <v>0</v>
      </c>
      <c r="W593" s="109"/>
      <c r="X593" s="40">
        <f t="shared" si="20"/>
        <v>0</v>
      </c>
    </row>
    <row r="594" spans="19:24" ht="19.95" customHeight="1">
      <c r="S594" s="109">
        <f t="shared" si="19"/>
        <v>0</v>
      </c>
      <c r="W594" s="109"/>
      <c r="X594" s="40">
        <f t="shared" si="20"/>
        <v>0</v>
      </c>
    </row>
    <row r="595" spans="19:24" ht="19.95" customHeight="1">
      <c r="S595" s="109">
        <f t="shared" si="19"/>
        <v>0</v>
      </c>
      <c r="W595" s="109"/>
      <c r="X595" s="40">
        <f t="shared" si="20"/>
        <v>0</v>
      </c>
    </row>
    <row r="596" spans="19:24" ht="19.95" customHeight="1">
      <c r="S596" s="109">
        <f t="shared" si="19"/>
        <v>0</v>
      </c>
      <c r="W596" s="109"/>
      <c r="X596" s="40">
        <f t="shared" si="20"/>
        <v>0</v>
      </c>
    </row>
    <row r="597" spans="19:24" ht="19.95" customHeight="1">
      <c r="S597" s="109">
        <f t="shared" si="19"/>
        <v>0</v>
      </c>
      <c r="W597" s="109"/>
      <c r="X597" s="40">
        <f t="shared" si="20"/>
        <v>0</v>
      </c>
    </row>
    <row r="598" spans="19:24" ht="19.95" customHeight="1">
      <c r="S598" s="109">
        <f t="shared" si="19"/>
        <v>0</v>
      </c>
      <c r="W598" s="109"/>
      <c r="X598" s="40">
        <f t="shared" si="20"/>
        <v>0</v>
      </c>
    </row>
    <row r="599" spans="19:24" ht="19.95" customHeight="1">
      <c r="S599" s="109">
        <f t="shared" si="19"/>
        <v>0</v>
      </c>
      <c r="W599" s="109"/>
      <c r="X599" s="40">
        <f t="shared" si="20"/>
        <v>0</v>
      </c>
    </row>
    <row r="600" spans="19:24">
      <c r="S600" s="109">
        <f t="shared" si="19"/>
        <v>0</v>
      </c>
      <c r="W600" s="109"/>
      <c r="X600" s="40">
        <f t="shared" si="20"/>
        <v>0</v>
      </c>
    </row>
    <row r="601" spans="19:24">
      <c r="S601" s="109">
        <f t="shared" si="19"/>
        <v>0</v>
      </c>
      <c r="W601" s="109"/>
      <c r="X601" s="40">
        <f t="shared" si="20"/>
        <v>0</v>
      </c>
    </row>
    <row r="602" spans="19:24">
      <c r="S602" s="109">
        <f t="shared" si="19"/>
        <v>0</v>
      </c>
      <c r="W602" s="109"/>
      <c r="X602" s="40">
        <f t="shared" si="20"/>
        <v>0</v>
      </c>
    </row>
    <row r="603" spans="19:24">
      <c r="S603" s="109">
        <f t="shared" si="19"/>
        <v>0</v>
      </c>
      <c r="W603" s="109"/>
      <c r="X603" s="40">
        <f t="shared" si="20"/>
        <v>0</v>
      </c>
    </row>
    <row r="604" spans="19:24">
      <c r="S604" s="109">
        <f t="shared" si="19"/>
        <v>0</v>
      </c>
      <c r="W604" s="109"/>
      <c r="X604" s="40">
        <f t="shared" si="20"/>
        <v>0</v>
      </c>
    </row>
    <row r="605" spans="19:24">
      <c r="S605" s="109">
        <f t="shared" si="19"/>
        <v>0</v>
      </c>
      <c r="W605" s="109"/>
      <c r="X605" s="40">
        <f t="shared" si="20"/>
        <v>0</v>
      </c>
    </row>
    <row r="606" spans="19:24">
      <c r="S606" s="109">
        <f t="shared" si="19"/>
        <v>0</v>
      </c>
      <c r="W606" s="109"/>
      <c r="X606" s="40">
        <f t="shared" si="20"/>
        <v>0</v>
      </c>
    </row>
    <row r="607" spans="19:24">
      <c r="S607" s="109">
        <f t="shared" si="19"/>
        <v>0</v>
      </c>
      <c r="W607" s="109"/>
      <c r="X607" s="40">
        <f t="shared" si="20"/>
        <v>0</v>
      </c>
    </row>
    <row r="608" spans="19:24">
      <c r="S608" s="109">
        <f t="shared" si="19"/>
        <v>0</v>
      </c>
      <c r="W608" s="109"/>
      <c r="X608" s="40">
        <f t="shared" si="20"/>
        <v>0</v>
      </c>
    </row>
    <row r="609" spans="19:24">
      <c r="S609" s="109">
        <f t="shared" si="19"/>
        <v>0</v>
      </c>
      <c r="W609" s="109"/>
      <c r="X609" s="40">
        <f t="shared" si="20"/>
        <v>0</v>
      </c>
    </row>
    <row r="610" spans="19:24">
      <c r="S610" s="109">
        <f t="shared" si="19"/>
        <v>0</v>
      </c>
      <c r="W610" s="109"/>
      <c r="X610" s="40">
        <f t="shared" si="20"/>
        <v>0</v>
      </c>
    </row>
    <row r="611" spans="19:24">
      <c r="S611" s="109">
        <f t="shared" si="19"/>
        <v>0</v>
      </c>
      <c r="W611" s="109"/>
      <c r="X611" s="40">
        <f t="shared" si="20"/>
        <v>0</v>
      </c>
    </row>
    <row r="612" spans="19:24">
      <c r="S612" s="109">
        <f t="shared" si="19"/>
        <v>0</v>
      </c>
      <c r="W612" s="109"/>
      <c r="X612" s="40">
        <f t="shared" si="20"/>
        <v>0</v>
      </c>
    </row>
    <row r="613" spans="19:24">
      <c r="S613" s="109">
        <f t="shared" si="19"/>
        <v>0</v>
      </c>
      <c r="W613" s="109"/>
      <c r="X613" s="40">
        <f t="shared" si="20"/>
        <v>0</v>
      </c>
    </row>
    <row r="614" spans="19:24">
      <c r="S614" s="109">
        <f t="shared" si="19"/>
        <v>0</v>
      </c>
      <c r="W614" s="109"/>
      <c r="X614" s="40">
        <f t="shared" si="20"/>
        <v>0</v>
      </c>
    </row>
    <row r="615" spans="19:24">
      <c r="S615" s="109">
        <f t="shared" si="19"/>
        <v>0</v>
      </c>
      <c r="W615" s="109"/>
      <c r="X615" s="40">
        <f t="shared" si="20"/>
        <v>0</v>
      </c>
    </row>
    <row r="616" spans="19:24">
      <c r="S616" s="109">
        <f t="shared" si="19"/>
        <v>0</v>
      </c>
      <c r="W616" s="109"/>
      <c r="X616" s="40">
        <f t="shared" si="20"/>
        <v>0</v>
      </c>
    </row>
    <row r="617" spans="19:24">
      <c r="S617" s="109">
        <f t="shared" si="19"/>
        <v>0</v>
      </c>
      <c r="W617" s="109"/>
      <c r="X617" s="40">
        <f t="shared" si="20"/>
        <v>0</v>
      </c>
    </row>
    <row r="618" spans="19:24">
      <c r="S618" s="109">
        <f t="shared" si="19"/>
        <v>0</v>
      </c>
      <c r="W618" s="109"/>
      <c r="X618" s="40">
        <f t="shared" si="20"/>
        <v>0</v>
      </c>
    </row>
    <row r="619" spans="19:24">
      <c r="S619" s="109">
        <f t="shared" si="19"/>
        <v>0</v>
      </c>
      <c r="W619" s="109"/>
      <c r="X619" s="40">
        <f t="shared" si="20"/>
        <v>0</v>
      </c>
    </row>
    <row r="620" spans="19:24">
      <c r="S620" s="109">
        <f t="shared" si="19"/>
        <v>0</v>
      </c>
      <c r="W620" s="109"/>
      <c r="X620" s="40">
        <f t="shared" si="20"/>
        <v>0</v>
      </c>
    </row>
    <row r="621" spans="19:24">
      <c r="S621" s="109">
        <f t="shared" si="19"/>
        <v>0</v>
      </c>
      <c r="W621" s="109"/>
      <c r="X621" s="40">
        <f t="shared" si="20"/>
        <v>0</v>
      </c>
    </row>
    <row r="622" spans="19:24">
      <c r="S622" s="109">
        <f t="shared" si="19"/>
        <v>0</v>
      </c>
      <c r="W622" s="109"/>
      <c r="X622" s="40">
        <f t="shared" si="20"/>
        <v>0</v>
      </c>
    </row>
    <row r="623" spans="19:24">
      <c r="S623" s="109">
        <f t="shared" si="19"/>
        <v>0</v>
      </c>
      <c r="W623" s="109"/>
      <c r="X623" s="40">
        <f t="shared" si="20"/>
        <v>0</v>
      </c>
    </row>
    <row r="624" spans="19:24">
      <c r="S624" s="109">
        <f t="shared" si="19"/>
        <v>0</v>
      </c>
      <c r="W624" s="109"/>
      <c r="X624" s="40">
        <f t="shared" si="20"/>
        <v>0</v>
      </c>
    </row>
    <row r="625" spans="19:24">
      <c r="S625" s="109">
        <f t="shared" si="19"/>
        <v>0</v>
      </c>
      <c r="W625" s="109"/>
      <c r="X625" s="40">
        <f t="shared" si="20"/>
        <v>0</v>
      </c>
    </row>
    <row r="626" spans="19:24">
      <c r="S626" s="109">
        <f t="shared" si="19"/>
        <v>0</v>
      </c>
      <c r="W626" s="109"/>
      <c r="X626" s="40">
        <f t="shared" si="20"/>
        <v>0</v>
      </c>
    </row>
    <row r="627" spans="19:24">
      <c r="S627" s="109">
        <f t="shared" si="19"/>
        <v>0</v>
      </c>
      <c r="W627" s="109"/>
      <c r="X627" s="40">
        <f t="shared" si="20"/>
        <v>0</v>
      </c>
    </row>
    <row r="628" spans="19:24">
      <c r="S628" s="109">
        <f t="shared" si="19"/>
        <v>0</v>
      </c>
      <c r="W628" s="109"/>
      <c r="X628" s="40">
        <f t="shared" si="20"/>
        <v>0</v>
      </c>
    </row>
    <row r="629" spans="19:24">
      <c r="S629" s="109">
        <f t="shared" si="19"/>
        <v>0</v>
      </c>
      <c r="W629" s="109"/>
      <c r="X629" s="40">
        <f t="shared" si="20"/>
        <v>0</v>
      </c>
    </row>
    <row r="630" spans="19:24">
      <c r="S630" s="109">
        <f t="shared" si="19"/>
        <v>0</v>
      </c>
      <c r="W630" s="109"/>
      <c r="X630" s="40">
        <f t="shared" si="20"/>
        <v>0</v>
      </c>
    </row>
    <row r="631" spans="19:24">
      <c r="S631" s="109">
        <f t="shared" si="19"/>
        <v>0</v>
      </c>
      <c r="W631" s="109"/>
      <c r="X631" s="40">
        <f t="shared" si="20"/>
        <v>0</v>
      </c>
    </row>
    <row r="632" spans="19:24">
      <c r="S632" s="109">
        <f t="shared" si="19"/>
        <v>0</v>
      </c>
      <c r="W632" s="109"/>
      <c r="X632" s="40">
        <f t="shared" si="20"/>
        <v>0</v>
      </c>
    </row>
    <row r="633" spans="19:24">
      <c r="S633" s="109">
        <f t="shared" si="19"/>
        <v>0</v>
      </c>
      <c r="W633" s="109"/>
      <c r="X633" s="40">
        <f t="shared" si="20"/>
        <v>0</v>
      </c>
    </row>
    <row r="634" spans="19:24">
      <c r="S634" s="109">
        <f t="shared" si="19"/>
        <v>0</v>
      </c>
      <c r="W634" s="109"/>
      <c r="X634" s="40">
        <f t="shared" si="20"/>
        <v>0</v>
      </c>
    </row>
    <row r="635" spans="19:24">
      <c r="S635" s="109">
        <f t="shared" si="19"/>
        <v>0</v>
      </c>
      <c r="W635" s="109"/>
      <c r="X635" s="40">
        <f t="shared" si="20"/>
        <v>0</v>
      </c>
    </row>
    <row r="636" spans="19:24">
      <c r="S636" s="109">
        <f t="shared" si="19"/>
        <v>0</v>
      </c>
      <c r="W636" s="109"/>
      <c r="X636" s="40">
        <f t="shared" si="20"/>
        <v>0</v>
      </c>
    </row>
    <row r="637" spans="19:24">
      <c r="S637" s="109">
        <f t="shared" si="19"/>
        <v>0</v>
      </c>
      <c r="W637" s="109"/>
      <c r="X637" s="40">
        <f t="shared" si="20"/>
        <v>0</v>
      </c>
    </row>
    <row r="638" spans="19:24">
      <c r="S638" s="109">
        <f t="shared" si="19"/>
        <v>0</v>
      </c>
      <c r="W638" s="109"/>
      <c r="X638" s="40">
        <f t="shared" si="20"/>
        <v>0</v>
      </c>
    </row>
    <row r="639" spans="19:24">
      <c r="S639" s="109">
        <f t="shared" si="19"/>
        <v>0</v>
      </c>
      <c r="W639" s="109"/>
      <c r="X639" s="40">
        <f t="shared" si="20"/>
        <v>0</v>
      </c>
    </row>
    <row r="640" spans="19:24">
      <c r="S640" s="109">
        <f t="shared" si="19"/>
        <v>0</v>
      </c>
      <c r="W640" s="109"/>
      <c r="X640" s="40">
        <f t="shared" si="20"/>
        <v>0</v>
      </c>
    </row>
    <row r="641" spans="19:24">
      <c r="S641" s="109">
        <f t="shared" si="19"/>
        <v>0</v>
      </c>
      <c r="W641" s="109"/>
      <c r="X641" s="40">
        <f t="shared" si="20"/>
        <v>0</v>
      </c>
    </row>
    <row r="642" spans="19:24">
      <c r="S642" s="109">
        <f t="shared" si="19"/>
        <v>0</v>
      </c>
      <c r="W642" s="109"/>
      <c r="X642" s="40">
        <f t="shared" si="20"/>
        <v>0</v>
      </c>
    </row>
    <row r="643" spans="19:24">
      <c r="S643" s="109">
        <f t="shared" ref="S643:S706" si="21">K643-R643</f>
        <v>0</v>
      </c>
      <c r="W643" s="109"/>
      <c r="X643" s="40">
        <f t="shared" ref="X643:X706" si="22">S643-W643</f>
        <v>0</v>
      </c>
    </row>
    <row r="644" spans="19:24">
      <c r="S644" s="109">
        <f t="shared" si="21"/>
        <v>0</v>
      </c>
      <c r="W644" s="109"/>
      <c r="X644" s="40">
        <f t="shared" si="22"/>
        <v>0</v>
      </c>
    </row>
    <row r="645" spans="19:24">
      <c r="S645" s="109">
        <f t="shared" si="21"/>
        <v>0</v>
      </c>
      <c r="W645" s="109"/>
      <c r="X645" s="40">
        <f t="shared" si="22"/>
        <v>0</v>
      </c>
    </row>
    <row r="646" spans="19:24">
      <c r="S646" s="109">
        <f t="shared" si="21"/>
        <v>0</v>
      </c>
      <c r="W646" s="109"/>
      <c r="X646" s="40">
        <f t="shared" si="22"/>
        <v>0</v>
      </c>
    </row>
    <row r="647" spans="19:24">
      <c r="S647" s="109">
        <f t="shared" si="21"/>
        <v>0</v>
      </c>
      <c r="W647" s="109"/>
      <c r="X647" s="40">
        <f t="shared" si="22"/>
        <v>0</v>
      </c>
    </row>
    <row r="648" spans="19:24">
      <c r="S648" s="109">
        <f t="shared" si="21"/>
        <v>0</v>
      </c>
      <c r="W648" s="109"/>
      <c r="X648" s="40">
        <f t="shared" si="22"/>
        <v>0</v>
      </c>
    </row>
    <row r="649" spans="19:24">
      <c r="S649" s="109">
        <f t="shared" si="21"/>
        <v>0</v>
      </c>
      <c r="W649" s="109"/>
      <c r="X649" s="40">
        <f t="shared" si="22"/>
        <v>0</v>
      </c>
    </row>
    <row r="650" spans="19:24">
      <c r="S650" s="109">
        <f t="shared" si="21"/>
        <v>0</v>
      </c>
      <c r="W650" s="109"/>
      <c r="X650" s="40">
        <f t="shared" si="22"/>
        <v>0</v>
      </c>
    </row>
    <row r="651" spans="19:24">
      <c r="S651" s="109">
        <f t="shared" si="21"/>
        <v>0</v>
      </c>
      <c r="W651" s="109"/>
      <c r="X651" s="40">
        <f t="shared" si="22"/>
        <v>0</v>
      </c>
    </row>
    <row r="652" spans="19:24">
      <c r="S652" s="109">
        <f t="shared" si="21"/>
        <v>0</v>
      </c>
      <c r="W652" s="109"/>
      <c r="X652" s="40">
        <f t="shared" si="22"/>
        <v>0</v>
      </c>
    </row>
    <row r="653" spans="19:24">
      <c r="S653" s="109">
        <f t="shared" si="21"/>
        <v>0</v>
      </c>
      <c r="W653" s="109"/>
      <c r="X653" s="40">
        <f t="shared" si="22"/>
        <v>0</v>
      </c>
    </row>
    <row r="654" spans="19:24">
      <c r="S654" s="109">
        <f t="shared" si="21"/>
        <v>0</v>
      </c>
      <c r="W654" s="109"/>
      <c r="X654" s="40">
        <f t="shared" si="22"/>
        <v>0</v>
      </c>
    </row>
    <row r="655" spans="19:24">
      <c r="S655" s="109">
        <f t="shared" si="21"/>
        <v>0</v>
      </c>
      <c r="W655" s="109"/>
      <c r="X655" s="40">
        <f t="shared" si="22"/>
        <v>0</v>
      </c>
    </row>
    <row r="656" spans="19:24">
      <c r="S656" s="109">
        <f t="shared" si="21"/>
        <v>0</v>
      </c>
      <c r="W656" s="109"/>
      <c r="X656" s="40">
        <f t="shared" si="22"/>
        <v>0</v>
      </c>
    </row>
    <row r="657" spans="19:24">
      <c r="S657" s="109">
        <f t="shared" si="21"/>
        <v>0</v>
      </c>
      <c r="W657" s="109"/>
      <c r="X657" s="40">
        <f t="shared" si="22"/>
        <v>0</v>
      </c>
    </row>
    <row r="658" spans="19:24">
      <c r="S658" s="109">
        <f t="shared" si="21"/>
        <v>0</v>
      </c>
      <c r="W658" s="109"/>
      <c r="X658" s="40">
        <f t="shared" si="22"/>
        <v>0</v>
      </c>
    </row>
    <row r="659" spans="19:24">
      <c r="S659" s="109">
        <f t="shared" si="21"/>
        <v>0</v>
      </c>
      <c r="W659" s="109"/>
      <c r="X659" s="40">
        <f t="shared" si="22"/>
        <v>0</v>
      </c>
    </row>
    <row r="660" spans="19:24">
      <c r="S660" s="109">
        <f t="shared" si="21"/>
        <v>0</v>
      </c>
      <c r="W660" s="109"/>
      <c r="X660" s="40">
        <f t="shared" si="22"/>
        <v>0</v>
      </c>
    </row>
    <row r="661" spans="19:24">
      <c r="S661" s="109">
        <f t="shared" si="21"/>
        <v>0</v>
      </c>
      <c r="W661" s="109"/>
      <c r="X661" s="40">
        <f t="shared" si="22"/>
        <v>0</v>
      </c>
    </row>
    <row r="662" spans="19:24">
      <c r="S662" s="109">
        <f t="shared" si="21"/>
        <v>0</v>
      </c>
      <c r="W662" s="109"/>
      <c r="X662" s="40">
        <f t="shared" si="22"/>
        <v>0</v>
      </c>
    </row>
    <row r="663" spans="19:24">
      <c r="S663" s="109">
        <f t="shared" si="21"/>
        <v>0</v>
      </c>
      <c r="W663" s="109"/>
      <c r="X663" s="40">
        <f t="shared" si="22"/>
        <v>0</v>
      </c>
    </row>
    <row r="664" spans="19:24">
      <c r="S664" s="109">
        <f t="shared" si="21"/>
        <v>0</v>
      </c>
      <c r="W664" s="109"/>
      <c r="X664" s="40">
        <f t="shared" si="22"/>
        <v>0</v>
      </c>
    </row>
    <row r="665" spans="19:24">
      <c r="S665" s="109">
        <f t="shared" si="21"/>
        <v>0</v>
      </c>
      <c r="W665" s="109"/>
      <c r="X665" s="40">
        <f t="shared" si="22"/>
        <v>0</v>
      </c>
    </row>
    <row r="666" spans="19:24">
      <c r="S666" s="109">
        <f t="shared" si="21"/>
        <v>0</v>
      </c>
      <c r="W666" s="109"/>
      <c r="X666" s="40">
        <f t="shared" si="22"/>
        <v>0</v>
      </c>
    </row>
    <row r="667" spans="19:24">
      <c r="S667" s="109">
        <f t="shared" si="21"/>
        <v>0</v>
      </c>
      <c r="W667" s="109"/>
      <c r="X667" s="40">
        <f t="shared" si="22"/>
        <v>0</v>
      </c>
    </row>
    <row r="668" spans="19:24">
      <c r="S668" s="109">
        <f t="shared" si="21"/>
        <v>0</v>
      </c>
      <c r="W668" s="109"/>
      <c r="X668" s="40">
        <f t="shared" si="22"/>
        <v>0</v>
      </c>
    </row>
    <row r="669" spans="19:24">
      <c r="S669" s="109">
        <f t="shared" si="21"/>
        <v>0</v>
      </c>
      <c r="W669" s="109"/>
      <c r="X669" s="40">
        <f t="shared" si="22"/>
        <v>0</v>
      </c>
    </row>
    <row r="670" spans="19:24">
      <c r="S670" s="109">
        <f t="shared" si="21"/>
        <v>0</v>
      </c>
      <c r="W670" s="109"/>
      <c r="X670" s="40">
        <f t="shared" si="22"/>
        <v>0</v>
      </c>
    </row>
    <row r="671" spans="19:24">
      <c r="S671" s="109">
        <f t="shared" si="21"/>
        <v>0</v>
      </c>
      <c r="W671" s="109"/>
      <c r="X671" s="40">
        <f t="shared" si="22"/>
        <v>0</v>
      </c>
    </row>
    <row r="672" spans="19:24">
      <c r="S672" s="109">
        <f t="shared" si="21"/>
        <v>0</v>
      </c>
      <c r="W672" s="109"/>
      <c r="X672" s="40">
        <f t="shared" si="22"/>
        <v>0</v>
      </c>
    </row>
    <row r="673" spans="19:24">
      <c r="S673" s="109">
        <f t="shared" si="21"/>
        <v>0</v>
      </c>
      <c r="W673" s="109"/>
      <c r="X673" s="40">
        <f t="shared" si="22"/>
        <v>0</v>
      </c>
    </row>
    <row r="674" spans="19:24">
      <c r="S674" s="109">
        <f t="shared" si="21"/>
        <v>0</v>
      </c>
      <c r="W674" s="109"/>
      <c r="X674" s="40">
        <f t="shared" si="22"/>
        <v>0</v>
      </c>
    </row>
    <row r="675" spans="19:24">
      <c r="S675" s="109">
        <f t="shared" si="21"/>
        <v>0</v>
      </c>
      <c r="W675" s="109"/>
      <c r="X675" s="40">
        <f t="shared" si="22"/>
        <v>0</v>
      </c>
    </row>
    <row r="676" spans="19:24">
      <c r="S676" s="109">
        <f t="shared" si="21"/>
        <v>0</v>
      </c>
      <c r="W676" s="109"/>
      <c r="X676" s="40">
        <f t="shared" si="22"/>
        <v>0</v>
      </c>
    </row>
    <row r="677" spans="19:24">
      <c r="S677" s="109">
        <f t="shared" si="21"/>
        <v>0</v>
      </c>
      <c r="W677" s="109"/>
      <c r="X677" s="40">
        <f t="shared" si="22"/>
        <v>0</v>
      </c>
    </row>
    <row r="678" spans="19:24">
      <c r="S678" s="109">
        <f t="shared" si="21"/>
        <v>0</v>
      </c>
      <c r="W678" s="109"/>
      <c r="X678" s="40">
        <f t="shared" si="22"/>
        <v>0</v>
      </c>
    </row>
    <row r="679" spans="19:24">
      <c r="S679" s="109">
        <f t="shared" si="21"/>
        <v>0</v>
      </c>
      <c r="W679" s="109"/>
      <c r="X679" s="40">
        <f t="shared" si="22"/>
        <v>0</v>
      </c>
    </row>
    <row r="680" spans="19:24">
      <c r="S680" s="109">
        <f t="shared" si="21"/>
        <v>0</v>
      </c>
      <c r="W680" s="109"/>
      <c r="X680" s="40">
        <f t="shared" si="22"/>
        <v>0</v>
      </c>
    </row>
    <row r="681" spans="19:24">
      <c r="S681" s="109">
        <f t="shared" si="21"/>
        <v>0</v>
      </c>
      <c r="W681" s="109"/>
      <c r="X681" s="40">
        <f t="shared" si="22"/>
        <v>0</v>
      </c>
    </row>
    <row r="682" spans="19:24">
      <c r="S682" s="109">
        <f t="shared" si="21"/>
        <v>0</v>
      </c>
      <c r="W682" s="109"/>
      <c r="X682" s="40">
        <f t="shared" si="22"/>
        <v>0</v>
      </c>
    </row>
    <row r="683" spans="19:24">
      <c r="S683" s="109">
        <f t="shared" si="21"/>
        <v>0</v>
      </c>
      <c r="W683" s="109"/>
      <c r="X683" s="40">
        <f t="shared" si="22"/>
        <v>0</v>
      </c>
    </row>
    <row r="684" spans="19:24">
      <c r="S684" s="109">
        <f t="shared" si="21"/>
        <v>0</v>
      </c>
      <c r="W684" s="109"/>
      <c r="X684" s="40">
        <f t="shared" si="22"/>
        <v>0</v>
      </c>
    </row>
    <row r="685" spans="19:24">
      <c r="S685" s="109">
        <f t="shared" si="21"/>
        <v>0</v>
      </c>
      <c r="W685" s="109"/>
      <c r="X685" s="40">
        <f t="shared" si="22"/>
        <v>0</v>
      </c>
    </row>
    <row r="686" spans="19:24">
      <c r="S686" s="109">
        <f t="shared" si="21"/>
        <v>0</v>
      </c>
      <c r="W686" s="109"/>
      <c r="X686" s="40">
        <f t="shared" si="22"/>
        <v>0</v>
      </c>
    </row>
    <row r="687" spans="19:24">
      <c r="S687" s="109">
        <f t="shared" si="21"/>
        <v>0</v>
      </c>
      <c r="W687" s="109"/>
      <c r="X687" s="40">
        <f t="shared" si="22"/>
        <v>0</v>
      </c>
    </row>
    <row r="688" spans="19:24">
      <c r="S688" s="109">
        <f t="shared" si="21"/>
        <v>0</v>
      </c>
      <c r="W688" s="109"/>
      <c r="X688" s="40">
        <f t="shared" si="22"/>
        <v>0</v>
      </c>
    </row>
    <row r="689" spans="19:24">
      <c r="S689" s="109">
        <f t="shared" si="21"/>
        <v>0</v>
      </c>
      <c r="W689" s="109"/>
      <c r="X689" s="40">
        <f t="shared" si="22"/>
        <v>0</v>
      </c>
    </row>
    <row r="690" spans="19:24">
      <c r="S690" s="109">
        <f t="shared" si="21"/>
        <v>0</v>
      </c>
      <c r="W690" s="109"/>
      <c r="X690" s="40">
        <f t="shared" si="22"/>
        <v>0</v>
      </c>
    </row>
    <row r="691" spans="19:24">
      <c r="S691" s="109">
        <f t="shared" si="21"/>
        <v>0</v>
      </c>
      <c r="W691" s="109"/>
      <c r="X691" s="40">
        <f t="shared" si="22"/>
        <v>0</v>
      </c>
    </row>
    <row r="692" spans="19:24">
      <c r="S692" s="109">
        <f t="shared" si="21"/>
        <v>0</v>
      </c>
      <c r="W692" s="109"/>
      <c r="X692" s="40">
        <f t="shared" si="22"/>
        <v>0</v>
      </c>
    </row>
    <row r="693" spans="19:24">
      <c r="S693" s="109">
        <f t="shared" si="21"/>
        <v>0</v>
      </c>
      <c r="W693" s="109"/>
      <c r="X693" s="40">
        <f t="shared" si="22"/>
        <v>0</v>
      </c>
    </row>
    <row r="694" spans="19:24">
      <c r="S694" s="109">
        <f t="shared" si="21"/>
        <v>0</v>
      </c>
      <c r="W694" s="109"/>
      <c r="X694" s="40">
        <f t="shared" si="22"/>
        <v>0</v>
      </c>
    </row>
    <row r="695" spans="19:24">
      <c r="S695" s="109">
        <f t="shared" si="21"/>
        <v>0</v>
      </c>
      <c r="W695" s="109"/>
      <c r="X695" s="40">
        <f t="shared" si="22"/>
        <v>0</v>
      </c>
    </row>
    <row r="696" spans="19:24">
      <c r="S696" s="109">
        <f t="shared" si="21"/>
        <v>0</v>
      </c>
      <c r="W696" s="109"/>
      <c r="X696" s="40">
        <f t="shared" si="22"/>
        <v>0</v>
      </c>
    </row>
    <row r="697" spans="19:24">
      <c r="S697" s="109">
        <f t="shared" si="21"/>
        <v>0</v>
      </c>
      <c r="W697" s="109"/>
      <c r="X697" s="40">
        <f t="shared" si="22"/>
        <v>0</v>
      </c>
    </row>
    <row r="698" spans="19:24">
      <c r="S698" s="109">
        <f t="shared" si="21"/>
        <v>0</v>
      </c>
      <c r="W698" s="109"/>
      <c r="X698" s="40">
        <f t="shared" si="22"/>
        <v>0</v>
      </c>
    </row>
    <row r="699" spans="19:24">
      <c r="S699" s="109">
        <f t="shared" si="21"/>
        <v>0</v>
      </c>
      <c r="W699" s="109"/>
      <c r="X699" s="40">
        <f t="shared" si="22"/>
        <v>0</v>
      </c>
    </row>
    <row r="700" spans="19:24">
      <c r="S700" s="109">
        <f t="shared" si="21"/>
        <v>0</v>
      </c>
      <c r="W700" s="109"/>
      <c r="X700" s="40">
        <f t="shared" si="22"/>
        <v>0</v>
      </c>
    </row>
    <row r="701" spans="19:24">
      <c r="S701" s="109">
        <f t="shared" si="21"/>
        <v>0</v>
      </c>
      <c r="W701" s="109"/>
      <c r="X701" s="40">
        <f t="shared" si="22"/>
        <v>0</v>
      </c>
    </row>
    <row r="702" spans="19:24">
      <c r="S702" s="109">
        <f t="shared" si="21"/>
        <v>0</v>
      </c>
      <c r="W702" s="109"/>
      <c r="X702" s="40">
        <f t="shared" si="22"/>
        <v>0</v>
      </c>
    </row>
    <row r="703" spans="19:24">
      <c r="S703" s="109">
        <f t="shared" si="21"/>
        <v>0</v>
      </c>
      <c r="W703" s="109"/>
      <c r="X703" s="40">
        <f t="shared" si="22"/>
        <v>0</v>
      </c>
    </row>
    <row r="704" spans="19:24">
      <c r="S704" s="109">
        <f t="shared" si="21"/>
        <v>0</v>
      </c>
      <c r="W704" s="109"/>
      <c r="X704" s="40">
        <f t="shared" si="22"/>
        <v>0</v>
      </c>
    </row>
    <row r="705" spans="19:24">
      <c r="S705" s="109">
        <f t="shared" si="21"/>
        <v>0</v>
      </c>
      <c r="W705" s="109"/>
      <c r="X705" s="40">
        <f t="shared" si="22"/>
        <v>0</v>
      </c>
    </row>
    <row r="706" spans="19:24">
      <c r="S706" s="109">
        <f t="shared" si="21"/>
        <v>0</v>
      </c>
      <c r="W706" s="109"/>
      <c r="X706" s="40">
        <f t="shared" si="22"/>
        <v>0</v>
      </c>
    </row>
    <row r="707" spans="19:24">
      <c r="S707" s="109">
        <f t="shared" ref="S707:S770" si="23">K707-R707</f>
        <v>0</v>
      </c>
      <c r="W707" s="109"/>
      <c r="X707" s="40">
        <f t="shared" ref="X707:X770" si="24">S707-W707</f>
        <v>0</v>
      </c>
    </row>
    <row r="708" spans="19:24">
      <c r="S708" s="109">
        <f t="shared" si="23"/>
        <v>0</v>
      </c>
      <c r="W708" s="109"/>
      <c r="X708" s="40">
        <f t="shared" si="24"/>
        <v>0</v>
      </c>
    </row>
    <row r="709" spans="19:24">
      <c r="S709" s="109">
        <f t="shared" si="23"/>
        <v>0</v>
      </c>
      <c r="W709" s="109"/>
      <c r="X709" s="40">
        <f t="shared" si="24"/>
        <v>0</v>
      </c>
    </row>
    <row r="710" spans="19:24">
      <c r="S710" s="109">
        <f t="shared" si="23"/>
        <v>0</v>
      </c>
      <c r="W710" s="109"/>
      <c r="X710" s="40">
        <f t="shared" si="24"/>
        <v>0</v>
      </c>
    </row>
    <row r="711" spans="19:24">
      <c r="S711" s="109">
        <f t="shared" si="23"/>
        <v>0</v>
      </c>
      <c r="W711" s="109"/>
      <c r="X711" s="40">
        <f t="shared" si="24"/>
        <v>0</v>
      </c>
    </row>
    <row r="712" spans="19:24">
      <c r="S712" s="109">
        <f t="shared" si="23"/>
        <v>0</v>
      </c>
      <c r="W712" s="109"/>
      <c r="X712" s="40">
        <f t="shared" si="24"/>
        <v>0</v>
      </c>
    </row>
    <row r="713" spans="19:24">
      <c r="S713" s="109">
        <f t="shared" si="23"/>
        <v>0</v>
      </c>
      <c r="W713" s="109"/>
      <c r="X713" s="40">
        <f t="shared" si="24"/>
        <v>0</v>
      </c>
    </row>
    <row r="714" spans="19:24">
      <c r="S714" s="109">
        <f t="shared" si="23"/>
        <v>0</v>
      </c>
      <c r="W714" s="109"/>
      <c r="X714" s="40">
        <f t="shared" si="24"/>
        <v>0</v>
      </c>
    </row>
    <row r="715" spans="19:24">
      <c r="S715" s="109">
        <f t="shared" si="23"/>
        <v>0</v>
      </c>
      <c r="W715" s="109"/>
      <c r="X715" s="40">
        <f t="shared" si="24"/>
        <v>0</v>
      </c>
    </row>
    <row r="716" spans="19:24">
      <c r="S716" s="109">
        <f t="shared" si="23"/>
        <v>0</v>
      </c>
      <c r="W716" s="109"/>
      <c r="X716" s="40">
        <f t="shared" si="24"/>
        <v>0</v>
      </c>
    </row>
    <row r="717" spans="19:24">
      <c r="S717" s="109">
        <f t="shared" si="23"/>
        <v>0</v>
      </c>
      <c r="W717" s="109"/>
      <c r="X717" s="40">
        <f t="shared" si="24"/>
        <v>0</v>
      </c>
    </row>
    <row r="718" spans="19:24">
      <c r="S718" s="109">
        <f t="shared" si="23"/>
        <v>0</v>
      </c>
      <c r="W718" s="109"/>
      <c r="X718" s="40">
        <f t="shared" si="24"/>
        <v>0</v>
      </c>
    </row>
    <row r="719" spans="19:24">
      <c r="S719" s="109">
        <f t="shared" si="23"/>
        <v>0</v>
      </c>
      <c r="W719" s="109"/>
      <c r="X719" s="40">
        <f t="shared" si="24"/>
        <v>0</v>
      </c>
    </row>
    <row r="720" spans="19:24">
      <c r="S720" s="109">
        <f t="shared" si="23"/>
        <v>0</v>
      </c>
      <c r="W720" s="109"/>
      <c r="X720" s="40">
        <f t="shared" si="24"/>
        <v>0</v>
      </c>
    </row>
    <row r="721" spans="19:24">
      <c r="S721" s="109">
        <f t="shared" si="23"/>
        <v>0</v>
      </c>
      <c r="W721" s="109"/>
      <c r="X721" s="40">
        <f t="shared" si="24"/>
        <v>0</v>
      </c>
    </row>
    <row r="722" spans="19:24">
      <c r="S722" s="109">
        <f t="shared" si="23"/>
        <v>0</v>
      </c>
      <c r="W722" s="109"/>
      <c r="X722" s="40">
        <f t="shared" si="24"/>
        <v>0</v>
      </c>
    </row>
    <row r="723" spans="19:24">
      <c r="S723" s="109">
        <f t="shared" si="23"/>
        <v>0</v>
      </c>
      <c r="W723" s="109"/>
      <c r="X723" s="40">
        <f t="shared" si="24"/>
        <v>0</v>
      </c>
    </row>
    <row r="724" spans="19:24">
      <c r="S724" s="109">
        <f t="shared" si="23"/>
        <v>0</v>
      </c>
      <c r="W724" s="109"/>
      <c r="X724" s="40">
        <f t="shared" si="24"/>
        <v>0</v>
      </c>
    </row>
    <row r="725" spans="19:24">
      <c r="S725" s="109">
        <f t="shared" si="23"/>
        <v>0</v>
      </c>
      <c r="W725" s="109"/>
      <c r="X725" s="40">
        <f t="shared" si="24"/>
        <v>0</v>
      </c>
    </row>
    <row r="726" spans="19:24">
      <c r="S726" s="109">
        <f t="shared" si="23"/>
        <v>0</v>
      </c>
      <c r="W726" s="109"/>
      <c r="X726" s="40">
        <f t="shared" si="24"/>
        <v>0</v>
      </c>
    </row>
    <row r="727" spans="19:24">
      <c r="S727" s="109">
        <f t="shared" si="23"/>
        <v>0</v>
      </c>
      <c r="W727" s="109"/>
      <c r="X727" s="40">
        <f t="shared" si="24"/>
        <v>0</v>
      </c>
    </row>
    <row r="728" spans="19:24">
      <c r="S728" s="109">
        <f t="shared" si="23"/>
        <v>0</v>
      </c>
      <c r="W728" s="109"/>
      <c r="X728" s="40">
        <f t="shared" si="24"/>
        <v>0</v>
      </c>
    </row>
    <row r="729" spans="19:24">
      <c r="S729" s="109">
        <f t="shared" si="23"/>
        <v>0</v>
      </c>
      <c r="W729" s="109"/>
      <c r="X729" s="40">
        <f t="shared" si="24"/>
        <v>0</v>
      </c>
    </row>
    <row r="730" spans="19:24">
      <c r="S730" s="109">
        <f t="shared" si="23"/>
        <v>0</v>
      </c>
      <c r="W730" s="109"/>
      <c r="X730" s="40">
        <f t="shared" si="24"/>
        <v>0</v>
      </c>
    </row>
    <row r="731" spans="19:24">
      <c r="S731" s="109">
        <f t="shared" si="23"/>
        <v>0</v>
      </c>
      <c r="W731" s="109"/>
      <c r="X731" s="40">
        <f t="shared" si="24"/>
        <v>0</v>
      </c>
    </row>
    <row r="732" spans="19:24">
      <c r="S732" s="109">
        <f t="shared" si="23"/>
        <v>0</v>
      </c>
      <c r="W732" s="109"/>
      <c r="X732" s="40">
        <f t="shared" si="24"/>
        <v>0</v>
      </c>
    </row>
    <row r="733" spans="19:24">
      <c r="S733" s="109">
        <f t="shared" si="23"/>
        <v>0</v>
      </c>
      <c r="W733" s="109"/>
      <c r="X733" s="40">
        <f t="shared" si="24"/>
        <v>0</v>
      </c>
    </row>
    <row r="734" spans="19:24">
      <c r="S734" s="109">
        <f t="shared" si="23"/>
        <v>0</v>
      </c>
      <c r="W734" s="109"/>
      <c r="X734" s="40">
        <f t="shared" si="24"/>
        <v>0</v>
      </c>
    </row>
    <row r="735" spans="19:24">
      <c r="S735" s="109">
        <f t="shared" si="23"/>
        <v>0</v>
      </c>
      <c r="W735" s="109"/>
      <c r="X735" s="40">
        <f t="shared" si="24"/>
        <v>0</v>
      </c>
    </row>
    <row r="736" spans="19:24">
      <c r="S736" s="109">
        <f t="shared" si="23"/>
        <v>0</v>
      </c>
      <c r="W736" s="109"/>
      <c r="X736" s="40">
        <f t="shared" si="24"/>
        <v>0</v>
      </c>
    </row>
    <row r="737" spans="19:24">
      <c r="S737" s="109">
        <f t="shared" si="23"/>
        <v>0</v>
      </c>
      <c r="W737" s="109"/>
      <c r="X737" s="40">
        <f t="shared" si="24"/>
        <v>0</v>
      </c>
    </row>
    <row r="738" spans="19:24">
      <c r="S738" s="109">
        <f t="shared" si="23"/>
        <v>0</v>
      </c>
      <c r="W738" s="109"/>
      <c r="X738" s="40">
        <f t="shared" si="24"/>
        <v>0</v>
      </c>
    </row>
    <row r="739" spans="19:24">
      <c r="S739" s="109">
        <f t="shared" si="23"/>
        <v>0</v>
      </c>
      <c r="W739" s="109"/>
      <c r="X739" s="40">
        <f t="shared" si="24"/>
        <v>0</v>
      </c>
    </row>
    <row r="740" spans="19:24">
      <c r="S740" s="109">
        <f t="shared" si="23"/>
        <v>0</v>
      </c>
      <c r="W740" s="109"/>
      <c r="X740" s="40">
        <f t="shared" si="24"/>
        <v>0</v>
      </c>
    </row>
    <row r="741" spans="19:24">
      <c r="S741" s="109">
        <f t="shared" si="23"/>
        <v>0</v>
      </c>
      <c r="W741" s="109"/>
      <c r="X741" s="40">
        <f t="shared" si="24"/>
        <v>0</v>
      </c>
    </row>
    <row r="742" spans="19:24">
      <c r="S742" s="109">
        <f t="shared" si="23"/>
        <v>0</v>
      </c>
      <c r="W742" s="109"/>
      <c r="X742" s="40">
        <f t="shared" si="24"/>
        <v>0</v>
      </c>
    </row>
    <row r="743" spans="19:24">
      <c r="S743" s="109">
        <f t="shared" si="23"/>
        <v>0</v>
      </c>
      <c r="W743" s="109"/>
      <c r="X743" s="40">
        <f t="shared" si="24"/>
        <v>0</v>
      </c>
    </row>
    <row r="744" spans="19:24">
      <c r="S744" s="109">
        <f t="shared" si="23"/>
        <v>0</v>
      </c>
      <c r="W744" s="109"/>
      <c r="X744" s="40">
        <f t="shared" si="24"/>
        <v>0</v>
      </c>
    </row>
    <row r="745" spans="19:24">
      <c r="S745" s="109">
        <f t="shared" si="23"/>
        <v>0</v>
      </c>
      <c r="W745" s="109"/>
      <c r="X745" s="40">
        <f t="shared" si="24"/>
        <v>0</v>
      </c>
    </row>
    <row r="746" spans="19:24">
      <c r="S746" s="109">
        <f t="shared" si="23"/>
        <v>0</v>
      </c>
      <c r="W746" s="109"/>
      <c r="X746" s="40">
        <f t="shared" si="24"/>
        <v>0</v>
      </c>
    </row>
    <row r="747" spans="19:24">
      <c r="S747" s="109">
        <f t="shared" si="23"/>
        <v>0</v>
      </c>
      <c r="W747" s="109"/>
      <c r="X747" s="40">
        <f t="shared" si="24"/>
        <v>0</v>
      </c>
    </row>
    <row r="748" spans="19:24">
      <c r="S748" s="109">
        <f t="shared" si="23"/>
        <v>0</v>
      </c>
      <c r="W748" s="109"/>
      <c r="X748" s="40">
        <f t="shared" si="24"/>
        <v>0</v>
      </c>
    </row>
    <row r="749" spans="19:24">
      <c r="S749" s="109">
        <f t="shared" si="23"/>
        <v>0</v>
      </c>
      <c r="W749" s="109"/>
      <c r="X749" s="40">
        <f t="shared" si="24"/>
        <v>0</v>
      </c>
    </row>
    <row r="750" spans="19:24">
      <c r="S750" s="109">
        <f t="shared" si="23"/>
        <v>0</v>
      </c>
      <c r="W750" s="109"/>
      <c r="X750" s="40">
        <f t="shared" si="24"/>
        <v>0</v>
      </c>
    </row>
    <row r="751" spans="19:24">
      <c r="S751" s="109">
        <f t="shared" si="23"/>
        <v>0</v>
      </c>
      <c r="W751" s="109"/>
      <c r="X751" s="40">
        <f t="shared" si="24"/>
        <v>0</v>
      </c>
    </row>
    <row r="752" spans="19:24">
      <c r="S752" s="109">
        <f t="shared" si="23"/>
        <v>0</v>
      </c>
      <c r="W752" s="109"/>
      <c r="X752" s="40">
        <f t="shared" si="24"/>
        <v>0</v>
      </c>
    </row>
    <row r="753" spans="19:24">
      <c r="S753" s="109">
        <f t="shared" si="23"/>
        <v>0</v>
      </c>
      <c r="W753" s="109"/>
      <c r="X753" s="40">
        <f t="shared" si="24"/>
        <v>0</v>
      </c>
    </row>
    <row r="754" spans="19:24">
      <c r="S754" s="109">
        <f t="shared" si="23"/>
        <v>0</v>
      </c>
      <c r="W754" s="109"/>
      <c r="X754" s="40">
        <f t="shared" si="24"/>
        <v>0</v>
      </c>
    </row>
    <row r="755" spans="19:24">
      <c r="S755" s="109">
        <f t="shared" si="23"/>
        <v>0</v>
      </c>
      <c r="W755" s="109"/>
      <c r="X755" s="40">
        <f t="shared" si="24"/>
        <v>0</v>
      </c>
    </row>
    <row r="756" spans="19:24">
      <c r="S756" s="109">
        <f t="shared" si="23"/>
        <v>0</v>
      </c>
      <c r="W756" s="109"/>
      <c r="X756" s="40">
        <f t="shared" si="24"/>
        <v>0</v>
      </c>
    </row>
    <row r="757" spans="19:24">
      <c r="S757" s="109">
        <f t="shared" si="23"/>
        <v>0</v>
      </c>
      <c r="W757" s="109"/>
      <c r="X757" s="40">
        <f t="shared" si="24"/>
        <v>0</v>
      </c>
    </row>
    <row r="758" spans="19:24">
      <c r="S758" s="109">
        <f t="shared" si="23"/>
        <v>0</v>
      </c>
      <c r="W758" s="109"/>
      <c r="X758" s="40">
        <f t="shared" si="24"/>
        <v>0</v>
      </c>
    </row>
    <row r="759" spans="19:24">
      <c r="S759" s="109">
        <f t="shared" si="23"/>
        <v>0</v>
      </c>
      <c r="W759" s="109"/>
      <c r="X759" s="40">
        <f t="shared" si="24"/>
        <v>0</v>
      </c>
    </row>
    <row r="760" spans="19:24">
      <c r="S760" s="109">
        <f t="shared" si="23"/>
        <v>0</v>
      </c>
      <c r="W760" s="109"/>
      <c r="X760" s="40">
        <f t="shared" si="24"/>
        <v>0</v>
      </c>
    </row>
    <row r="761" spans="19:24">
      <c r="S761" s="109">
        <f t="shared" si="23"/>
        <v>0</v>
      </c>
      <c r="W761" s="109"/>
      <c r="X761" s="40">
        <f t="shared" si="24"/>
        <v>0</v>
      </c>
    </row>
    <row r="762" spans="19:24">
      <c r="S762" s="109">
        <f t="shared" si="23"/>
        <v>0</v>
      </c>
      <c r="W762" s="109"/>
      <c r="X762" s="40">
        <f t="shared" si="24"/>
        <v>0</v>
      </c>
    </row>
    <row r="763" spans="19:24">
      <c r="S763" s="109">
        <f t="shared" si="23"/>
        <v>0</v>
      </c>
      <c r="W763" s="109"/>
      <c r="X763" s="40">
        <f t="shared" si="24"/>
        <v>0</v>
      </c>
    </row>
    <row r="764" spans="19:24">
      <c r="S764" s="109">
        <f t="shared" si="23"/>
        <v>0</v>
      </c>
      <c r="W764" s="109"/>
      <c r="X764" s="40">
        <f t="shared" si="24"/>
        <v>0</v>
      </c>
    </row>
    <row r="765" spans="19:24">
      <c r="S765" s="109">
        <f t="shared" si="23"/>
        <v>0</v>
      </c>
      <c r="W765" s="109"/>
      <c r="X765" s="40">
        <f t="shared" si="24"/>
        <v>0</v>
      </c>
    </row>
    <row r="766" spans="19:24">
      <c r="S766" s="109">
        <f t="shared" si="23"/>
        <v>0</v>
      </c>
      <c r="W766" s="109"/>
      <c r="X766" s="40">
        <f t="shared" si="24"/>
        <v>0</v>
      </c>
    </row>
    <row r="767" spans="19:24">
      <c r="S767" s="109">
        <f t="shared" si="23"/>
        <v>0</v>
      </c>
      <c r="W767" s="109"/>
      <c r="X767" s="40">
        <f t="shared" si="24"/>
        <v>0</v>
      </c>
    </row>
    <row r="768" spans="19:24">
      <c r="S768" s="109">
        <f t="shared" si="23"/>
        <v>0</v>
      </c>
      <c r="W768" s="109"/>
      <c r="X768" s="40">
        <f t="shared" si="24"/>
        <v>0</v>
      </c>
    </row>
    <row r="769" spans="19:24">
      <c r="S769" s="109">
        <f t="shared" si="23"/>
        <v>0</v>
      </c>
      <c r="W769" s="109"/>
      <c r="X769" s="40">
        <f t="shared" si="24"/>
        <v>0</v>
      </c>
    </row>
    <row r="770" spans="19:24">
      <c r="S770" s="109">
        <f t="shared" si="23"/>
        <v>0</v>
      </c>
      <c r="W770" s="109"/>
      <c r="X770" s="40">
        <f t="shared" si="24"/>
        <v>0</v>
      </c>
    </row>
    <row r="771" spans="19:24">
      <c r="S771" s="109">
        <f t="shared" ref="S771:S834" si="25">K771-R771</f>
        <v>0</v>
      </c>
      <c r="W771" s="109"/>
      <c r="X771" s="40">
        <f t="shared" ref="X771:X834" si="26">S771-W771</f>
        <v>0</v>
      </c>
    </row>
    <row r="772" spans="19:24">
      <c r="S772" s="109">
        <f t="shared" si="25"/>
        <v>0</v>
      </c>
      <c r="W772" s="109"/>
      <c r="X772" s="40">
        <f t="shared" si="26"/>
        <v>0</v>
      </c>
    </row>
    <row r="773" spans="19:24">
      <c r="S773" s="109">
        <f t="shared" si="25"/>
        <v>0</v>
      </c>
      <c r="W773" s="109"/>
      <c r="X773" s="40">
        <f t="shared" si="26"/>
        <v>0</v>
      </c>
    </row>
    <row r="774" spans="19:24">
      <c r="S774" s="109">
        <f t="shared" si="25"/>
        <v>0</v>
      </c>
      <c r="W774" s="109"/>
      <c r="X774" s="40">
        <f t="shared" si="26"/>
        <v>0</v>
      </c>
    </row>
    <row r="775" spans="19:24">
      <c r="S775" s="109">
        <f t="shared" si="25"/>
        <v>0</v>
      </c>
      <c r="W775" s="109"/>
      <c r="X775" s="40">
        <f t="shared" si="26"/>
        <v>0</v>
      </c>
    </row>
    <row r="776" spans="19:24">
      <c r="S776" s="109">
        <f t="shared" si="25"/>
        <v>0</v>
      </c>
      <c r="W776" s="109"/>
      <c r="X776" s="40">
        <f t="shared" si="26"/>
        <v>0</v>
      </c>
    </row>
    <row r="777" spans="19:24">
      <c r="S777" s="109">
        <f t="shared" si="25"/>
        <v>0</v>
      </c>
      <c r="W777" s="109"/>
      <c r="X777" s="40">
        <f t="shared" si="26"/>
        <v>0</v>
      </c>
    </row>
    <row r="778" spans="19:24">
      <c r="S778" s="109">
        <f t="shared" si="25"/>
        <v>0</v>
      </c>
      <c r="W778" s="109"/>
      <c r="X778" s="40">
        <f t="shared" si="26"/>
        <v>0</v>
      </c>
    </row>
    <row r="779" spans="19:24">
      <c r="S779" s="109">
        <f t="shared" si="25"/>
        <v>0</v>
      </c>
      <c r="W779" s="109"/>
      <c r="X779" s="40">
        <f t="shared" si="26"/>
        <v>0</v>
      </c>
    </row>
    <row r="780" spans="19:24">
      <c r="S780" s="109">
        <f t="shared" si="25"/>
        <v>0</v>
      </c>
      <c r="W780" s="109"/>
      <c r="X780" s="40">
        <f t="shared" si="26"/>
        <v>0</v>
      </c>
    </row>
    <row r="781" spans="19:24">
      <c r="S781" s="109">
        <f t="shared" si="25"/>
        <v>0</v>
      </c>
      <c r="W781" s="109"/>
      <c r="X781" s="40">
        <f t="shared" si="26"/>
        <v>0</v>
      </c>
    </row>
    <row r="782" spans="19:24">
      <c r="S782" s="109">
        <f t="shared" si="25"/>
        <v>0</v>
      </c>
      <c r="W782" s="109"/>
      <c r="X782" s="40">
        <f t="shared" si="26"/>
        <v>0</v>
      </c>
    </row>
    <row r="783" spans="19:24">
      <c r="S783" s="109">
        <f t="shared" si="25"/>
        <v>0</v>
      </c>
      <c r="W783" s="109"/>
      <c r="X783" s="40">
        <f t="shared" si="26"/>
        <v>0</v>
      </c>
    </row>
    <row r="784" spans="19:24">
      <c r="S784" s="109">
        <f t="shared" si="25"/>
        <v>0</v>
      </c>
      <c r="W784" s="109"/>
      <c r="X784" s="40">
        <f t="shared" si="26"/>
        <v>0</v>
      </c>
    </row>
    <row r="785" spans="19:24">
      <c r="S785" s="109">
        <f t="shared" si="25"/>
        <v>0</v>
      </c>
      <c r="W785" s="109"/>
      <c r="X785" s="40">
        <f t="shared" si="26"/>
        <v>0</v>
      </c>
    </row>
    <row r="786" spans="19:24">
      <c r="S786" s="109">
        <f t="shared" si="25"/>
        <v>0</v>
      </c>
      <c r="W786" s="109"/>
      <c r="X786" s="40">
        <f t="shared" si="26"/>
        <v>0</v>
      </c>
    </row>
    <row r="787" spans="19:24">
      <c r="S787" s="109">
        <f t="shared" si="25"/>
        <v>0</v>
      </c>
      <c r="W787" s="109"/>
      <c r="X787" s="40">
        <f t="shared" si="26"/>
        <v>0</v>
      </c>
    </row>
    <row r="788" spans="19:24">
      <c r="S788" s="109">
        <f t="shared" si="25"/>
        <v>0</v>
      </c>
      <c r="W788" s="109"/>
      <c r="X788" s="40">
        <f t="shared" si="26"/>
        <v>0</v>
      </c>
    </row>
    <row r="789" spans="19:24">
      <c r="S789" s="109">
        <f t="shared" si="25"/>
        <v>0</v>
      </c>
      <c r="W789" s="109"/>
      <c r="X789" s="40">
        <f t="shared" si="26"/>
        <v>0</v>
      </c>
    </row>
    <row r="790" spans="19:24">
      <c r="S790" s="109">
        <f t="shared" si="25"/>
        <v>0</v>
      </c>
      <c r="W790" s="109"/>
      <c r="X790" s="40">
        <f t="shared" si="26"/>
        <v>0</v>
      </c>
    </row>
    <row r="791" spans="19:24">
      <c r="S791" s="109">
        <f t="shared" si="25"/>
        <v>0</v>
      </c>
      <c r="W791" s="109"/>
      <c r="X791" s="40">
        <f t="shared" si="26"/>
        <v>0</v>
      </c>
    </row>
    <row r="792" spans="19:24">
      <c r="S792" s="109">
        <f t="shared" si="25"/>
        <v>0</v>
      </c>
      <c r="W792" s="109"/>
      <c r="X792" s="40">
        <f t="shared" si="26"/>
        <v>0</v>
      </c>
    </row>
    <row r="793" spans="19:24">
      <c r="S793" s="109">
        <f t="shared" si="25"/>
        <v>0</v>
      </c>
      <c r="W793" s="109"/>
      <c r="X793" s="40">
        <f t="shared" si="26"/>
        <v>0</v>
      </c>
    </row>
    <row r="794" spans="19:24">
      <c r="S794" s="109">
        <f t="shared" si="25"/>
        <v>0</v>
      </c>
      <c r="W794" s="109"/>
      <c r="X794" s="40">
        <f t="shared" si="26"/>
        <v>0</v>
      </c>
    </row>
    <row r="795" spans="19:24">
      <c r="S795" s="109">
        <f t="shared" si="25"/>
        <v>0</v>
      </c>
      <c r="W795" s="109"/>
      <c r="X795" s="40">
        <f t="shared" si="26"/>
        <v>0</v>
      </c>
    </row>
    <row r="796" spans="19:24">
      <c r="S796" s="109">
        <f t="shared" si="25"/>
        <v>0</v>
      </c>
      <c r="W796" s="109"/>
      <c r="X796" s="40">
        <f t="shared" si="26"/>
        <v>0</v>
      </c>
    </row>
    <row r="797" spans="19:24">
      <c r="S797" s="109">
        <f t="shared" si="25"/>
        <v>0</v>
      </c>
      <c r="W797" s="109"/>
      <c r="X797" s="40">
        <f t="shared" si="26"/>
        <v>0</v>
      </c>
    </row>
    <row r="798" spans="19:24">
      <c r="S798" s="109">
        <f t="shared" si="25"/>
        <v>0</v>
      </c>
      <c r="W798" s="109"/>
      <c r="X798" s="40">
        <f t="shared" si="26"/>
        <v>0</v>
      </c>
    </row>
    <row r="799" spans="19:24">
      <c r="S799" s="109">
        <f t="shared" si="25"/>
        <v>0</v>
      </c>
      <c r="W799" s="109"/>
      <c r="X799" s="40">
        <f t="shared" si="26"/>
        <v>0</v>
      </c>
    </row>
    <row r="800" spans="19:24">
      <c r="S800" s="109">
        <f t="shared" si="25"/>
        <v>0</v>
      </c>
      <c r="W800" s="109"/>
      <c r="X800" s="40">
        <f t="shared" si="26"/>
        <v>0</v>
      </c>
    </row>
    <row r="801" spans="19:24">
      <c r="S801" s="109">
        <f t="shared" si="25"/>
        <v>0</v>
      </c>
      <c r="W801" s="109"/>
      <c r="X801" s="40">
        <f t="shared" si="26"/>
        <v>0</v>
      </c>
    </row>
    <row r="802" spans="19:24">
      <c r="S802" s="109">
        <f t="shared" si="25"/>
        <v>0</v>
      </c>
      <c r="W802" s="109"/>
      <c r="X802" s="40">
        <f t="shared" si="26"/>
        <v>0</v>
      </c>
    </row>
    <row r="803" spans="19:24">
      <c r="S803" s="109">
        <f t="shared" si="25"/>
        <v>0</v>
      </c>
      <c r="W803" s="109"/>
      <c r="X803" s="40">
        <f t="shared" si="26"/>
        <v>0</v>
      </c>
    </row>
    <row r="804" spans="19:24">
      <c r="S804" s="109">
        <f t="shared" si="25"/>
        <v>0</v>
      </c>
      <c r="W804" s="109"/>
      <c r="X804" s="40">
        <f t="shared" si="26"/>
        <v>0</v>
      </c>
    </row>
    <row r="805" spans="19:24">
      <c r="S805" s="109">
        <f t="shared" si="25"/>
        <v>0</v>
      </c>
      <c r="W805" s="109"/>
      <c r="X805" s="40">
        <f t="shared" si="26"/>
        <v>0</v>
      </c>
    </row>
    <row r="806" spans="19:24">
      <c r="S806" s="109">
        <f t="shared" si="25"/>
        <v>0</v>
      </c>
      <c r="W806" s="109"/>
      <c r="X806" s="40">
        <f t="shared" si="26"/>
        <v>0</v>
      </c>
    </row>
    <row r="807" spans="19:24">
      <c r="S807" s="109">
        <f t="shared" si="25"/>
        <v>0</v>
      </c>
      <c r="W807" s="109"/>
      <c r="X807" s="40">
        <f t="shared" si="26"/>
        <v>0</v>
      </c>
    </row>
    <row r="808" spans="19:24">
      <c r="S808" s="109">
        <f t="shared" si="25"/>
        <v>0</v>
      </c>
      <c r="W808" s="109"/>
      <c r="X808" s="40">
        <f t="shared" si="26"/>
        <v>0</v>
      </c>
    </row>
    <row r="809" spans="19:24">
      <c r="S809" s="109">
        <f t="shared" si="25"/>
        <v>0</v>
      </c>
      <c r="W809" s="109"/>
      <c r="X809" s="40">
        <f t="shared" si="26"/>
        <v>0</v>
      </c>
    </row>
    <row r="810" spans="19:24">
      <c r="S810" s="109">
        <f t="shared" si="25"/>
        <v>0</v>
      </c>
      <c r="W810" s="109"/>
      <c r="X810" s="40">
        <f t="shared" si="26"/>
        <v>0</v>
      </c>
    </row>
    <row r="811" spans="19:24">
      <c r="S811" s="109">
        <f t="shared" si="25"/>
        <v>0</v>
      </c>
      <c r="W811" s="109"/>
      <c r="X811" s="40">
        <f t="shared" si="26"/>
        <v>0</v>
      </c>
    </row>
    <row r="812" spans="19:24">
      <c r="S812" s="109">
        <f t="shared" si="25"/>
        <v>0</v>
      </c>
      <c r="W812" s="109"/>
      <c r="X812" s="40">
        <f t="shared" si="26"/>
        <v>0</v>
      </c>
    </row>
    <row r="813" spans="19:24">
      <c r="S813" s="109">
        <f t="shared" si="25"/>
        <v>0</v>
      </c>
      <c r="W813" s="109"/>
      <c r="X813" s="40">
        <f t="shared" si="26"/>
        <v>0</v>
      </c>
    </row>
    <row r="814" spans="19:24">
      <c r="S814" s="109">
        <f t="shared" si="25"/>
        <v>0</v>
      </c>
      <c r="W814" s="109"/>
      <c r="X814" s="40">
        <f t="shared" si="26"/>
        <v>0</v>
      </c>
    </row>
    <row r="815" spans="19:24">
      <c r="S815" s="109">
        <f t="shared" si="25"/>
        <v>0</v>
      </c>
      <c r="W815" s="109"/>
      <c r="X815" s="40">
        <f t="shared" si="26"/>
        <v>0</v>
      </c>
    </row>
    <row r="816" spans="19:24">
      <c r="S816" s="109">
        <f t="shared" si="25"/>
        <v>0</v>
      </c>
      <c r="W816" s="109"/>
      <c r="X816" s="40">
        <f t="shared" si="26"/>
        <v>0</v>
      </c>
    </row>
    <row r="817" spans="19:24">
      <c r="S817" s="109">
        <f t="shared" si="25"/>
        <v>0</v>
      </c>
      <c r="W817" s="109"/>
      <c r="X817" s="40">
        <f t="shared" si="26"/>
        <v>0</v>
      </c>
    </row>
    <row r="818" spans="19:24">
      <c r="S818" s="109">
        <f t="shared" si="25"/>
        <v>0</v>
      </c>
      <c r="W818" s="109"/>
      <c r="X818" s="40">
        <f t="shared" si="26"/>
        <v>0</v>
      </c>
    </row>
    <row r="819" spans="19:24">
      <c r="S819" s="109">
        <f t="shared" si="25"/>
        <v>0</v>
      </c>
      <c r="W819" s="109"/>
      <c r="X819" s="40">
        <f t="shared" si="26"/>
        <v>0</v>
      </c>
    </row>
    <row r="820" spans="19:24">
      <c r="S820" s="109">
        <f t="shared" si="25"/>
        <v>0</v>
      </c>
      <c r="W820" s="109"/>
      <c r="X820" s="40">
        <f t="shared" si="26"/>
        <v>0</v>
      </c>
    </row>
    <row r="821" spans="19:24">
      <c r="S821" s="109">
        <f t="shared" si="25"/>
        <v>0</v>
      </c>
      <c r="W821" s="109"/>
      <c r="X821" s="40">
        <f t="shared" si="26"/>
        <v>0</v>
      </c>
    </row>
    <row r="822" spans="19:24">
      <c r="S822" s="109">
        <f t="shared" si="25"/>
        <v>0</v>
      </c>
      <c r="W822" s="109"/>
      <c r="X822" s="40">
        <f t="shared" si="26"/>
        <v>0</v>
      </c>
    </row>
    <row r="823" spans="19:24">
      <c r="S823" s="109">
        <f t="shared" si="25"/>
        <v>0</v>
      </c>
      <c r="W823" s="109"/>
      <c r="X823" s="40">
        <f t="shared" si="26"/>
        <v>0</v>
      </c>
    </row>
    <row r="824" spans="19:24">
      <c r="S824" s="109">
        <f t="shared" si="25"/>
        <v>0</v>
      </c>
      <c r="W824" s="109"/>
      <c r="X824" s="40">
        <f t="shared" si="26"/>
        <v>0</v>
      </c>
    </row>
    <row r="825" spans="19:24">
      <c r="S825" s="109">
        <f t="shared" si="25"/>
        <v>0</v>
      </c>
      <c r="W825" s="109"/>
      <c r="X825" s="40">
        <f t="shared" si="26"/>
        <v>0</v>
      </c>
    </row>
    <row r="826" spans="19:24">
      <c r="S826" s="109">
        <f t="shared" si="25"/>
        <v>0</v>
      </c>
      <c r="W826" s="109"/>
      <c r="X826" s="40">
        <f t="shared" si="26"/>
        <v>0</v>
      </c>
    </row>
    <row r="827" spans="19:24">
      <c r="S827" s="109">
        <f t="shared" si="25"/>
        <v>0</v>
      </c>
      <c r="W827" s="109"/>
      <c r="X827" s="40">
        <f t="shared" si="26"/>
        <v>0</v>
      </c>
    </row>
    <row r="828" spans="19:24">
      <c r="S828" s="109">
        <f t="shared" si="25"/>
        <v>0</v>
      </c>
      <c r="W828" s="109"/>
      <c r="X828" s="40">
        <f t="shared" si="26"/>
        <v>0</v>
      </c>
    </row>
    <row r="829" spans="19:24">
      <c r="S829" s="109">
        <f t="shared" si="25"/>
        <v>0</v>
      </c>
      <c r="W829" s="109"/>
      <c r="X829" s="40">
        <f t="shared" si="26"/>
        <v>0</v>
      </c>
    </row>
    <row r="830" spans="19:24">
      <c r="S830" s="109">
        <f t="shared" si="25"/>
        <v>0</v>
      </c>
      <c r="W830" s="109"/>
      <c r="X830" s="40">
        <f t="shared" si="26"/>
        <v>0</v>
      </c>
    </row>
    <row r="831" spans="19:24">
      <c r="S831" s="109">
        <f t="shared" si="25"/>
        <v>0</v>
      </c>
      <c r="W831" s="109"/>
      <c r="X831" s="40">
        <f t="shared" si="26"/>
        <v>0</v>
      </c>
    </row>
    <row r="832" spans="19:24">
      <c r="S832" s="109">
        <f t="shared" si="25"/>
        <v>0</v>
      </c>
      <c r="W832" s="109"/>
      <c r="X832" s="40">
        <f t="shared" si="26"/>
        <v>0</v>
      </c>
    </row>
    <row r="833" spans="19:24">
      <c r="S833" s="109">
        <f t="shared" si="25"/>
        <v>0</v>
      </c>
      <c r="W833" s="109"/>
      <c r="X833" s="40">
        <f t="shared" si="26"/>
        <v>0</v>
      </c>
    </row>
    <row r="834" spans="19:24">
      <c r="S834" s="109">
        <f t="shared" si="25"/>
        <v>0</v>
      </c>
      <c r="W834" s="109"/>
      <c r="X834" s="40">
        <f t="shared" si="26"/>
        <v>0</v>
      </c>
    </row>
    <row r="835" spans="19:24">
      <c r="S835" s="109">
        <f t="shared" ref="S835:S898" si="27">K835-R835</f>
        <v>0</v>
      </c>
      <c r="W835" s="109"/>
      <c r="X835" s="40">
        <f t="shared" ref="X835:X898" si="28">S835-W835</f>
        <v>0</v>
      </c>
    </row>
    <row r="836" spans="19:24">
      <c r="S836" s="109">
        <f t="shared" si="27"/>
        <v>0</v>
      </c>
      <c r="W836" s="109"/>
      <c r="X836" s="40">
        <f t="shared" si="28"/>
        <v>0</v>
      </c>
    </row>
    <row r="837" spans="19:24">
      <c r="S837" s="109">
        <f t="shared" si="27"/>
        <v>0</v>
      </c>
      <c r="W837" s="109"/>
      <c r="X837" s="40">
        <f t="shared" si="28"/>
        <v>0</v>
      </c>
    </row>
    <row r="838" spans="19:24">
      <c r="S838" s="109">
        <f t="shared" si="27"/>
        <v>0</v>
      </c>
      <c r="W838" s="109"/>
      <c r="X838" s="40">
        <f t="shared" si="28"/>
        <v>0</v>
      </c>
    </row>
    <row r="839" spans="19:24">
      <c r="S839" s="109">
        <f t="shared" si="27"/>
        <v>0</v>
      </c>
      <c r="W839" s="109"/>
      <c r="X839" s="40">
        <f t="shared" si="28"/>
        <v>0</v>
      </c>
    </row>
    <row r="840" spans="19:24">
      <c r="S840" s="109">
        <f t="shared" si="27"/>
        <v>0</v>
      </c>
      <c r="W840" s="109"/>
      <c r="X840" s="40">
        <f t="shared" si="28"/>
        <v>0</v>
      </c>
    </row>
    <row r="841" spans="19:24">
      <c r="S841" s="109">
        <f t="shared" si="27"/>
        <v>0</v>
      </c>
      <c r="W841" s="109"/>
      <c r="X841" s="40">
        <f t="shared" si="28"/>
        <v>0</v>
      </c>
    </row>
    <row r="842" spans="19:24">
      <c r="S842" s="109">
        <f t="shared" si="27"/>
        <v>0</v>
      </c>
      <c r="W842" s="109"/>
      <c r="X842" s="40">
        <f t="shared" si="28"/>
        <v>0</v>
      </c>
    </row>
    <row r="843" spans="19:24">
      <c r="S843" s="109">
        <f t="shared" si="27"/>
        <v>0</v>
      </c>
      <c r="W843" s="109"/>
      <c r="X843" s="40">
        <f t="shared" si="28"/>
        <v>0</v>
      </c>
    </row>
    <row r="844" spans="19:24">
      <c r="S844" s="109">
        <f t="shared" si="27"/>
        <v>0</v>
      </c>
      <c r="W844" s="109"/>
      <c r="X844" s="40">
        <f t="shared" si="28"/>
        <v>0</v>
      </c>
    </row>
    <row r="845" spans="19:24">
      <c r="S845" s="109">
        <f t="shared" si="27"/>
        <v>0</v>
      </c>
      <c r="W845" s="109"/>
      <c r="X845" s="40">
        <f t="shared" si="28"/>
        <v>0</v>
      </c>
    </row>
    <row r="846" spans="19:24">
      <c r="S846" s="109">
        <f t="shared" si="27"/>
        <v>0</v>
      </c>
      <c r="W846" s="109"/>
      <c r="X846" s="40">
        <f t="shared" si="28"/>
        <v>0</v>
      </c>
    </row>
    <row r="847" spans="19:24">
      <c r="S847" s="109">
        <f t="shared" si="27"/>
        <v>0</v>
      </c>
      <c r="W847" s="109"/>
      <c r="X847" s="40">
        <f t="shared" si="28"/>
        <v>0</v>
      </c>
    </row>
    <row r="848" spans="19:24">
      <c r="S848" s="109">
        <f t="shared" si="27"/>
        <v>0</v>
      </c>
      <c r="W848" s="109"/>
      <c r="X848" s="40">
        <f t="shared" si="28"/>
        <v>0</v>
      </c>
    </row>
    <row r="849" spans="19:24">
      <c r="S849" s="109">
        <f t="shared" si="27"/>
        <v>0</v>
      </c>
      <c r="W849" s="109"/>
      <c r="X849" s="40">
        <f t="shared" si="28"/>
        <v>0</v>
      </c>
    </row>
    <row r="850" spans="19:24">
      <c r="S850" s="109">
        <f t="shared" si="27"/>
        <v>0</v>
      </c>
      <c r="W850" s="109"/>
      <c r="X850" s="40">
        <f t="shared" si="28"/>
        <v>0</v>
      </c>
    </row>
    <row r="851" spans="19:24">
      <c r="S851" s="109">
        <f t="shared" si="27"/>
        <v>0</v>
      </c>
      <c r="W851" s="109"/>
      <c r="X851" s="40">
        <f t="shared" si="28"/>
        <v>0</v>
      </c>
    </row>
    <row r="852" spans="19:24">
      <c r="S852" s="109">
        <f t="shared" si="27"/>
        <v>0</v>
      </c>
      <c r="W852" s="109"/>
      <c r="X852" s="40">
        <f t="shared" si="28"/>
        <v>0</v>
      </c>
    </row>
    <row r="853" spans="19:24">
      <c r="S853" s="109">
        <f t="shared" si="27"/>
        <v>0</v>
      </c>
      <c r="W853" s="109"/>
      <c r="X853" s="40">
        <f t="shared" si="28"/>
        <v>0</v>
      </c>
    </row>
    <row r="854" spans="19:24">
      <c r="S854" s="109">
        <f t="shared" si="27"/>
        <v>0</v>
      </c>
      <c r="W854" s="109"/>
      <c r="X854" s="40">
        <f t="shared" si="28"/>
        <v>0</v>
      </c>
    </row>
    <row r="855" spans="19:24">
      <c r="S855" s="109">
        <f t="shared" si="27"/>
        <v>0</v>
      </c>
      <c r="W855" s="109"/>
      <c r="X855" s="40">
        <f t="shared" si="28"/>
        <v>0</v>
      </c>
    </row>
    <row r="856" spans="19:24">
      <c r="S856" s="109">
        <f t="shared" si="27"/>
        <v>0</v>
      </c>
      <c r="W856" s="109"/>
      <c r="X856" s="40">
        <f t="shared" si="28"/>
        <v>0</v>
      </c>
    </row>
    <row r="857" spans="19:24">
      <c r="S857" s="109">
        <f t="shared" si="27"/>
        <v>0</v>
      </c>
      <c r="W857" s="109"/>
      <c r="X857" s="40">
        <f t="shared" si="28"/>
        <v>0</v>
      </c>
    </row>
    <row r="858" spans="19:24">
      <c r="S858" s="109">
        <f t="shared" si="27"/>
        <v>0</v>
      </c>
      <c r="W858" s="109"/>
      <c r="X858" s="40">
        <f t="shared" si="28"/>
        <v>0</v>
      </c>
    </row>
    <row r="859" spans="19:24">
      <c r="S859" s="109">
        <f t="shared" si="27"/>
        <v>0</v>
      </c>
      <c r="W859" s="109"/>
      <c r="X859" s="40">
        <f t="shared" si="28"/>
        <v>0</v>
      </c>
    </row>
    <row r="860" spans="19:24">
      <c r="S860" s="109">
        <f t="shared" si="27"/>
        <v>0</v>
      </c>
      <c r="W860" s="109"/>
      <c r="X860" s="40">
        <f t="shared" si="28"/>
        <v>0</v>
      </c>
    </row>
    <row r="861" spans="19:24">
      <c r="S861" s="109">
        <f t="shared" si="27"/>
        <v>0</v>
      </c>
      <c r="W861" s="109"/>
      <c r="X861" s="40">
        <f t="shared" si="28"/>
        <v>0</v>
      </c>
    </row>
    <row r="862" spans="19:24">
      <c r="S862" s="109">
        <f t="shared" si="27"/>
        <v>0</v>
      </c>
      <c r="W862" s="109"/>
      <c r="X862" s="40">
        <f t="shared" si="28"/>
        <v>0</v>
      </c>
    </row>
    <row r="863" spans="19:24">
      <c r="S863" s="109">
        <f t="shared" si="27"/>
        <v>0</v>
      </c>
      <c r="W863" s="109"/>
      <c r="X863" s="40">
        <f t="shared" si="28"/>
        <v>0</v>
      </c>
    </row>
    <row r="864" spans="19:24">
      <c r="S864" s="109">
        <f t="shared" si="27"/>
        <v>0</v>
      </c>
      <c r="W864" s="109"/>
      <c r="X864" s="40">
        <f t="shared" si="28"/>
        <v>0</v>
      </c>
    </row>
    <row r="865" spans="19:24">
      <c r="S865" s="109">
        <f t="shared" si="27"/>
        <v>0</v>
      </c>
      <c r="W865" s="109"/>
      <c r="X865" s="40">
        <f t="shared" si="28"/>
        <v>0</v>
      </c>
    </row>
    <row r="866" spans="19:24">
      <c r="S866" s="109">
        <f t="shared" si="27"/>
        <v>0</v>
      </c>
      <c r="W866" s="109"/>
      <c r="X866" s="40">
        <f t="shared" si="28"/>
        <v>0</v>
      </c>
    </row>
    <row r="867" spans="19:24">
      <c r="S867" s="109">
        <f t="shared" si="27"/>
        <v>0</v>
      </c>
      <c r="W867" s="109"/>
      <c r="X867" s="40">
        <f t="shared" si="28"/>
        <v>0</v>
      </c>
    </row>
    <row r="868" spans="19:24">
      <c r="S868" s="109">
        <f t="shared" si="27"/>
        <v>0</v>
      </c>
      <c r="W868" s="109"/>
      <c r="X868" s="40">
        <f t="shared" si="28"/>
        <v>0</v>
      </c>
    </row>
    <row r="869" spans="19:24">
      <c r="S869" s="109">
        <f t="shared" si="27"/>
        <v>0</v>
      </c>
      <c r="W869" s="109"/>
      <c r="X869" s="40">
        <f t="shared" si="28"/>
        <v>0</v>
      </c>
    </row>
    <row r="870" spans="19:24">
      <c r="S870" s="109">
        <f t="shared" si="27"/>
        <v>0</v>
      </c>
      <c r="W870" s="109"/>
      <c r="X870" s="40">
        <f t="shared" si="28"/>
        <v>0</v>
      </c>
    </row>
    <row r="871" spans="19:24">
      <c r="S871" s="109">
        <f t="shared" si="27"/>
        <v>0</v>
      </c>
      <c r="W871" s="109"/>
      <c r="X871" s="40">
        <f t="shared" si="28"/>
        <v>0</v>
      </c>
    </row>
    <row r="872" spans="19:24">
      <c r="S872" s="109">
        <f t="shared" si="27"/>
        <v>0</v>
      </c>
      <c r="W872" s="109"/>
      <c r="X872" s="40">
        <f t="shared" si="28"/>
        <v>0</v>
      </c>
    </row>
    <row r="873" spans="19:24">
      <c r="S873" s="109">
        <f t="shared" si="27"/>
        <v>0</v>
      </c>
      <c r="W873" s="109"/>
      <c r="X873" s="40">
        <f t="shared" si="28"/>
        <v>0</v>
      </c>
    </row>
    <row r="874" spans="19:24">
      <c r="S874" s="109">
        <f t="shared" si="27"/>
        <v>0</v>
      </c>
      <c r="W874" s="109"/>
      <c r="X874" s="40">
        <f t="shared" si="28"/>
        <v>0</v>
      </c>
    </row>
    <row r="875" spans="19:24">
      <c r="S875" s="109">
        <f t="shared" si="27"/>
        <v>0</v>
      </c>
      <c r="W875" s="109"/>
      <c r="X875" s="40">
        <f t="shared" si="28"/>
        <v>0</v>
      </c>
    </row>
    <row r="876" spans="19:24">
      <c r="S876" s="109">
        <f t="shared" si="27"/>
        <v>0</v>
      </c>
      <c r="W876" s="109"/>
      <c r="X876" s="40">
        <f t="shared" si="28"/>
        <v>0</v>
      </c>
    </row>
    <row r="877" spans="19:24">
      <c r="S877" s="109">
        <f t="shared" si="27"/>
        <v>0</v>
      </c>
      <c r="W877" s="109"/>
      <c r="X877" s="40">
        <f t="shared" si="28"/>
        <v>0</v>
      </c>
    </row>
    <row r="878" spans="19:24">
      <c r="S878" s="109">
        <f t="shared" si="27"/>
        <v>0</v>
      </c>
      <c r="W878" s="109"/>
      <c r="X878" s="40">
        <f t="shared" si="28"/>
        <v>0</v>
      </c>
    </row>
    <row r="879" spans="19:24">
      <c r="S879" s="109">
        <f t="shared" si="27"/>
        <v>0</v>
      </c>
      <c r="W879" s="109"/>
      <c r="X879" s="40">
        <f t="shared" si="28"/>
        <v>0</v>
      </c>
    </row>
    <row r="880" spans="19:24">
      <c r="S880" s="109">
        <f t="shared" si="27"/>
        <v>0</v>
      </c>
      <c r="W880" s="109"/>
      <c r="X880" s="40">
        <f t="shared" si="28"/>
        <v>0</v>
      </c>
    </row>
    <row r="881" spans="19:24">
      <c r="S881" s="109">
        <f t="shared" si="27"/>
        <v>0</v>
      </c>
      <c r="W881" s="109"/>
      <c r="X881" s="40">
        <f t="shared" si="28"/>
        <v>0</v>
      </c>
    </row>
    <row r="882" spans="19:24">
      <c r="S882" s="109">
        <f t="shared" si="27"/>
        <v>0</v>
      </c>
      <c r="W882" s="109"/>
      <c r="X882" s="40">
        <f t="shared" si="28"/>
        <v>0</v>
      </c>
    </row>
    <row r="883" spans="19:24">
      <c r="S883" s="109">
        <f t="shared" si="27"/>
        <v>0</v>
      </c>
      <c r="W883" s="109"/>
      <c r="X883" s="40">
        <f t="shared" si="28"/>
        <v>0</v>
      </c>
    </row>
    <row r="884" spans="19:24">
      <c r="S884" s="109">
        <f t="shared" si="27"/>
        <v>0</v>
      </c>
      <c r="W884" s="109"/>
      <c r="X884" s="40">
        <f t="shared" si="28"/>
        <v>0</v>
      </c>
    </row>
    <row r="885" spans="19:24">
      <c r="S885" s="109">
        <f t="shared" si="27"/>
        <v>0</v>
      </c>
      <c r="W885" s="109"/>
      <c r="X885" s="40">
        <f t="shared" si="28"/>
        <v>0</v>
      </c>
    </row>
    <row r="886" spans="19:24">
      <c r="S886" s="109">
        <f t="shared" si="27"/>
        <v>0</v>
      </c>
      <c r="W886" s="109"/>
      <c r="X886" s="40">
        <f t="shared" si="28"/>
        <v>0</v>
      </c>
    </row>
    <row r="887" spans="19:24">
      <c r="S887" s="109">
        <f t="shared" si="27"/>
        <v>0</v>
      </c>
      <c r="W887" s="109"/>
      <c r="X887" s="40">
        <f t="shared" si="28"/>
        <v>0</v>
      </c>
    </row>
    <row r="888" spans="19:24">
      <c r="S888" s="109">
        <f t="shared" si="27"/>
        <v>0</v>
      </c>
      <c r="W888" s="109"/>
      <c r="X888" s="40">
        <f t="shared" si="28"/>
        <v>0</v>
      </c>
    </row>
    <row r="889" spans="19:24">
      <c r="S889" s="109">
        <f t="shared" si="27"/>
        <v>0</v>
      </c>
      <c r="W889" s="109"/>
      <c r="X889" s="40">
        <f t="shared" si="28"/>
        <v>0</v>
      </c>
    </row>
    <row r="890" spans="19:24">
      <c r="S890" s="109">
        <f t="shared" si="27"/>
        <v>0</v>
      </c>
      <c r="W890" s="109"/>
      <c r="X890" s="40">
        <f t="shared" si="28"/>
        <v>0</v>
      </c>
    </row>
    <row r="891" spans="19:24">
      <c r="S891" s="109">
        <f t="shared" si="27"/>
        <v>0</v>
      </c>
      <c r="W891" s="109"/>
      <c r="X891" s="40">
        <f t="shared" si="28"/>
        <v>0</v>
      </c>
    </row>
    <row r="892" spans="19:24">
      <c r="S892" s="109">
        <f t="shared" si="27"/>
        <v>0</v>
      </c>
      <c r="W892" s="109"/>
      <c r="X892" s="40">
        <f t="shared" si="28"/>
        <v>0</v>
      </c>
    </row>
    <row r="893" spans="19:24">
      <c r="S893" s="109">
        <f t="shared" si="27"/>
        <v>0</v>
      </c>
      <c r="W893" s="109"/>
      <c r="X893" s="40">
        <f t="shared" si="28"/>
        <v>0</v>
      </c>
    </row>
    <row r="894" spans="19:24">
      <c r="S894" s="109">
        <f t="shared" si="27"/>
        <v>0</v>
      </c>
      <c r="W894" s="109"/>
      <c r="X894" s="40">
        <f t="shared" si="28"/>
        <v>0</v>
      </c>
    </row>
    <row r="895" spans="19:24">
      <c r="S895" s="109">
        <f t="shared" si="27"/>
        <v>0</v>
      </c>
      <c r="W895" s="109"/>
      <c r="X895" s="40">
        <f t="shared" si="28"/>
        <v>0</v>
      </c>
    </row>
    <row r="896" spans="19:24">
      <c r="S896" s="109">
        <f t="shared" si="27"/>
        <v>0</v>
      </c>
      <c r="W896" s="109"/>
      <c r="X896" s="40">
        <f t="shared" si="28"/>
        <v>0</v>
      </c>
    </row>
    <row r="897" spans="19:24">
      <c r="S897" s="109">
        <f t="shared" si="27"/>
        <v>0</v>
      </c>
      <c r="W897" s="109"/>
      <c r="X897" s="40">
        <f t="shared" si="28"/>
        <v>0</v>
      </c>
    </row>
    <row r="898" spans="19:24">
      <c r="S898" s="109">
        <f t="shared" si="27"/>
        <v>0</v>
      </c>
      <c r="W898" s="109"/>
      <c r="X898" s="40">
        <f t="shared" si="28"/>
        <v>0</v>
      </c>
    </row>
    <row r="899" spans="19:24">
      <c r="S899" s="109">
        <f t="shared" ref="S899:S962" si="29">K899-R899</f>
        <v>0</v>
      </c>
      <c r="W899" s="109"/>
      <c r="X899" s="40">
        <f t="shared" ref="X899:X962" si="30">S899-W899</f>
        <v>0</v>
      </c>
    </row>
    <row r="900" spans="19:24">
      <c r="S900" s="109">
        <f t="shared" si="29"/>
        <v>0</v>
      </c>
      <c r="W900" s="109"/>
      <c r="X900" s="40">
        <f t="shared" si="30"/>
        <v>0</v>
      </c>
    </row>
    <row r="901" spans="19:24">
      <c r="S901" s="109">
        <f t="shared" si="29"/>
        <v>0</v>
      </c>
      <c r="W901" s="109"/>
      <c r="X901" s="40">
        <f t="shared" si="30"/>
        <v>0</v>
      </c>
    </row>
    <row r="902" spans="19:24">
      <c r="S902" s="109">
        <f t="shared" si="29"/>
        <v>0</v>
      </c>
      <c r="W902" s="109"/>
      <c r="X902" s="40">
        <f t="shared" si="30"/>
        <v>0</v>
      </c>
    </row>
    <row r="903" spans="19:24">
      <c r="S903" s="109">
        <f t="shared" si="29"/>
        <v>0</v>
      </c>
      <c r="W903" s="109"/>
      <c r="X903" s="40">
        <f t="shared" si="30"/>
        <v>0</v>
      </c>
    </row>
    <row r="904" spans="19:24">
      <c r="S904" s="109">
        <f t="shared" si="29"/>
        <v>0</v>
      </c>
      <c r="W904" s="109"/>
      <c r="X904" s="40">
        <f t="shared" si="30"/>
        <v>0</v>
      </c>
    </row>
    <row r="905" spans="19:24">
      <c r="S905" s="109">
        <f t="shared" si="29"/>
        <v>0</v>
      </c>
      <c r="W905" s="109"/>
      <c r="X905" s="40">
        <f t="shared" si="30"/>
        <v>0</v>
      </c>
    </row>
    <row r="906" spans="19:24">
      <c r="S906" s="109">
        <f t="shared" si="29"/>
        <v>0</v>
      </c>
      <c r="W906" s="109"/>
      <c r="X906" s="40">
        <f t="shared" si="30"/>
        <v>0</v>
      </c>
    </row>
    <row r="907" spans="19:24">
      <c r="S907" s="109">
        <f t="shared" si="29"/>
        <v>0</v>
      </c>
      <c r="W907" s="109"/>
      <c r="X907" s="40">
        <f t="shared" si="30"/>
        <v>0</v>
      </c>
    </row>
    <row r="908" spans="19:24">
      <c r="S908" s="109">
        <f t="shared" si="29"/>
        <v>0</v>
      </c>
      <c r="W908" s="109"/>
      <c r="X908" s="40">
        <f t="shared" si="30"/>
        <v>0</v>
      </c>
    </row>
    <row r="909" spans="19:24">
      <c r="S909" s="109">
        <f t="shared" si="29"/>
        <v>0</v>
      </c>
      <c r="W909" s="109"/>
      <c r="X909" s="40">
        <f t="shared" si="30"/>
        <v>0</v>
      </c>
    </row>
    <row r="910" spans="19:24">
      <c r="S910" s="109">
        <f t="shared" si="29"/>
        <v>0</v>
      </c>
      <c r="W910" s="109"/>
      <c r="X910" s="40">
        <f t="shared" si="30"/>
        <v>0</v>
      </c>
    </row>
    <row r="911" spans="19:24">
      <c r="S911" s="109">
        <f t="shared" si="29"/>
        <v>0</v>
      </c>
      <c r="W911" s="109"/>
      <c r="X911" s="40">
        <f t="shared" si="30"/>
        <v>0</v>
      </c>
    </row>
    <row r="912" spans="19:24">
      <c r="S912" s="109">
        <f t="shared" si="29"/>
        <v>0</v>
      </c>
      <c r="W912" s="109"/>
      <c r="X912" s="40">
        <f t="shared" si="30"/>
        <v>0</v>
      </c>
    </row>
    <row r="913" spans="19:24">
      <c r="S913" s="109">
        <f t="shared" si="29"/>
        <v>0</v>
      </c>
      <c r="W913" s="109"/>
      <c r="X913" s="40">
        <f t="shared" si="30"/>
        <v>0</v>
      </c>
    </row>
    <row r="914" spans="19:24">
      <c r="S914" s="109">
        <f t="shared" si="29"/>
        <v>0</v>
      </c>
      <c r="W914" s="109"/>
      <c r="X914" s="40">
        <f t="shared" si="30"/>
        <v>0</v>
      </c>
    </row>
    <row r="915" spans="19:24">
      <c r="S915" s="109">
        <f t="shared" si="29"/>
        <v>0</v>
      </c>
      <c r="W915" s="109"/>
      <c r="X915" s="40">
        <f t="shared" si="30"/>
        <v>0</v>
      </c>
    </row>
    <row r="916" spans="19:24">
      <c r="S916" s="109">
        <f t="shared" si="29"/>
        <v>0</v>
      </c>
      <c r="W916" s="109"/>
      <c r="X916" s="40">
        <f t="shared" si="30"/>
        <v>0</v>
      </c>
    </row>
    <row r="917" spans="19:24">
      <c r="S917" s="109">
        <f t="shared" si="29"/>
        <v>0</v>
      </c>
      <c r="W917" s="109"/>
      <c r="X917" s="40">
        <f t="shared" si="30"/>
        <v>0</v>
      </c>
    </row>
    <row r="918" spans="19:24">
      <c r="S918" s="109">
        <f t="shared" si="29"/>
        <v>0</v>
      </c>
      <c r="W918" s="109"/>
      <c r="X918" s="40">
        <f t="shared" si="30"/>
        <v>0</v>
      </c>
    </row>
    <row r="919" spans="19:24">
      <c r="S919" s="109">
        <f t="shared" si="29"/>
        <v>0</v>
      </c>
      <c r="W919" s="109"/>
      <c r="X919" s="40">
        <f t="shared" si="30"/>
        <v>0</v>
      </c>
    </row>
    <row r="920" spans="19:24">
      <c r="S920" s="109">
        <f t="shared" si="29"/>
        <v>0</v>
      </c>
      <c r="W920" s="109"/>
      <c r="X920" s="40">
        <f t="shared" si="30"/>
        <v>0</v>
      </c>
    </row>
    <row r="921" spans="19:24">
      <c r="S921" s="109">
        <f t="shared" si="29"/>
        <v>0</v>
      </c>
      <c r="W921" s="109"/>
      <c r="X921" s="40">
        <f t="shared" si="30"/>
        <v>0</v>
      </c>
    </row>
    <row r="922" spans="19:24">
      <c r="S922" s="109">
        <f t="shared" si="29"/>
        <v>0</v>
      </c>
      <c r="W922" s="109"/>
      <c r="X922" s="40">
        <f t="shared" si="30"/>
        <v>0</v>
      </c>
    </row>
    <row r="923" spans="19:24">
      <c r="S923" s="109">
        <f t="shared" si="29"/>
        <v>0</v>
      </c>
      <c r="W923" s="109"/>
      <c r="X923" s="40">
        <f t="shared" si="30"/>
        <v>0</v>
      </c>
    </row>
    <row r="924" spans="19:24">
      <c r="S924" s="109">
        <f t="shared" si="29"/>
        <v>0</v>
      </c>
      <c r="W924" s="109"/>
      <c r="X924" s="40">
        <f t="shared" si="30"/>
        <v>0</v>
      </c>
    </row>
    <row r="925" spans="19:24">
      <c r="S925" s="109">
        <f t="shared" si="29"/>
        <v>0</v>
      </c>
      <c r="W925" s="109"/>
      <c r="X925" s="40">
        <f t="shared" si="30"/>
        <v>0</v>
      </c>
    </row>
    <row r="926" spans="19:24">
      <c r="S926" s="109">
        <f t="shared" si="29"/>
        <v>0</v>
      </c>
      <c r="W926" s="109"/>
      <c r="X926" s="40">
        <f t="shared" si="30"/>
        <v>0</v>
      </c>
    </row>
    <row r="927" spans="19:24">
      <c r="S927" s="109">
        <f t="shared" si="29"/>
        <v>0</v>
      </c>
      <c r="W927" s="109"/>
      <c r="X927" s="40">
        <f t="shared" si="30"/>
        <v>0</v>
      </c>
    </row>
    <row r="928" spans="19:24">
      <c r="S928" s="109">
        <f t="shared" si="29"/>
        <v>0</v>
      </c>
      <c r="W928" s="109"/>
      <c r="X928" s="40">
        <f t="shared" si="30"/>
        <v>0</v>
      </c>
    </row>
    <row r="929" spans="19:24">
      <c r="S929" s="109">
        <f t="shared" si="29"/>
        <v>0</v>
      </c>
      <c r="W929" s="109"/>
      <c r="X929" s="40">
        <f t="shared" si="30"/>
        <v>0</v>
      </c>
    </row>
    <row r="930" spans="19:24">
      <c r="S930" s="109">
        <f t="shared" si="29"/>
        <v>0</v>
      </c>
      <c r="W930" s="109"/>
      <c r="X930" s="40">
        <f t="shared" si="30"/>
        <v>0</v>
      </c>
    </row>
    <row r="931" spans="19:24">
      <c r="S931" s="109">
        <f t="shared" si="29"/>
        <v>0</v>
      </c>
      <c r="W931" s="109"/>
      <c r="X931" s="40">
        <f t="shared" si="30"/>
        <v>0</v>
      </c>
    </row>
    <row r="932" spans="19:24">
      <c r="S932" s="109">
        <f t="shared" si="29"/>
        <v>0</v>
      </c>
      <c r="W932" s="109"/>
      <c r="X932" s="40">
        <f t="shared" si="30"/>
        <v>0</v>
      </c>
    </row>
    <row r="933" spans="19:24">
      <c r="S933" s="109">
        <f t="shared" si="29"/>
        <v>0</v>
      </c>
      <c r="W933" s="109"/>
      <c r="X933" s="40">
        <f t="shared" si="30"/>
        <v>0</v>
      </c>
    </row>
    <row r="934" spans="19:24">
      <c r="S934" s="109">
        <f t="shared" si="29"/>
        <v>0</v>
      </c>
      <c r="W934" s="109"/>
      <c r="X934" s="40">
        <f t="shared" si="30"/>
        <v>0</v>
      </c>
    </row>
    <row r="935" spans="19:24">
      <c r="S935" s="109">
        <f t="shared" si="29"/>
        <v>0</v>
      </c>
      <c r="W935" s="109"/>
      <c r="X935" s="40">
        <f t="shared" si="30"/>
        <v>0</v>
      </c>
    </row>
    <row r="936" spans="19:24">
      <c r="S936" s="109">
        <f t="shared" si="29"/>
        <v>0</v>
      </c>
      <c r="W936" s="109"/>
      <c r="X936" s="40">
        <f t="shared" si="30"/>
        <v>0</v>
      </c>
    </row>
    <row r="937" spans="19:24">
      <c r="S937" s="109">
        <f t="shared" si="29"/>
        <v>0</v>
      </c>
      <c r="W937" s="109"/>
      <c r="X937" s="40">
        <f t="shared" si="30"/>
        <v>0</v>
      </c>
    </row>
    <row r="938" spans="19:24">
      <c r="S938" s="109">
        <f t="shared" si="29"/>
        <v>0</v>
      </c>
      <c r="W938" s="109"/>
      <c r="X938" s="40">
        <f t="shared" si="30"/>
        <v>0</v>
      </c>
    </row>
    <row r="939" spans="19:24">
      <c r="S939" s="109">
        <f t="shared" si="29"/>
        <v>0</v>
      </c>
      <c r="W939" s="109"/>
      <c r="X939" s="40">
        <f t="shared" si="30"/>
        <v>0</v>
      </c>
    </row>
    <row r="940" spans="19:24">
      <c r="S940" s="109">
        <f t="shared" si="29"/>
        <v>0</v>
      </c>
      <c r="W940" s="109"/>
      <c r="X940" s="40">
        <f t="shared" si="30"/>
        <v>0</v>
      </c>
    </row>
    <row r="941" spans="19:24">
      <c r="S941" s="109">
        <f t="shared" si="29"/>
        <v>0</v>
      </c>
      <c r="W941" s="109"/>
      <c r="X941" s="40">
        <f t="shared" si="30"/>
        <v>0</v>
      </c>
    </row>
    <row r="942" spans="19:24">
      <c r="S942" s="109">
        <f t="shared" si="29"/>
        <v>0</v>
      </c>
      <c r="W942" s="109"/>
      <c r="X942" s="40">
        <f t="shared" si="30"/>
        <v>0</v>
      </c>
    </row>
    <row r="943" spans="19:24">
      <c r="S943" s="109">
        <f t="shared" si="29"/>
        <v>0</v>
      </c>
      <c r="W943" s="109"/>
      <c r="X943" s="40">
        <f t="shared" si="30"/>
        <v>0</v>
      </c>
    </row>
    <row r="944" spans="19:24">
      <c r="S944" s="109">
        <f t="shared" si="29"/>
        <v>0</v>
      </c>
      <c r="W944" s="109"/>
      <c r="X944" s="40">
        <f t="shared" si="30"/>
        <v>0</v>
      </c>
    </row>
    <row r="945" spans="19:24">
      <c r="S945" s="109">
        <f t="shared" si="29"/>
        <v>0</v>
      </c>
      <c r="W945" s="109"/>
      <c r="X945" s="40">
        <f t="shared" si="30"/>
        <v>0</v>
      </c>
    </row>
    <row r="946" spans="19:24">
      <c r="S946" s="109">
        <f t="shared" si="29"/>
        <v>0</v>
      </c>
      <c r="W946" s="109"/>
      <c r="X946" s="40">
        <f t="shared" si="30"/>
        <v>0</v>
      </c>
    </row>
    <row r="947" spans="19:24">
      <c r="S947" s="109">
        <f t="shared" si="29"/>
        <v>0</v>
      </c>
      <c r="W947" s="109"/>
      <c r="X947" s="40">
        <f t="shared" si="30"/>
        <v>0</v>
      </c>
    </row>
    <row r="948" spans="19:24">
      <c r="S948" s="109">
        <f t="shared" si="29"/>
        <v>0</v>
      </c>
      <c r="W948" s="109"/>
      <c r="X948" s="40">
        <f t="shared" si="30"/>
        <v>0</v>
      </c>
    </row>
    <row r="949" spans="19:24">
      <c r="S949" s="109">
        <f t="shared" si="29"/>
        <v>0</v>
      </c>
      <c r="W949" s="109"/>
      <c r="X949" s="40">
        <f t="shared" si="30"/>
        <v>0</v>
      </c>
    </row>
    <row r="950" spans="19:24">
      <c r="S950" s="109">
        <f t="shared" si="29"/>
        <v>0</v>
      </c>
      <c r="W950" s="109"/>
      <c r="X950" s="40">
        <f t="shared" si="30"/>
        <v>0</v>
      </c>
    </row>
    <row r="951" spans="19:24">
      <c r="S951" s="109">
        <f t="shared" si="29"/>
        <v>0</v>
      </c>
      <c r="W951" s="109"/>
      <c r="X951" s="40">
        <f t="shared" si="30"/>
        <v>0</v>
      </c>
    </row>
    <row r="952" spans="19:24">
      <c r="S952" s="109">
        <f t="shared" si="29"/>
        <v>0</v>
      </c>
      <c r="W952" s="109"/>
      <c r="X952" s="40">
        <f t="shared" si="30"/>
        <v>0</v>
      </c>
    </row>
    <row r="953" spans="19:24">
      <c r="S953" s="109">
        <f t="shared" si="29"/>
        <v>0</v>
      </c>
      <c r="W953" s="109"/>
      <c r="X953" s="40">
        <f t="shared" si="30"/>
        <v>0</v>
      </c>
    </row>
    <row r="954" spans="19:24">
      <c r="S954" s="109">
        <f t="shared" si="29"/>
        <v>0</v>
      </c>
      <c r="W954" s="109"/>
      <c r="X954" s="40">
        <f t="shared" si="30"/>
        <v>0</v>
      </c>
    </row>
    <row r="955" spans="19:24">
      <c r="S955" s="109">
        <f t="shared" si="29"/>
        <v>0</v>
      </c>
      <c r="W955" s="109"/>
      <c r="X955" s="40">
        <f t="shared" si="30"/>
        <v>0</v>
      </c>
    </row>
    <row r="956" spans="19:24">
      <c r="S956" s="109">
        <f t="shared" si="29"/>
        <v>0</v>
      </c>
      <c r="W956" s="109"/>
      <c r="X956" s="40">
        <f t="shared" si="30"/>
        <v>0</v>
      </c>
    </row>
    <row r="957" spans="19:24">
      <c r="S957" s="109">
        <f t="shared" si="29"/>
        <v>0</v>
      </c>
      <c r="W957" s="109"/>
      <c r="X957" s="40">
        <f t="shared" si="30"/>
        <v>0</v>
      </c>
    </row>
    <row r="958" spans="19:24">
      <c r="S958" s="109">
        <f t="shared" si="29"/>
        <v>0</v>
      </c>
      <c r="W958" s="109"/>
      <c r="X958" s="40">
        <f t="shared" si="30"/>
        <v>0</v>
      </c>
    </row>
    <row r="959" spans="19:24">
      <c r="S959" s="109">
        <f t="shared" si="29"/>
        <v>0</v>
      </c>
      <c r="W959" s="109"/>
      <c r="X959" s="40">
        <f t="shared" si="30"/>
        <v>0</v>
      </c>
    </row>
    <row r="960" spans="19:24">
      <c r="S960" s="109">
        <f t="shared" si="29"/>
        <v>0</v>
      </c>
      <c r="W960" s="109"/>
      <c r="X960" s="40">
        <f t="shared" si="30"/>
        <v>0</v>
      </c>
    </row>
    <row r="961" spans="19:24">
      <c r="S961" s="109">
        <f t="shared" si="29"/>
        <v>0</v>
      </c>
      <c r="W961" s="109"/>
      <c r="X961" s="40">
        <f t="shared" si="30"/>
        <v>0</v>
      </c>
    </row>
    <row r="962" spans="19:24">
      <c r="S962" s="109">
        <f t="shared" si="29"/>
        <v>0</v>
      </c>
      <c r="W962" s="109"/>
      <c r="X962" s="40">
        <f t="shared" si="30"/>
        <v>0</v>
      </c>
    </row>
    <row r="963" spans="19:24">
      <c r="S963" s="109">
        <f t="shared" ref="S963:S1026" si="31">K963-R963</f>
        <v>0</v>
      </c>
      <c r="W963" s="109"/>
      <c r="X963" s="40">
        <f t="shared" ref="X963:X1026" si="32">S963-W963</f>
        <v>0</v>
      </c>
    </row>
    <row r="964" spans="19:24">
      <c r="S964" s="109">
        <f t="shared" si="31"/>
        <v>0</v>
      </c>
      <c r="W964" s="109"/>
      <c r="X964" s="40">
        <f t="shared" si="32"/>
        <v>0</v>
      </c>
    </row>
    <row r="965" spans="19:24">
      <c r="S965" s="109">
        <f t="shared" si="31"/>
        <v>0</v>
      </c>
      <c r="W965" s="109"/>
      <c r="X965" s="40">
        <f t="shared" si="32"/>
        <v>0</v>
      </c>
    </row>
    <row r="966" spans="19:24">
      <c r="S966" s="109">
        <f t="shared" si="31"/>
        <v>0</v>
      </c>
      <c r="W966" s="109"/>
      <c r="X966" s="40">
        <f t="shared" si="32"/>
        <v>0</v>
      </c>
    </row>
    <row r="967" spans="19:24">
      <c r="S967" s="109">
        <f t="shared" si="31"/>
        <v>0</v>
      </c>
      <c r="W967" s="109"/>
      <c r="X967" s="40">
        <f t="shared" si="32"/>
        <v>0</v>
      </c>
    </row>
    <row r="968" spans="19:24">
      <c r="S968" s="109">
        <f t="shared" si="31"/>
        <v>0</v>
      </c>
      <c r="W968" s="109"/>
      <c r="X968" s="40">
        <f t="shared" si="32"/>
        <v>0</v>
      </c>
    </row>
    <row r="969" spans="19:24">
      <c r="S969" s="109">
        <f t="shared" si="31"/>
        <v>0</v>
      </c>
      <c r="W969" s="109"/>
      <c r="X969" s="40">
        <f t="shared" si="32"/>
        <v>0</v>
      </c>
    </row>
    <row r="970" spans="19:24">
      <c r="S970" s="109">
        <f t="shared" si="31"/>
        <v>0</v>
      </c>
      <c r="W970" s="109"/>
      <c r="X970" s="40">
        <f t="shared" si="32"/>
        <v>0</v>
      </c>
    </row>
    <row r="971" spans="19:24">
      <c r="S971" s="109">
        <f t="shared" si="31"/>
        <v>0</v>
      </c>
      <c r="W971" s="109"/>
      <c r="X971" s="40">
        <f t="shared" si="32"/>
        <v>0</v>
      </c>
    </row>
    <row r="972" spans="19:24">
      <c r="S972" s="109">
        <f t="shared" si="31"/>
        <v>0</v>
      </c>
      <c r="W972" s="109"/>
      <c r="X972" s="40">
        <f t="shared" si="32"/>
        <v>0</v>
      </c>
    </row>
    <row r="973" spans="19:24">
      <c r="S973" s="109">
        <f t="shared" si="31"/>
        <v>0</v>
      </c>
      <c r="W973" s="109"/>
      <c r="X973" s="40">
        <f t="shared" si="32"/>
        <v>0</v>
      </c>
    </row>
    <row r="974" spans="19:24">
      <c r="S974" s="109">
        <f t="shared" si="31"/>
        <v>0</v>
      </c>
      <c r="W974" s="109"/>
      <c r="X974" s="40">
        <f t="shared" si="32"/>
        <v>0</v>
      </c>
    </row>
    <row r="975" spans="19:24">
      <c r="S975" s="109">
        <f t="shared" si="31"/>
        <v>0</v>
      </c>
      <c r="W975" s="109"/>
      <c r="X975" s="40">
        <f t="shared" si="32"/>
        <v>0</v>
      </c>
    </row>
    <row r="976" spans="19:24">
      <c r="S976" s="109">
        <f t="shared" si="31"/>
        <v>0</v>
      </c>
      <c r="W976" s="109"/>
      <c r="X976" s="40">
        <f t="shared" si="32"/>
        <v>0</v>
      </c>
    </row>
    <row r="977" spans="19:24">
      <c r="S977" s="109">
        <f t="shared" si="31"/>
        <v>0</v>
      </c>
      <c r="W977" s="109"/>
      <c r="X977" s="40">
        <f t="shared" si="32"/>
        <v>0</v>
      </c>
    </row>
    <row r="978" spans="19:24">
      <c r="S978" s="109">
        <f t="shared" si="31"/>
        <v>0</v>
      </c>
      <c r="W978" s="109"/>
      <c r="X978" s="40">
        <f t="shared" si="32"/>
        <v>0</v>
      </c>
    </row>
    <row r="979" spans="19:24">
      <c r="S979" s="109">
        <f t="shared" si="31"/>
        <v>0</v>
      </c>
      <c r="W979" s="109"/>
      <c r="X979" s="40">
        <f t="shared" si="32"/>
        <v>0</v>
      </c>
    </row>
    <row r="980" spans="19:24">
      <c r="S980" s="109">
        <f t="shared" si="31"/>
        <v>0</v>
      </c>
      <c r="W980" s="109"/>
      <c r="X980" s="40">
        <f t="shared" si="32"/>
        <v>0</v>
      </c>
    </row>
    <row r="981" spans="19:24">
      <c r="S981" s="109">
        <f t="shared" si="31"/>
        <v>0</v>
      </c>
      <c r="W981" s="109"/>
      <c r="X981" s="40">
        <f t="shared" si="32"/>
        <v>0</v>
      </c>
    </row>
    <row r="982" spans="19:24">
      <c r="S982" s="109">
        <f t="shared" si="31"/>
        <v>0</v>
      </c>
      <c r="W982" s="109"/>
      <c r="X982" s="40">
        <f t="shared" si="32"/>
        <v>0</v>
      </c>
    </row>
    <row r="983" spans="19:24">
      <c r="S983" s="109">
        <f t="shared" si="31"/>
        <v>0</v>
      </c>
      <c r="W983" s="109"/>
      <c r="X983" s="40">
        <f t="shared" si="32"/>
        <v>0</v>
      </c>
    </row>
    <row r="984" spans="19:24">
      <c r="S984" s="109">
        <f t="shared" si="31"/>
        <v>0</v>
      </c>
      <c r="W984" s="109"/>
      <c r="X984" s="40">
        <f t="shared" si="32"/>
        <v>0</v>
      </c>
    </row>
    <row r="985" spans="19:24">
      <c r="S985" s="109">
        <f t="shared" si="31"/>
        <v>0</v>
      </c>
      <c r="W985" s="109"/>
      <c r="X985" s="40">
        <f t="shared" si="32"/>
        <v>0</v>
      </c>
    </row>
    <row r="986" spans="19:24">
      <c r="S986" s="109">
        <f t="shared" si="31"/>
        <v>0</v>
      </c>
      <c r="W986" s="109"/>
      <c r="X986" s="40">
        <f t="shared" si="32"/>
        <v>0</v>
      </c>
    </row>
    <row r="987" spans="19:24">
      <c r="S987" s="109">
        <f t="shared" si="31"/>
        <v>0</v>
      </c>
      <c r="W987" s="109"/>
      <c r="X987" s="40">
        <f t="shared" si="32"/>
        <v>0</v>
      </c>
    </row>
    <row r="988" spans="19:24">
      <c r="S988" s="109">
        <f t="shared" si="31"/>
        <v>0</v>
      </c>
      <c r="W988" s="109"/>
      <c r="X988" s="40">
        <f t="shared" si="32"/>
        <v>0</v>
      </c>
    </row>
    <row r="989" spans="19:24">
      <c r="S989" s="109">
        <f t="shared" si="31"/>
        <v>0</v>
      </c>
      <c r="W989" s="109"/>
      <c r="X989" s="40">
        <f t="shared" si="32"/>
        <v>0</v>
      </c>
    </row>
    <row r="990" spans="19:24">
      <c r="S990" s="109">
        <f t="shared" si="31"/>
        <v>0</v>
      </c>
      <c r="W990" s="109"/>
      <c r="X990" s="40">
        <f t="shared" si="32"/>
        <v>0</v>
      </c>
    </row>
    <row r="991" spans="19:24">
      <c r="S991" s="109">
        <f t="shared" si="31"/>
        <v>0</v>
      </c>
      <c r="W991" s="109"/>
      <c r="X991" s="40">
        <f t="shared" si="32"/>
        <v>0</v>
      </c>
    </row>
    <row r="992" spans="19:24">
      <c r="S992" s="109">
        <f t="shared" si="31"/>
        <v>0</v>
      </c>
      <c r="W992" s="109"/>
      <c r="X992" s="40">
        <f t="shared" si="32"/>
        <v>0</v>
      </c>
    </row>
    <row r="993" spans="19:24">
      <c r="S993" s="109">
        <f t="shared" si="31"/>
        <v>0</v>
      </c>
      <c r="W993" s="109"/>
      <c r="X993" s="40">
        <f t="shared" si="32"/>
        <v>0</v>
      </c>
    </row>
    <row r="994" spans="19:24">
      <c r="S994" s="109">
        <f t="shared" si="31"/>
        <v>0</v>
      </c>
      <c r="W994" s="109"/>
      <c r="X994" s="40">
        <f t="shared" si="32"/>
        <v>0</v>
      </c>
    </row>
    <row r="995" spans="19:24">
      <c r="S995" s="109">
        <f t="shared" si="31"/>
        <v>0</v>
      </c>
      <c r="W995" s="109"/>
      <c r="X995" s="40">
        <f t="shared" si="32"/>
        <v>0</v>
      </c>
    </row>
    <row r="996" spans="19:24">
      <c r="S996" s="109">
        <f t="shared" si="31"/>
        <v>0</v>
      </c>
      <c r="W996" s="109"/>
      <c r="X996" s="40">
        <f t="shared" si="32"/>
        <v>0</v>
      </c>
    </row>
    <row r="997" spans="19:24">
      <c r="S997" s="109">
        <f t="shared" si="31"/>
        <v>0</v>
      </c>
      <c r="W997" s="109"/>
      <c r="X997" s="40">
        <f t="shared" si="32"/>
        <v>0</v>
      </c>
    </row>
    <row r="998" spans="19:24">
      <c r="S998" s="109">
        <f t="shared" si="31"/>
        <v>0</v>
      </c>
      <c r="W998" s="109"/>
      <c r="X998" s="40">
        <f t="shared" si="32"/>
        <v>0</v>
      </c>
    </row>
    <row r="999" spans="19:24">
      <c r="S999" s="109">
        <f t="shared" si="31"/>
        <v>0</v>
      </c>
      <c r="W999" s="109"/>
      <c r="X999" s="40">
        <f t="shared" si="32"/>
        <v>0</v>
      </c>
    </row>
    <row r="1000" spans="19:24">
      <c r="S1000" s="109">
        <f t="shared" si="31"/>
        <v>0</v>
      </c>
      <c r="W1000" s="109"/>
      <c r="X1000" s="40">
        <f t="shared" si="32"/>
        <v>0</v>
      </c>
    </row>
    <row r="1001" spans="19:24">
      <c r="S1001" s="109">
        <f t="shared" si="31"/>
        <v>0</v>
      </c>
      <c r="W1001" s="109"/>
      <c r="X1001" s="40">
        <f t="shared" si="32"/>
        <v>0</v>
      </c>
    </row>
    <row r="1002" spans="19:24">
      <c r="S1002" s="109">
        <f t="shared" si="31"/>
        <v>0</v>
      </c>
      <c r="W1002" s="109"/>
      <c r="X1002" s="40">
        <f t="shared" si="32"/>
        <v>0</v>
      </c>
    </row>
    <row r="1003" spans="19:24">
      <c r="S1003" s="109">
        <f t="shared" si="31"/>
        <v>0</v>
      </c>
      <c r="W1003" s="109"/>
      <c r="X1003" s="40">
        <f t="shared" si="32"/>
        <v>0</v>
      </c>
    </row>
    <row r="1004" spans="19:24">
      <c r="S1004" s="109">
        <f t="shared" si="31"/>
        <v>0</v>
      </c>
      <c r="W1004" s="109"/>
      <c r="X1004" s="40">
        <f t="shared" si="32"/>
        <v>0</v>
      </c>
    </row>
    <row r="1005" spans="19:24">
      <c r="S1005" s="109">
        <f t="shared" si="31"/>
        <v>0</v>
      </c>
      <c r="W1005" s="109"/>
      <c r="X1005" s="40">
        <f t="shared" si="32"/>
        <v>0</v>
      </c>
    </row>
    <row r="1006" spans="19:24">
      <c r="S1006" s="109">
        <f t="shared" si="31"/>
        <v>0</v>
      </c>
      <c r="W1006" s="109"/>
      <c r="X1006" s="40">
        <f t="shared" si="32"/>
        <v>0</v>
      </c>
    </row>
    <row r="1007" spans="19:24">
      <c r="S1007" s="109">
        <f t="shared" si="31"/>
        <v>0</v>
      </c>
      <c r="W1007" s="109"/>
      <c r="X1007" s="40">
        <f t="shared" si="32"/>
        <v>0</v>
      </c>
    </row>
    <row r="1008" spans="19:24">
      <c r="S1008" s="109">
        <f t="shared" si="31"/>
        <v>0</v>
      </c>
      <c r="W1008" s="109"/>
      <c r="X1008" s="40">
        <f t="shared" si="32"/>
        <v>0</v>
      </c>
    </row>
    <row r="1009" spans="19:24">
      <c r="S1009" s="109">
        <f t="shared" si="31"/>
        <v>0</v>
      </c>
      <c r="W1009" s="109"/>
      <c r="X1009" s="40">
        <f t="shared" si="32"/>
        <v>0</v>
      </c>
    </row>
    <row r="1010" spans="19:24">
      <c r="S1010" s="109">
        <f t="shared" si="31"/>
        <v>0</v>
      </c>
      <c r="W1010" s="109"/>
      <c r="X1010" s="40">
        <f t="shared" si="32"/>
        <v>0</v>
      </c>
    </row>
    <row r="1011" spans="19:24">
      <c r="S1011" s="109">
        <f t="shared" si="31"/>
        <v>0</v>
      </c>
      <c r="W1011" s="109"/>
      <c r="X1011" s="40">
        <f t="shared" si="32"/>
        <v>0</v>
      </c>
    </row>
    <row r="1012" spans="19:24">
      <c r="S1012" s="109">
        <f t="shared" si="31"/>
        <v>0</v>
      </c>
      <c r="W1012" s="109"/>
      <c r="X1012" s="40">
        <f t="shared" si="32"/>
        <v>0</v>
      </c>
    </row>
    <row r="1013" spans="19:24">
      <c r="S1013" s="109">
        <f t="shared" si="31"/>
        <v>0</v>
      </c>
      <c r="W1013" s="109"/>
      <c r="X1013" s="40">
        <f t="shared" si="32"/>
        <v>0</v>
      </c>
    </row>
    <row r="1014" spans="19:24">
      <c r="S1014" s="109">
        <f t="shared" si="31"/>
        <v>0</v>
      </c>
      <c r="W1014" s="109"/>
      <c r="X1014" s="40">
        <f t="shared" si="32"/>
        <v>0</v>
      </c>
    </row>
    <row r="1015" spans="19:24">
      <c r="S1015" s="109">
        <f t="shared" si="31"/>
        <v>0</v>
      </c>
      <c r="W1015" s="109"/>
      <c r="X1015" s="40">
        <f t="shared" si="32"/>
        <v>0</v>
      </c>
    </row>
    <row r="1016" spans="19:24">
      <c r="S1016" s="109">
        <f t="shared" si="31"/>
        <v>0</v>
      </c>
      <c r="W1016" s="109"/>
      <c r="X1016" s="40">
        <f t="shared" si="32"/>
        <v>0</v>
      </c>
    </row>
    <row r="1017" spans="19:24">
      <c r="S1017" s="109">
        <f t="shared" si="31"/>
        <v>0</v>
      </c>
      <c r="W1017" s="109"/>
      <c r="X1017" s="40">
        <f t="shared" si="32"/>
        <v>0</v>
      </c>
    </row>
    <row r="1018" spans="19:24">
      <c r="S1018" s="109">
        <f t="shared" si="31"/>
        <v>0</v>
      </c>
      <c r="W1018" s="109"/>
      <c r="X1018" s="40">
        <f t="shared" si="32"/>
        <v>0</v>
      </c>
    </row>
    <row r="1019" spans="19:24">
      <c r="S1019" s="109">
        <f t="shared" si="31"/>
        <v>0</v>
      </c>
      <c r="W1019" s="109"/>
      <c r="X1019" s="40">
        <f t="shared" si="32"/>
        <v>0</v>
      </c>
    </row>
    <row r="1020" spans="19:24">
      <c r="S1020" s="109">
        <f t="shared" si="31"/>
        <v>0</v>
      </c>
      <c r="W1020" s="109"/>
      <c r="X1020" s="40">
        <f t="shared" si="32"/>
        <v>0</v>
      </c>
    </row>
    <row r="1021" spans="19:24">
      <c r="S1021" s="109">
        <f t="shared" si="31"/>
        <v>0</v>
      </c>
      <c r="W1021" s="109"/>
      <c r="X1021" s="40">
        <f t="shared" si="32"/>
        <v>0</v>
      </c>
    </row>
    <row r="1022" spans="19:24">
      <c r="S1022" s="109">
        <f t="shared" si="31"/>
        <v>0</v>
      </c>
      <c r="W1022" s="109"/>
      <c r="X1022" s="40">
        <f t="shared" si="32"/>
        <v>0</v>
      </c>
    </row>
    <row r="1023" spans="19:24">
      <c r="S1023" s="109">
        <f t="shared" si="31"/>
        <v>0</v>
      </c>
      <c r="W1023" s="109"/>
      <c r="X1023" s="40">
        <f t="shared" si="32"/>
        <v>0</v>
      </c>
    </row>
    <row r="1024" spans="19:24">
      <c r="S1024" s="109">
        <f t="shared" si="31"/>
        <v>0</v>
      </c>
      <c r="W1024" s="109"/>
      <c r="X1024" s="40">
        <f t="shared" si="32"/>
        <v>0</v>
      </c>
    </row>
    <row r="1025" spans="19:24">
      <c r="S1025" s="109">
        <f t="shared" si="31"/>
        <v>0</v>
      </c>
      <c r="W1025" s="109"/>
      <c r="X1025" s="40">
        <f t="shared" si="32"/>
        <v>0</v>
      </c>
    </row>
    <row r="1026" spans="19:24">
      <c r="S1026" s="109">
        <f t="shared" si="31"/>
        <v>0</v>
      </c>
      <c r="W1026" s="109"/>
      <c r="X1026" s="40">
        <f t="shared" si="32"/>
        <v>0</v>
      </c>
    </row>
    <row r="1027" spans="19:24">
      <c r="S1027" s="109">
        <f t="shared" ref="S1027:S1090" si="33">K1027-R1027</f>
        <v>0</v>
      </c>
      <c r="W1027" s="109"/>
      <c r="X1027" s="40">
        <f t="shared" ref="X1027:X1090" si="34">S1027-W1027</f>
        <v>0</v>
      </c>
    </row>
    <row r="1028" spans="19:24">
      <c r="S1028" s="109">
        <f t="shared" si="33"/>
        <v>0</v>
      </c>
      <c r="W1028" s="109"/>
      <c r="X1028" s="40">
        <f t="shared" si="34"/>
        <v>0</v>
      </c>
    </row>
    <row r="1029" spans="19:24">
      <c r="S1029" s="109">
        <f t="shared" si="33"/>
        <v>0</v>
      </c>
      <c r="W1029" s="109"/>
      <c r="X1029" s="40">
        <f t="shared" si="34"/>
        <v>0</v>
      </c>
    </row>
    <row r="1030" spans="19:24">
      <c r="S1030" s="109">
        <f t="shared" si="33"/>
        <v>0</v>
      </c>
      <c r="W1030" s="109"/>
      <c r="X1030" s="40">
        <f t="shared" si="34"/>
        <v>0</v>
      </c>
    </row>
    <row r="1031" spans="19:24">
      <c r="S1031" s="109">
        <f t="shared" si="33"/>
        <v>0</v>
      </c>
      <c r="W1031" s="109"/>
      <c r="X1031" s="40">
        <f t="shared" si="34"/>
        <v>0</v>
      </c>
    </row>
    <row r="1032" spans="19:24">
      <c r="S1032" s="109">
        <f t="shared" si="33"/>
        <v>0</v>
      </c>
      <c r="W1032" s="109"/>
      <c r="X1032" s="40">
        <f t="shared" si="34"/>
        <v>0</v>
      </c>
    </row>
    <row r="1033" spans="19:24">
      <c r="S1033" s="109">
        <f t="shared" si="33"/>
        <v>0</v>
      </c>
      <c r="W1033" s="109"/>
      <c r="X1033" s="40">
        <f t="shared" si="34"/>
        <v>0</v>
      </c>
    </row>
    <row r="1034" spans="19:24">
      <c r="S1034" s="109">
        <f t="shared" si="33"/>
        <v>0</v>
      </c>
      <c r="W1034" s="109"/>
      <c r="X1034" s="40">
        <f t="shared" si="34"/>
        <v>0</v>
      </c>
    </row>
    <row r="1035" spans="19:24">
      <c r="S1035" s="109">
        <f t="shared" si="33"/>
        <v>0</v>
      </c>
      <c r="W1035" s="109"/>
      <c r="X1035" s="40">
        <f t="shared" si="34"/>
        <v>0</v>
      </c>
    </row>
    <row r="1036" spans="19:24">
      <c r="S1036" s="109">
        <f t="shared" si="33"/>
        <v>0</v>
      </c>
      <c r="W1036" s="109"/>
      <c r="X1036" s="40">
        <f t="shared" si="34"/>
        <v>0</v>
      </c>
    </row>
    <row r="1037" spans="19:24">
      <c r="S1037" s="109">
        <f t="shared" si="33"/>
        <v>0</v>
      </c>
      <c r="W1037" s="109"/>
      <c r="X1037" s="40">
        <f t="shared" si="34"/>
        <v>0</v>
      </c>
    </row>
    <row r="1038" spans="19:24">
      <c r="S1038" s="109">
        <f t="shared" si="33"/>
        <v>0</v>
      </c>
      <c r="W1038" s="109"/>
      <c r="X1038" s="40">
        <f t="shared" si="34"/>
        <v>0</v>
      </c>
    </row>
    <row r="1039" spans="19:24">
      <c r="S1039" s="109">
        <f t="shared" si="33"/>
        <v>0</v>
      </c>
      <c r="W1039" s="109"/>
      <c r="X1039" s="40">
        <f t="shared" si="34"/>
        <v>0</v>
      </c>
    </row>
    <row r="1040" spans="19:24">
      <c r="S1040" s="109">
        <f t="shared" si="33"/>
        <v>0</v>
      </c>
      <c r="W1040" s="109"/>
      <c r="X1040" s="40">
        <f t="shared" si="34"/>
        <v>0</v>
      </c>
    </row>
    <row r="1041" spans="19:24">
      <c r="S1041" s="109">
        <f t="shared" si="33"/>
        <v>0</v>
      </c>
      <c r="W1041" s="109"/>
      <c r="X1041" s="40">
        <f t="shared" si="34"/>
        <v>0</v>
      </c>
    </row>
    <row r="1042" spans="19:24">
      <c r="S1042" s="109">
        <f t="shared" si="33"/>
        <v>0</v>
      </c>
      <c r="W1042" s="109"/>
      <c r="X1042" s="40">
        <f t="shared" si="34"/>
        <v>0</v>
      </c>
    </row>
    <row r="1043" spans="19:24">
      <c r="S1043" s="109">
        <f t="shared" si="33"/>
        <v>0</v>
      </c>
      <c r="W1043" s="109"/>
      <c r="X1043" s="40">
        <f t="shared" si="34"/>
        <v>0</v>
      </c>
    </row>
    <row r="1044" spans="19:24">
      <c r="S1044" s="109">
        <f t="shared" si="33"/>
        <v>0</v>
      </c>
      <c r="W1044" s="109"/>
      <c r="X1044" s="40">
        <f t="shared" si="34"/>
        <v>0</v>
      </c>
    </row>
    <row r="1045" spans="19:24">
      <c r="S1045" s="109">
        <f t="shared" si="33"/>
        <v>0</v>
      </c>
      <c r="W1045" s="109"/>
      <c r="X1045" s="40">
        <f t="shared" si="34"/>
        <v>0</v>
      </c>
    </row>
    <row r="1046" spans="19:24">
      <c r="S1046" s="109">
        <f t="shared" si="33"/>
        <v>0</v>
      </c>
      <c r="W1046" s="109"/>
      <c r="X1046" s="40">
        <f t="shared" si="34"/>
        <v>0</v>
      </c>
    </row>
    <row r="1047" spans="19:24">
      <c r="S1047" s="109">
        <f t="shared" si="33"/>
        <v>0</v>
      </c>
      <c r="W1047" s="109"/>
      <c r="X1047" s="40">
        <f t="shared" si="34"/>
        <v>0</v>
      </c>
    </row>
    <row r="1048" spans="19:24">
      <c r="S1048" s="109">
        <f t="shared" si="33"/>
        <v>0</v>
      </c>
      <c r="W1048" s="109"/>
      <c r="X1048" s="40">
        <f t="shared" si="34"/>
        <v>0</v>
      </c>
    </row>
    <row r="1049" spans="19:24">
      <c r="S1049" s="109">
        <f t="shared" si="33"/>
        <v>0</v>
      </c>
      <c r="W1049" s="109"/>
      <c r="X1049" s="40">
        <f t="shared" si="34"/>
        <v>0</v>
      </c>
    </row>
    <row r="1050" spans="19:24">
      <c r="S1050" s="109">
        <f t="shared" si="33"/>
        <v>0</v>
      </c>
      <c r="W1050" s="109"/>
      <c r="X1050" s="40">
        <f t="shared" si="34"/>
        <v>0</v>
      </c>
    </row>
    <row r="1051" spans="19:24">
      <c r="S1051" s="109">
        <f t="shared" si="33"/>
        <v>0</v>
      </c>
      <c r="W1051" s="109"/>
      <c r="X1051" s="40">
        <f t="shared" si="34"/>
        <v>0</v>
      </c>
    </row>
    <row r="1052" spans="19:24">
      <c r="S1052" s="109">
        <f t="shared" si="33"/>
        <v>0</v>
      </c>
      <c r="W1052" s="109"/>
      <c r="X1052" s="40">
        <f t="shared" si="34"/>
        <v>0</v>
      </c>
    </row>
    <row r="1053" spans="19:24">
      <c r="S1053" s="109">
        <f t="shared" si="33"/>
        <v>0</v>
      </c>
      <c r="W1053" s="109"/>
      <c r="X1053" s="40">
        <f t="shared" si="34"/>
        <v>0</v>
      </c>
    </row>
    <row r="1054" spans="19:24">
      <c r="S1054" s="109">
        <f t="shared" si="33"/>
        <v>0</v>
      </c>
      <c r="W1054" s="109"/>
      <c r="X1054" s="40">
        <f t="shared" si="34"/>
        <v>0</v>
      </c>
    </row>
    <row r="1055" spans="19:24">
      <c r="S1055" s="109">
        <f t="shared" si="33"/>
        <v>0</v>
      </c>
      <c r="W1055" s="109"/>
      <c r="X1055" s="40">
        <f t="shared" si="34"/>
        <v>0</v>
      </c>
    </row>
    <row r="1056" spans="19:24">
      <c r="S1056" s="109">
        <f t="shared" si="33"/>
        <v>0</v>
      </c>
      <c r="W1056" s="109"/>
      <c r="X1056" s="40">
        <f t="shared" si="34"/>
        <v>0</v>
      </c>
    </row>
    <row r="1057" spans="19:24">
      <c r="S1057" s="109">
        <f t="shared" si="33"/>
        <v>0</v>
      </c>
      <c r="W1057" s="109"/>
      <c r="X1057" s="40">
        <f t="shared" si="34"/>
        <v>0</v>
      </c>
    </row>
    <row r="1058" spans="19:24">
      <c r="S1058" s="109">
        <f t="shared" si="33"/>
        <v>0</v>
      </c>
      <c r="W1058" s="109"/>
      <c r="X1058" s="40">
        <f t="shared" si="34"/>
        <v>0</v>
      </c>
    </row>
    <row r="1059" spans="19:24">
      <c r="S1059" s="109">
        <f t="shared" si="33"/>
        <v>0</v>
      </c>
      <c r="W1059" s="109"/>
      <c r="X1059" s="40">
        <f t="shared" si="34"/>
        <v>0</v>
      </c>
    </row>
    <row r="1060" spans="19:24">
      <c r="S1060" s="109">
        <f t="shared" si="33"/>
        <v>0</v>
      </c>
      <c r="W1060" s="109"/>
      <c r="X1060" s="40">
        <f t="shared" si="34"/>
        <v>0</v>
      </c>
    </row>
    <row r="1061" spans="19:24">
      <c r="S1061" s="109">
        <f t="shared" si="33"/>
        <v>0</v>
      </c>
      <c r="W1061" s="109"/>
      <c r="X1061" s="40">
        <f t="shared" si="34"/>
        <v>0</v>
      </c>
    </row>
    <row r="1062" spans="19:24">
      <c r="S1062" s="109">
        <f t="shared" si="33"/>
        <v>0</v>
      </c>
      <c r="W1062" s="109"/>
      <c r="X1062" s="40">
        <f t="shared" si="34"/>
        <v>0</v>
      </c>
    </row>
    <row r="1063" spans="19:24">
      <c r="S1063" s="109">
        <f t="shared" si="33"/>
        <v>0</v>
      </c>
      <c r="W1063" s="109"/>
      <c r="X1063" s="40">
        <f t="shared" si="34"/>
        <v>0</v>
      </c>
    </row>
    <row r="1064" spans="19:24">
      <c r="S1064" s="109">
        <f t="shared" si="33"/>
        <v>0</v>
      </c>
      <c r="W1064" s="109"/>
      <c r="X1064" s="40">
        <f t="shared" si="34"/>
        <v>0</v>
      </c>
    </row>
    <row r="1065" spans="19:24">
      <c r="S1065" s="109">
        <f t="shared" si="33"/>
        <v>0</v>
      </c>
      <c r="W1065" s="109"/>
      <c r="X1065" s="40">
        <f t="shared" si="34"/>
        <v>0</v>
      </c>
    </row>
    <row r="1066" spans="19:24">
      <c r="S1066" s="109">
        <f t="shared" si="33"/>
        <v>0</v>
      </c>
      <c r="W1066" s="109"/>
      <c r="X1066" s="40">
        <f t="shared" si="34"/>
        <v>0</v>
      </c>
    </row>
    <row r="1067" spans="19:24">
      <c r="S1067" s="109">
        <f t="shared" si="33"/>
        <v>0</v>
      </c>
      <c r="W1067" s="109"/>
      <c r="X1067" s="40">
        <f t="shared" si="34"/>
        <v>0</v>
      </c>
    </row>
    <row r="1068" spans="19:24">
      <c r="S1068" s="109">
        <f t="shared" si="33"/>
        <v>0</v>
      </c>
      <c r="W1068" s="109"/>
      <c r="X1068" s="40">
        <f t="shared" si="34"/>
        <v>0</v>
      </c>
    </row>
    <row r="1069" spans="19:24">
      <c r="S1069" s="109">
        <f t="shared" si="33"/>
        <v>0</v>
      </c>
      <c r="W1069" s="109"/>
      <c r="X1069" s="40">
        <f t="shared" si="34"/>
        <v>0</v>
      </c>
    </row>
    <row r="1070" spans="19:24">
      <c r="S1070" s="109">
        <f t="shared" si="33"/>
        <v>0</v>
      </c>
      <c r="W1070" s="109"/>
      <c r="X1070" s="40">
        <f t="shared" si="34"/>
        <v>0</v>
      </c>
    </row>
    <row r="1071" spans="19:24">
      <c r="S1071" s="109">
        <f t="shared" si="33"/>
        <v>0</v>
      </c>
      <c r="W1071" s="109"/>
      <c r="X1071" s="40">
        <f t="shared" si="34"/>
        <v>0</v>
      </c>
    </row>
    <row r="1072" spans="19:24">
      <c r="S1072" s="109">
        <f t="shared" si="33"/>
        <v>0</v>
      </c>
      <c r="W1072" s="109"/>
      <c r="X1072" s="40">
        <f t="shared" si="34"/>
        <v>0</v>
      </c>
    </row>
    <row r="1073" spans="19:24">
      <c r="S1073" s="109">
        <f t="shared" si="33"/>
        <v>0</v>
      </c>
      <c r="W1073" s="109"/>
      <c r="X1073" s="40">
        <f t="shared" si="34"/>
        <v>0</v>
      </c>
    </row>
    <row r="1074" spans="19:24">
      <c r="S1074" s="109">
        <f t="shared" si="33"/>
        <v>0</v>
      </c>
      <c r="W1074" s="109"/>
      <c r="X1074" s="40">
        <f t="shared" si="34"/>
        <v>0</v>
      </c>
    </row>
    <row r="1075" spans="19:24">
      <c r="S1075" s="109">
        <f t="shared" si="33"/>
        <v>0</v>
      </c>
      <c r="W1075" s="109"/>
      <c r="X1075" s="40">
        <f t="shared" si="34"/>
        <v>0</v>
      </c>
    </row>
    <row r="1076" spans="19:24">
      <c r="S1076" s="109">
        <f t="shared" si="33"/>
        <v>0</v>
      </c>
      <c r="W1076" s="109"/>
      <c r="X1076" s="40">
        <f t="shared" si="34"/>
        <v>0</v>
      </c>
    </row>
    <row r="1077" spans="19:24">
      <c r="S1077" s="109">
        <f t="shared" si="33"/>
        <v>0</v>
      </c>
      <c r="W1077" s="109"/>
      <c r="X1077" s="40">
        <f t="shared" si="34"/>
        <v>0</v>
      </c>
    </row>
    <row r="1078" spans="19:24">
      <c r="S1078" s="109">
        <f t="shared" si="33"/>
        <v>0</v>
      </c>
      <c r="W1078" s="109"/>
      <c r="X1078" s="40">
        <f t="shared" si="34"/>
        <v>0</v>
      </c>
    </row>
    <row r="1079" spans="19:24">
      <c r="S1079" s="109">
        <f t="shared" si="33"/>
        <v>0</v>
      </c>
      <c r="W1079" s="109"/>
      <c r="X1079" s="40">
        <f t="shared" si="34"/>
        <v>0</v>
      </c>
    </row>
    <row r="1080" spans="19:24">
      <c r="S1080" s="109">
        <f t="shared" si="33"/>
        <v>0</v>
      </c>
      <c r="W1080" s="109"/>
      <c r="X1080" s="40">
        <f t="shared" si="34"/>
        <v>0</v>
      </c>
    </row>
    <row r="1081" spans="19:24">
      <c r="S1081" s="109">
        <f t="shared" si="33"/>
        <v>0</v>
      </c>
      <c r="W1081" s="109"/>
      <c r="X1081" s="40">
        <f t="shared" si="34"/>
        <v>0</v>
      </c>
    </row>
    <row r="1082" spans="19:24">
      <c r="S1082" s="109">
        <f t="shared" si="33"/>
        <v>0</v>
      </c>
      <c r="W1082" s="109"/>
      <c r="X1082" s="40">
        <f t="shared" si="34"/>
        <v>0</v>
      </c>
    </row>
    <row r="1083" spans="19:24">
      <c r="S1083" s="109">
        <f t="shared" si="33"/>
        <v>0</v>
      </c>
      <c r="W1083" s="109"/>
      <c r="X1083" s="40">
        <f t="shared" si="34"/>
        <v>0</v>
      </c>
    </row>
    <row r="1084" spans="19:24">
      <c r="S1084" s="109">
        <f t="shared" si="33"/>
        <v>0</v>
      </c>
      <c r="W1084" s="109"/>
      <c r="X1084" s="40">
        <f t="shared" si="34"/>
        <v>0</v>
      </c>
    </row>
    <row r="1085" spans="19:24">
      <c r="S1085" s="109">
        <f t="shared" si="33"/>
        <v>0</v>
      </c>
      <c r="W1085" s="109"/>
      <c r="X1085" s="40">
        <f t="shared" si="34"/>
        <v>0</v>
      </c>
    </row>
    <row r="1086" spans="19:24">
      <c r="S1086" s="109">
        <f t="shared" si="33"/>
        <v>0</v>
      </c>
      <c r="W1086" s="109"/>
      <c r="X1086" s="40">
        <f t="shared" si="34"/>
        <v>0</v>
      </c>
    </row>
    <row r="1087" spans="19:24">
      <c r="S1087" s="109">
        <f t="shared" si="33"/>
        <v>0</v>
      </c>
      <c r="W1087" s="109"/>
      <c r="X1087" s="40">
        <f t="shared" si="34"/>
        <v>0</v>
      </c>
    </row>
    <row r="1088" spans="19:24">
      <c r="S1088" s="109">
        <f t="shared" si="33"/>
        <v>0</v>
      </c>
      <c r="W1088" s="109"/>
      <c r="X1088" s="40">
        <f t="shared" si="34"/>
        <v>0</v>
      </c>
    </row>
    <row r="1089" spans="19:24">
      <c r="S1089" s="109">
        <f t="shared" si="33"/>
        <v>0</v>
      </c>
      <c r="W1089" s="109"/>
      <c r="X1089" s="40">
        <f t="shared" si="34"/>
        <v>0</v>
      </c>
    </row>
    <row r="1090" spans="19:24">
      <c r="S1090" s="109">
        <f t="shared" si="33"/>
        <v>0</v>
      </c>
      <c r="W1090" s="109"/>
      <c r="X1090" s="40">
        <f t="shared" si="34"/>
        <v>0</v>
      </c>
    </row>
    <row r="1091" spans="19:24">
      <c r="S1091" s="109">
        <f t="shared" ref="S1091:S1154" si="35">K1091-R1091</f>
        <v>0</v>
      </c>
      <c r="W1091" s="109"/>
      <c r="X1091" s="40">
        <f t="shared" ref="X1091:X1154" si="36">S1091-W1091</f>
        <v>0</v>
      </c>
    </row>
    <row r="1092" spans="19:24">
      <c r="S1092" s="109">
        <f t="shared" si="35"/>
        <v>0</v>
      </c>
      <c r="W1092" s="109"/>
      <c r="X1092" s="40">
        <f t="shared" si="36"/>
        <v>0</v>
      </c>
    </row>
    <row r="1093" spans="19:24">
      <c r="S1093" s="109">
        <f t="shared" si="35"/>
        <v>0</v>
      </c>
      <c r="W1093" s="109"/>
      <c r="X1093" s="40">
        <f t="shared" si="36"/>
        <v>0</v>
      </c>
    </row>
    <row r="1094" spans="19:24">
      <c r="S1094" s="109">
        <f t="shared" si="35"/>
        <v>0</v>
      </c>
      <c r="W1094" s="109"/>
      <c r="X1094" s="40">
        <f t="shared" si="36"/>
        <v>0</v>
      </c>
    </row>
    <row r="1095" spans="19:24">
      <c r="S1095" s="109">
        <f t="shared" si="35"/>
        <v>0</v>
      </c>
      <c r="W1095" s="109"/>
      <c r="X1095" s="40">
        <f t="shared" si="36"/>
        <v>0</v>
      </c>
    </row>
    <row r="1096" spans="19:24">
      <c r="S1096" s="109">
        <f t="shared" si="35"/>
        <v>0</v>
      </c>
      <c r="W1096" s="109"/>
      <c r="X1096" s="40">
        <f t="shared" si="36"/>
        <v>0</v>
      </c>
    </row>
    <row r="1097" spans="19:24">
      <c r="S1097" s="109">
        <f t="shared" si="35"/>
        <v>0</v>
      </c>
      <c r="W1097" s="109"/>
      <c r="X1097" s="40">
        <f t="shared" si="36"/>
        <v>0</v>
      </c>
    </row>
    <row r="1098" spans="19:24">
      <c r="S1098" s="109">
        <f t="shared" si="35"/>
        <v>0</v>
      </c>
      <c r="W1098" s="109"/>
      <c r="X1098" s="40">
        <f t="shared" si="36"/>
        <v>0</v>
      </c>
    </row>
    <row r="1099" spans="19:24">
      <c r="S1099" s="109">
        <f t="shared" si="35"/>
        <v>0</v>
      </c>
      <c r="W1099" s="109"/>
      <c r="X1099" s="40">
        <f t="shared" si="36"/>
        <v>0</v>
      </c>
    </row>
    <row r="1100" spans="19:24">
      <c r="S1100" s="109">
        <f t="shared" si="35"/>
        <v>0</v>
      </c>
      <c r="W1100" s="109"/>
      <c r="X1100" s="40">
        <f t="shared" si="36"/>
        <v>0</v>
      </c>
    </row>
    <row r="1101" spans="19:24">
      <c r="S1101" s="109">
        <f t="shared" si="35"/>
        <v>0</v>
      </c>
      <c r="W1101" s="109"/>
      <c r="X1101" s="40">
        <f t="shared" si="36"/>
        <v>0</v>
      </c>
    </row>
    <row r="1102" spans="19:24">
      <c r="S1102" s="109">
        <f t="shared" si="35"/>
        <v>0</v>
      </c>
      <c r="W1102" s="109"/>
      <c r="X1102" s="40">
        <f t="shared" si="36"/>
        <v>0</v>
      </c>
    </row>
    <row r="1103" spans="19:24">
      <c r="S1103" s="109">
        <f t="shared" si="35"/>
        <v>0</v>
      </c>
      <c r="W1103" s="109"/>
      <c r="X1103" s="40">
        <f t="shared" si="36"/>
        <v>0</v>
      </c>
    </row>
    <row r="1104" spans="19:24">
      <c r="S1104" s="109">
        <f t="shared" si="35"/>
        <v>0</v>
      </c>
      <c r="W1104" s="109"/>
      <c r="X1104" s="40">
        <f t="shared" si="36"/>
        <v>0</v>
      </c>
    </row>
    <row r="1105" spans="19:24">
      <c r="S1105" s="109">
        <f t="shared" si="35"/>
        <v>0</v>
      </c>
      <c r="W1105" s="109"/>
      <c r="X1105" s="40">
        <f t="shared" si="36"/>
        <v>0</v>
      </c>
    </row>
    <row r="1106" spans="19:24">
      <c r="S1106" s="109">
        <f t="shared" si="35"/>
        <v>0</v>
      </c>
      <c r="W1106" s="109"/>
      <c r="X1106" s="40">
        <f t="shared" si="36"/>
        <v>0</v>
      </c>
    </row>
    <row r="1107" spans="19:24">
      <c r="S1107" s="109">
        <f t="shared" si="35"/>
        <v>0</v>
      </c>
      <c r="W1107" s="109"/>
      <c r="X1107" s="40">
        <f t="shared" si="36"/>
        <v>0</v>
      </c>
    </row>
    <row r="1108" spans="19:24">
      <c r="S1108" s="109">
        <f t="shared" si="35"/>
        <v>0</v>
      </c>
      <c r="W1108" s="109"/>
      <c r="X1108" s="40">
        <f t="shared" si="36"/>
        <v>0</v>
      </c>
    </row>
    <row r="1109" spans="19:24">
      <c r="S1109" s="109">
        <f t="shared" si="35"/>
        <v>0</v>
      </c>
      <c r="W1109" s="109"/>
      <c r="X1109" s="40">
        <f t="shared" si="36"/>
        <v>0</v>
      </c>
    </row>
    <row r="1110" spans="19:24">
      <c r="S1110" s="109">
        <f t="shared" si="35"/>
        <v>0</v>
      </c>
      <c r="W1110" s="109"/>
      <c r="X1110" s="40">
        <f t="shared" si="36"/>
        <v>0</v>
      </c>
    </row>
    <row r="1111" spans="19:24">
      <c r="S1111" s="109">
        <f t="shared" si="35"/>
        <v>0</v>
      </c>
      <c r="W1111" s="109"/>
      <c r="X1111" s="40">
        <f t="shared" si="36"/>
        <v>0</v>
      </c>
    </row>
    <row r="1112" spans="19:24">
      <c r="S1112" s="109">
        <f t="shared" si="35"/>
        <v>0</v>
      </c>
      <c r="W1112" s="109"/>
      <c r="X1112" s="40">
        <f t="shared" si="36"/>
        <v>0</v>
      </c>
    </row>
    <row r="1113" spans="19:24">
      <c r="S1113" s="109">
        <f t="shared" si="35"/>
        <v>0</v>
      </c>
      <c r="W1113" s="109"/>
      <c r="X1113" s="40">
        <f t="shared" si="36"/>
        <v>0</v>
      </c>
    </row>
    <row r="1114" spans="19:24">
      <c r="S1114" s="109">
        <f t="shared" si="35"/>
        <v>0</v>
      </c>
      <c r="W1114" s="109"/>
      <c r="X1114" s="40">
        <f t="shared" si="36"/>
        <v>0</v>
      </c>
    </row>
    <row r="1115" spans="19:24">
      <c r="S1115" s="109">
        <f t="shared" si="35"/>
        <v>0</v>
      </c>
      <c r="W1115" s="109"/>
      <c r="X1115" s="40">
        <f t="shared" si="36"/>
        <v>0</v>
      </c>
    </row>
    <row r="1116" spans="19:24">
      <c r="S1116" s="109">
        <f t="shared" si="35"/>
        <v>0</v>
      </c>
      <c r="W1116" s="109"/>
      <c r="X1116" s="40">
        <f t="shared" si="36"/>
        <v>0</v>
      </c>
    </row>
    <row r="1117" spans="19:24">
      <c r="S1117" s="109">
        <f t="shared" si="35"/>
        <v>0</v>
      </c>
      <c r="W1117" s="109"/>
      <c r="X1117" s="40">
        <f t="shared" si="36"/>
        <v>0</v>
      </c>
    </row>
    <row r="1118" spans="19:24">
      <c r="S1118" s="109">
        <f t="shared" si="35"/>
        <v>0</v>
      </c>
      <c r="W1118" s="109"/>
      <c r="X1118" s="40">
        <f t="shared" si="36"/>
        <v>0</v>
      </c>
    </row>
    <row r="1119" spans="19:24">
      <c r="S1119" s="109">
        <f t="shared" si="35"/>
        <v>0</v>
      </c>
      <c r="W1119" s="109"/>
      <c r="X1119" s="40">
        <f t="shared" si="36"/>
        <v>0</v>
      </c>
    </row>
    <row r="1120" spans="19:24">
      <c r="S1120" s="109">
        <f t="shared" si="35"/>
        <v>0</v>
      </c>
      <c r="W1120" s="109"/>
      <c r="X1120" s="40">
        <f t="shared" si="36"/>
        <v>0</v>
      </c>
    </row>
    <row r="1121" spans="19:24">
      <c r="S1121" s="109">
        <f t="shared" si="35"/>
        <v>0</v>
      </c>
      <c r="W1121" s="109"/>
      <c r="X1121" s="40">
        <f t="shared" si="36"/>
        <v>0</v>
      </c>
    </row>
    <row r="1122" spans="19:24">
      <c r="S1122" s="109">
        <f t="shared" si="35"/>
        <v>0</v>
      </c>
      <c r="W1122" s="109"/>
      <c r="X1122" s="40">
        <f t="shared" si="36"/>
        <v>0</v>
      </c>
    </row>
    <row r="1123" spans="19:24">
      <c r="S1123" s="109">
        <f t="shared" si="35"/>
        <v>0</v>
      </c>
      <c r="W1123" s="109"/>
      <c r="X1123" s="40">
        <f t="shared" si="36"/>
        <v>0</v>
      </c>
    </row>
    <row r="1124" spans="19:24">
      <c r="S1124" s="109">
        <f t="shared" si="35"/>
        <v>0</v>
      </c>
      <c r="W1124" s="109"/>
      <c r="X1124" s="40">
        <f t="shared" si="36"/>
        <v>0</v>
      </c>
    </row>
    <row r="1125" spans="19:24">
      <c r="S1125" s="109">
        <f t="shared" si="35"/>
        <v>0</v>
      </c>
      <c r="W1125" s="109"/>
      <c r="X1125" s="40">
        <f t="shared" si="36"/>
        <v>0</v>
      </c>
    </row>
    <row r="1126" spans="19:24">
      <c r="S1126" s="109">
        <f t="shared" si="35"/>
        <v>0</v>
      </c>
      <c r="W1126" s="109"/>
      <c r="X1126" s="40">
        <f t="shared" si="36"/>
        <v>0</v>
      </c>
    </row>
    <row r="1127" spans="19:24">
      <c r="S1127" s="109">
        <f t="shared" si="35"/>
        <v>0</v>
      </c>
      <c r="W1127" s="109"/>
      <c r="X1127" s="40">
        <f t="shared" si="36"/>
        <v>0</v>
      </c>
    </row>
    <row r="1128" spans="19:24">
      <c r="S1128" s="109">
        <f t="shared" si="35"/>
        <v>0</v>
      </c>
      <c r="W1128" s="109"/>
      <c r="X1128" s="40">
        <f t="shared" si="36"/>
        <v>0</v>
      </c>
    </row>
    <row r="1129" spans="19:24">
      <c r="S1129" s="109">
        <f t="shared" si="35"/>
        <v>0</v>
      </c>
      <c r="W1129" s="109"/>
      <c r="X1129" s="40">
        <f t="shared" si="36"/>
        <v>0</v>
      </c>
    </row>
    <row r="1130" spans="19:24">
      <c r="S1130" s="109">
        <f t="shared" si="35"/>
        <v>0</v>
      </c>
      <c r="W1130" s="109"/>
      <c r="X1130" s="40">
        <f t="shared" si="36"/>
        <v>0</v>
      </c>
    </row>
    <row r="1131" spans="19:24">
      <c r="S1131" s="109">
        <f t="shared" si="35"/>
        <v>0</v>
      </c>
      <c r="W1131" s="109"/>
      <c r="X1131" s="40">
        <f t="shared" si="36"/>
        <v>0</v>
      </c>
    </row>
    <row r="1132" spans="19:24">
      <c r="S1132" s="109">
        <f t="shared" si="35"/>
        <v>0</v>
      </c>
      <c r="W1132" s="109"/>
      <c r="X1132" s="40">
        <f t="shared" si="36"/>
        <v>0</v>
      </c>
    </row>
    <row r="1133" spans="19:24">
      <c r="S1133" s="109">
        <f t="shared" si="35"/>
        <v>0</v>
      </c>
      <c r="W1133" s="109"/>
      <c r="X1133" s="40">
        <f t="shared" si="36"/>
        <v>0</v>
      </c>
    </row>
    <row r="1134" spans="19:24">
      <c r="S1134" s="109">
        <f t="shared" si="35"/>
        <v>0</v>
      </c>
      <c r="W1134" s="109"/>
      <c r="X1134" s="40">
        <f t="shared" si="36"/>
        <v>0</v>
      </c>
    </row>
    <row r="1135" spans="19:24">
      <c r="S1135" s="109">
        <f t="shared" si="35"/>
        <v>0</v>
      </c>
      <c r="W1135" s="109"/>
      <c r="X1135" s="40">
        <f t="shared" si="36"/>
        <v>0</v>
      </c>
    </row>
    <row r="1136" spans="19:24">
      <c r="S1136" s="109">
        <f t="shared" si="35"/>
        <v>0</v>
      </c>
      <c r="W1136" s="109"/>
      <c r="X1136" s="40">
        <f t="shared" si="36"/>
        <v>0</v>
      </c>
    </row>
    <row r="1137" spans="19:24">
      <c r="S1137" s="109">
        <f t="shared" si="35"/>
        <v>0</v>
      </c>
      <c r="W1137" s="109"/>
      <c r="X1137" s="40">
        <f t="shared" si="36"/>
        <v>0</v>
      </c>
    </row>
    <row r="1138" spans="19:24">
      <c r="S1138" s="109">
        <f t="shared" si="35"/>
        <v>0</v>
      </c>
      <c r="W1138" s="109"/>
      <c r="X1138" s="40">
        <f t="shared" si="36"/>
        <v>0</v>
      </c>
    </row>
    <row r="1139" spans="19:24">
      <c r="S1139" s="109">
        <f t="shared" si="35"/>
        <v>0</v>
      </c>
      <c r="W1139" s="109"/>
      <c r="X1139" s="40">
        <f t="shared" si="36"/>
        <v>0</v>
      </c>
    </row>
    <row r="1140" spans="19:24">
      <c r="S1140" s="109">
        <f t="shared" si="35"/>
        <v>0</v>
      </c>
      <c r="W1140" s="109"/>
      <c r="X1140" s="40">
        <f t="shared" si="36"/>
        <v>0</v>
      </c>
    </row>
    <row r="1141" spans="19:24">
      <c r="S1141" s="109">
        <f t="shared" si="35"/>
        <v>0</v>
      </c>
      <c r="W1141" s="109"/>
      <c r="X1141" s="40">
        <f t="shared" si="36"/>
        <v>0</v>
      </c>
    </row>
    <row r="1142" spans="19:24">
      <c r="S1142" s="109">
        <f t="shared" si="35"/>
        <v>0</v>
      </c>
      <c r="W1142" s="109"/>
      <c r="X1142" s="40">
        <f t="shared" si="36"/>
        <v>0</v>
      </c>
    </row>
    <row r="1143" spans="19:24">
      <c r="S1143" s="109">
        <f t="shared" si="35"/>
        <v>0</v>
      </c>
      <c r="W1143" s="109"/>
      <c r="X1143" s="40">
        <f t="shared" si="36"/>
        <v>0</v>
      </c>
    </row>
    <row r="1144" spans="19:24">
      <c r="S1144" s="109">
        <f t="shared" si="35"/>
        <v>0</v>
      </c>
      <c r="W1144" s="109"/>
      <c r="X1144" s="40">
        <f t="shared" si="36"/>
        <v>0</v>
      </c>
    </row>
    <row r="1145" spans="19:24">
      <c r="S1145" s="109">
        <f t="shared" si="35"/>
        <v>0</v>
      </c>
      <c r="W1145" s="109"/>
      <c r="X1145" s="40">
        <f t="shared" si="36"/>
        <v>0</v>
      </c>
    </row>
    <row r="1146" spans="19:24">
      <c r="S1146" s="109">
        <f t="shared" si="35"/>
        <v>0</v>
      </c>
      <c r="W1146" s="109"/>
      <c r="X1146" s="40">
        <f t="shared" si="36"/>
        <v>0</v>
      </c>
    </row>
    <row r="1147" spans="19:24">
      <c r="S1147" s="109">
        <f t="shared" si="35"/>
        <v>0</v>
      </c>
      <c r="W1147" s="109"/>
      <c r="X1147" s="40">
        <f t="shared" si="36"/>
        <v>0</v>
      </c>
    </row>
    <row r="1148" spans="19:24">
      <c r="S1148" s="109">
        <f t="shared" si="35"/>
        <v>0</v>
      </c>
      <c r="W1148" s="109"/>
      <c r="X1148" s="40">
        <f t="shared" si="36"/>
        <v>0</v>
      </c>
    </row>
    <row r="1149" spans="19:24">
      <c r="S1149" s="109">
        <f t="shared" si="35"/>
        <v>0</v>
      </c>
      <c r="W1149" s="109"/>
      <c r="X1149" s="40">
        <f t="shared" si="36"/>
        <v>0</v>
      </c>
    </row>
    <row r="1150" spans="19:24">
      <c r="S1150" s="109">
        <f t="shared" si="35"/>
        <v>0</v>
      </c>
      <c r="W1150" s="109"/>
      <c r="X1150" s="40">
        <f t="shared" si="36"/>
        <v>0</v>
      </c>
    </row>
    <row r="1151" spans="19:24">
      <c r="S1151" s="109">
        <f t="shared" si="35"/>
        <v>0</v>
      </c>
      <c r="W1151" s="109"/>
      <c r="X1151" s="40">
        <f t="shared" si="36"/>
        <v>0</v>
      </c>
    </row>
    <row r="1152" spans="19:24">
      <c r="S1152" s="109">
        <f t="shared" si="35"/>
        <v>0</v>
      </c>
      <c r="W1152" s="109"/>
      <c r="X1152" s="40">
        <f t="shared" si="36"/>
        <v>0</v>
      </c>
    </row>
    <row r="1153" spans="19:24">
      <c r="S1153" s="109">
        <f t="shared" si="35"/>
        <v>0</v>
      </c>
      <c r="W1153" s="109"/>
      <c r="X1153" s="40">
        <f t="shared" si="36"/>
        <v>0</v>
      </c>
    </row>
    <row r="1154" spans="19:24">
      <c r="S1154" s="109">
        <f t="shared" si="35"/>
        <v>0</v>
      </c>
      <c r="W1154" s="109"/>
      <c r="X1154" s="40">
        <f t="shared" si="36"/>
        <v>0</v>
      </c>
    </row>
    <row r="1155" spans="19:24">
      <c r="S1155" s="109">
        <f t="shared" ref="S1155:S1218" si="37">K1155-R1155</f>
        <v>0</v>
      </c>
      <c r="W1155" s="109"/>
      <c r="X1155" s="40">
        <f t="shared" ref="X1155:X1218" si="38">S1155-W1155</f>
        <v>0</v>
      </c>
    </row>
    <row r="1156" spans="19:24">
      <c r="S1156" s="109">
        <f t="shared" si="37"/>
        <v>0</v>
      </c>
      <c r="W1156" s="109"/>
      <c r="X1156" s="40">
        <f t="shared" si="38"/>
        <v>0</v>
      </c>
    </row>
    <row r="1157" spans="19:24">
      <c r="S1157" s="109">
        <f t="shared" si="37"/>
        <v>0</v>
      </c>
      <c r="W1157" s="109"/>
      <c r="X1157" s="40">
        <f t="shared" si="38"/>
        <v>0</v>
      </c>
    </row>
    <row r="1158" spans="19:24">
      <c r="S1158" s="109">
        <f t="shared" si="37"/>
        <v>0</v>
      </c>
      <c r="W1158" s="109"/>
      <c r="X1158" s="40">
        <f t="shared" si="38"/>
        <v>0</v>
      </c>
    </row>
    <row r="1159" spans="19:24">
      <c r="S1159" s="109">
        <f t="shared" si="37"/>
        <v>0</v>
      </c>
      <c r="W1159" s="109"/>
      <c r="X1159" s="40">
        <f t="shared" si="38"/>
        <v>0</v>
      </c>
    </row>
    <row r="1160" spans="19:24">
      <c r="S1160" s="109">
        <f t="shared" si="37"/>
        <v>0</v>
      </c>
      <c r="W1160" s="109"/>
      <c r="X1160" s="40">
        <f t="shared" si="38"/>
        <v>0</v>
      </c>
    </row>
    <row r="1161" spans="19:24">
      <c r="S1161" s="109">
        <f t="shared" si="37"/>
        <v>0</v>
      </c>
      <c r="W1161" s="109"/>
      <c r="X1161" s="40">
        <f t="shared" si="38"/>
        <v>0</v>
      </c>
    </row>
    <row r="1162" spans="19:24">
      <c r="S1162" s="109">
        <f t="shared" si="37"/>
        <v>0</v>
      </c>
      <c r="W1162" s="109"/>
      <c r="X1162" s="40">
        <f t="shared" si="38"/>
        <v>0</v>
      </c>
    </row>
    <row r="1163" spans="19:24">
      <c r="S1163" s="109">
        <f t="shared" si="37"/>
        <v>0</v>
      </c>
      <c r="W1163" s="109"/>
      <c r="X1163" s="40">
        <f t="shared" si="38"/>
        <v>0</v>
      </c>
    </row>
    <row r="1164" spans="19:24">
      <c r="S1164" s="109">
        <f t="shared" si="37"/>
        <v>0</v>
      </c>
      <c r="W1164" s="109"/>
      <c r="X1164" s="40">
        <f t="shared" si="38"/>
        <v>0</v>
      </c>
    </row>
    <row r="1165" spans="19:24">
      <c r="S1165" s="109">
        <f t="shared" si="37"/>
        <v>0</v>
      </c>
      <c r="W1165" s="109"/>
      <c r="X1165" s="40">
        <f t="shared" si="38"/>
        <v>0</v>
      </c>
    </row>
    <row r="1166" spans="19:24">
      <c r="S1166" s="109">
        <f t="shared" si="37"/>
        <v>0</v>
      </c>
      <c r="W1166" s="109"/>
      <c r="X1166" s="40">
        <f t="shared" si="38"/>
        <v>0</v>
      </c>
    </row>
    <row r="1167" spans="19:24">
      <c r="S1167" s="109">
        <f t="shared" si="37"/>
        <v>0</v>
      </c>
      <c r="W1167" s="109"/>
      <c r="X1167" s="40">
        <f t="shared" si="38"/>
        <v>0</v>
      </c>
    </row>
    <row r="1168" spans="19:24">
      <c r="S1168" s="109">
        <f t="shared" si="37"/>
        <v>0</v>
      </c>
      <c r="W1168" s="109"/>
      <c r="X1168" s="40">
        <f t="shared" si="38"/>
        <v>0</v>
      </c>
    </row>
    <row r="1169" spans="19:24">
      <c r="S1169" s="109">
        <f t="shared" si="37"/>
        <v>0</v>
      </c>
      <c r="W1169" s="109"/>
      <c r="X1169" s="40">
        <f t="shared" si="38"/>
        <v>0</v>
      </c>
    </row>
    <row r="1170" spans="19:24">
      <c r="S1170" s="109">
        <f t="shared" si="37"/>
        <v>0</v>
      </c>
      <c r="W1170" s="109"/>
      <c r="X1170" s="40">
        <f t="shared" si="38"/>
        <v>0</v>
      </c>
    </row>
    <row r="1171" spans="19:24">
      <c r="S1171" s="109">
        <f t="shared" si="37"/>
        <v>0</v>
      </c>
      <c r="W1171" s="109"/>
      <c r="X1171" s="40">
        <f t="shared" si="38"/>
        <v>0</v>
      </c>
    </row>
    <row r="1172" spans="19:24">
      <c r="S1172" s="109">
        <f t="shared" si="37"/>
        <v>0</v>
      </c>
      <c r="W1172" s="109"/>
      <c r="X1172" s="40">
        <f t="shared" si="38"/>
        <v>0</v>
      </c>
    </row>
    <row r="1173" spans="19:24">
      <c r="S1173" s="109">
        <f t="shared" si="37"/>
        <v>0</v>
      </c>
      <c r="W1173" s="109"/>
      <c r="X1173" s="40">
        <f t="shared" si="38"/>
        <v>0</v>
      </c>
    </row>
    <row r="1174" spans="19:24">
      <c r="S1174" s="109">
        <f t="shared" si="37"/>
        <v>0</v>
      </c>
      <c r="W1174" s="109"/>
      <c r="X1174" s="40">
        <f t="shared" si="38"/>
        <v>0</v>
      </c>
    </row>
    <row r="1175" spans="19:24">
      <c r="S1175" s="109">
        <f t="shared" si="37"/>
        <v>0</v>
      </c>
      <c r="W1175" s="109"/>
      <c r="X1175" s="40">
        <f t="shared" si="38"/>
        <v>0</v>
      </c>
    </row>
    <row r="1176" spans="19:24">
      <c r="S1176" s="109">
        <f t="shared" si="37"/>
        <v>0</v>
      </c>
      <c r="W1176" s="109"/>
      <c r="X1176" s="40">
        <f t="shared" si="38"/>
        <v>0</v>
      </c>
    </row>
    <row r="1177" spans="19:24">
      <c r="S1177" s="109">
        <f t="shared" si="37"/>
        <v>0</v>
      </c>
      <c r="W1177" s="109"/>
      <c r="X1177" s="40">
        <f t="shared" si="38"/>
        <v>0</v>
      </c>
    </row>
    <row r="1178" spans="19:24">
      <c r="S1178" s="109">
        <f t="shared" si="37"/>
        <v>0</v>
      </c>
      <c r="W1178" s="109"/>
      <c r="X1178" s="40">
        <f t="shared" si="38"/>
        <v>0</v>
      </c>
    </row>
    <row r="1179" spans="19:24">
      <c r="S1179" s="109">
        <f t="shared" si="37"/>
        <v>0</v>
      </c>
      <c r="W1179" s="109"/>
      <c r="X1179" s="40">
        <f t="shared" si="38"/>
        <v>0</v>
      </c>
    </row>
    <row r="1180" spans="19:24">
      <c r="S1180" s="109">
        <f t="shared" si="37"/>
        <v>0</v>
      </c>
      <c r="W1180" s="109"/>
      <c r="X1180" s="40">
        <f t="shared" si="38"/>
        <v>0</v>
      </c>
    </row>
    <row r="1181" spans="19:24">
      <c r="S1181" s="109">
        <f t="shared" si="37"/>
        <v>0</v>
      </c>
      <c r="W1181" s="109"/>
      <c r="X1181" s="40">
        <f t="shared" si="38"/>
        <v>0</v>
      </c>
    </row>
    <row r="1182" spans="19:24">
      <c r="S1182" s="109">
        <f t="shared" si="37"/>
        <v>0</v>
      </c>
      <c r="W1182" s="109"/>
      <c r="X1182" s="40">
        <f t="shared" si="38"/>
        <v>0</v>
      </c>
    </row>
    <row r="1183" spans="19:24">
      <c r="S1183" s="109">
        <f t="shared" si="37"/>
        <v>0</v>
      </c>
      <c r="W1183" s="109"/>
      <c r="X1183" s="40">
        <f t="shared" si="38"/>
        <v>0</v>
      </c>
    </row>
    <row r="1184" spans="19:24">
      <c r="S1184" s="109">
        <f t="shared" si="37"/>
        <v>0</v>
      </c>
      <c r="W1184" s="109"/>
      <c r="X1184" s="40">
        <f t="shared" si="38"/>
        <v>0</v>
      </c>
    </row>
    <row r="1185" spans="19:24">
      <c r="S1185" s="109">
        <f t="shared" si="37"/>
        <v>0</v>
      </c>
      <c r="W1185" s="109"/>
      <c r="X1185" s="40">
        <f t="shared" si="38"/>
        <v>0</v>
      </c>
    </row>
    <row r="1186" spans="19:24">
      <c r="S1186" s="109">
        <f t="shared" si="37"/>
        <v>0</v>
      </c>
      <c r="W1186" s="109"/>
      <c r="X1186" s="40">
        <f t="shared" si="38"/>
        <v>0</v>
      </c>
    </row>
    <row r="1187" spans="19:24">
      <c r="S1187" s="109">
        <f t="shared" si="37"/>
        <v>0</v>
      </c>
      <c r="W1187" s="109"/>
      <c r="X1187" s="40">
        <f t="shared" si="38"/>
        <v>0</v>
      </c>
    </row>
    <row r="1188" spans="19:24">
      <c r="S1188" s="109">
        <f t="shared" si="37"/>
        <v>0</v>
      </c>
      <c r="W1188" s="109"/>
      <c r="X1188" s="40">
        <f t="shared" si="38"/>
        <v>0</v>
      </c>
    </row>
    <row r="1189" spans="19:24">
      <c r="S1189" s="109">
        <f t="shared" si="37"/>
        <v>0</v>
      </c>
      <c r="W1189" s="109"/>
      <c r="X1189" s="40">
        <f t="shared" si="38"/>
        <v>0</v>
      </c>
    </row>
    <row r="1190" spans="19:24">
      <c r="S1190" s="109">
        <f t="shared" si="37"/>
        <v>0</v>
      </c>
      <c r="W1190" s="109"/>
      <c r="X1190" s="40">
        <f t="shared" si="38"/>
        <v>0</v>
      </c>
    </row>
    <row r="1191" spans="19:24">
      <c r="S1191" s="109">
        <f t="shared" si="37"/>
        <v>0</v>
      </c>
      <c r="W1191" s="109"/>
      <c r="X1191" s="40">
        <f t="shared" si="38"/>
        <v>0</v>
      </c>
    </row>
    <row r="1192" spans="19:24">
      <c r="S1192" s="109">
        <f t="shared" si="37"/>
        <v>0</v>
      </c>
      <c r="W1192" s="109"/>
      <c r="X1192" s="40">
        <f t="shared" si="38"/>
        <v>0</v>
      </c>
    </row>
    <row r="1193" spans="19:24">
      <c r="S1193" s="109">
        <f t="shared" si="37"/>
        <v>0</v>
      </c>
      <c r="W1193" s="109"/>
      <c r="X1193" s="40">
        <f t="shared" si="38"/>
        <v>0</v>
      </c>
    </row>
    <row r="1194" spans="19:24">
      <c r="S1194" s="109">
        <f t="shared" si="37"/>
        <v>0</v>
      </c>
      <c r="W1194" s="109"/>
      <c r="X1194" s="40">
        <f t="shared" si="38"/>
        <v>0</v>
      </c>
    </row>
    <row r="1195" spans="19:24">
      <c r="S1195" s="109">
        <f t="shared" si="37"/>
        <v>0</v>
      </c>
      <c r="W1195" s="109"/>
      <c r="X1195" s="40">
        <f t="shared" si="38"/>
        <v>0</v>
      </c>
    </row>
    <row r="1196" spans="19:24">
      <c r="S1196" s="109">
        <f t="shared" si="37"/>
        <v>0</v>
      </c>
      <c r="W1196" s="109"/>
      <c r="X1196" s="40">
        <f t="shared" si="38"/>
        <v>0</v>
      </c>
    </row>
    <row r="1197" spans="19:24">
      <c r="S1197" s="109">
        <f t="shared" si="37"/>
        <v>0</v>
      </c>
      <c r="W1197" s="109"/>
      <c r="X1197" s="40">
        <f t="shared" si="38"/>
        <v>0</v>
      </c>
    </row>
    <row r="1198" spans="19:24">
      <c r="S1198" s="109">
        <f t="shared" si="37"/>
        <v>0</v>
      </c>
      <c r="W1198" s="109"/>
      <c r="X1198" s="40">
        <f t="shared" si="38"/>
        <v>0</v>
      </c>
    </row>
    <row r="1199" spans="19:24">
      <c r="S1199" s="109">
        <f t="shared" si="37"/>
        <v>0</v>
      </c>
      <c r="W1199" s="109"/>
      <c r="X1199" s="40">
        <f t="shared" si="38"/>
        <v>0</v>
      </c>
    </row>
    <row r="1200" spans="19:24">
      <c r="S1200" s="109">
        <f t="shared" si="37"/>
        <v>0</v>
      </c>
      <c r="W1200" s="109"/>
      <c r="X1200" s="40">
        <f t="shared" si="38"/>
        <v>0</v>
      </c>
    </row>
    <row r="1201" spans="19:24">
      <c r="S1201" s="109">
        <f t="shared" si="37"/>
        <v>0</v>
      </c>
      <c r="W1201" s="109"/>
      <c r="X1201" s="40">
        <f t="shared" si="38"/>
        <v>0</v>
      </c>
    </row>
    <row r="1202" spans="19:24">
      <c r="S1202" s="109">
        <f t="shared" si="37"/>
        <v>0</v>
      </c>
      <c r="W1202" s="109"/>
      <c r="X1202" s="40">
        <f t="shared" si="38"/>
        <v>0</v>
      </c>
    </row>
    <row r="1203" spans="19:24">
      <c r="S1203" s="109">
        <f t="shared" si="37"/>
        <v>0</v>
      </c>
      <c r="W1203" s="109"/>
      <c r="X1203" s="40">
        <f t="shared" si="38"/>
        <v>0</v>
      </c>
    </row>
    <row r="1204" spans="19:24">
      <c r="S1204" s="109">
        <f t="shared" si="37"/>
        <v>0</v>
      </c>
      <c r="W1204" s="109"/>
      <c r="X1204" s="40">
        <f t="shared" si="38"/>
        <v>0</v>
      </c>
    </row>
    <row r="1205" spans="19:24">
      <c r="S1205" s="109">
        <f t="shared" si="37"/>
        <v>0</v>
      </c>
      <c r="W1205" s="109"/>
      <c r="X1205" s="40">
        <f t="shared" si="38"/>
        <v>0</v>
      </c>
    </row>
    <row r="1206" spans="19:24">
      <c r="S1206" s="109">
        <f t="shared" si="37"/>
        <v>0</v>
      </c>
      <c r="W1206" s="109"/>
      <c r="X1206" s="40">
        <f t="shared" si="38"/>
        <v>0</v>
      </c>
    </row>
    <row r="1207" spans="19:24">
      <c r="S1207" s="109">
        <f t="shared" si="37"/>
        <v>0</v>
      </c>
      <c r="W1207" s="109"/>
      <c r="X1207" s="40">
        <f t="shared" si="38"/>
        <v>0</v>
      </c>
    </row>
    <row r="1208" spans="19:24">
      <c r="S1208" s="109">
        <f t="shared" si="37"/>
        <v>0</v>
      </c>
      <c r="W1208" s="109"/>
      <c r="X1208" s="40">
        <f t="shared" si="38"/>
        <v>0</v>
      </c>
    </row>
    <row r="1209" spans="19:24">
      <c r="S1209" s="109">
        <f t="shared" si="37"/>
        <v>0</v>
      </c>
      <c r="W1209" s="109"/>
      <c r="X1209" s="40">
        <f t="shared" si="38"/>
        <v>0</v>
      </c>
    </row>
    <row r="1210" spans="19:24">
      <c r="S1210" s="109">
        <f t="shared" si="37"/>
        <v>0</v>
      </c>
      <c r="W1210" s="109"/>
      <c r="X1210" s="40">
        <f t="shared" si="38"/>
        <v>0</v>
      </c>
    </row>
    <row r="1211" spans="19:24">
      <c r="S1211" s="109">
        <f t="shared" si="37"/>
        <v>0</v>
      </c>
      <c r="W1211" s="109"/>
      <c r="X1211" s="40">
        <f t="shared" si="38"/>
        <v>0</v>
      </c>
    </row>
    <row r="1212" spans="19:24">
      <c r="S1212" s="109">
        <f t="shared" si="37"/>
        <v>0</v>
      </c>
      <c r="W1212" s="109"/>
      <c r="X1212" s="40">
        <f t="shared" si="38"/>
        <v>0</v>
      </c>
    </row>
    <row r="1213" spans="19:24">
      <c r="S1213" s="109">
        <f t="shared" si="37"/>
        <v>0</v>
      </c>
      <c r="W1213" s="109"/>
      <c r="X1213" s="40">
        <f t="shared" si="38"/>
        <v>0</v>
      </c>
    </row>
    <row r="1214" spans="19:24">
      <c r="S1214" s="109">
        <f t="shared" si="37"/>
        <v>0</v>
      </c>
      <c r="W1214" s="109"/>
      <c r="X1214" s="40">
        <f t="shared" si="38"/>
        <v>0</v>
      </c>
    </row>
    <row r="1215" spans="19:24">
      <c r="S1215" s="109">
        <f t="shared" si="37"/>
        <v>0</v>
      </c>
      <c r="W1215" s="109"/>
      <c r="X1215" s="40">
        <f t="shared" si="38"/>
        <v>0</v>
      </c>
    </row>
    <row r="1216" spans="19:24">
      <c r="S1216" s="109">
        <f t="shared" si="37"/>
        <v>0</v>
      </c>
      <c r="W1216" s="109"/>
      <c r="X1216" s="40">
        <f t="shared" si="38"/>
        <v>0</v>
      </c>
    </row>
    <row r="1217" spans="19:24">
      <c r="S1217" s="109">
        <f t="shared" si="37"/>
        <v>0</v>
      </c>
      <c r="W1217" s="109"/>
      <c r="X1217" s="40">
        <f t="shared" si="38"/>
        <v>0</v>
      </c>
    </row>
    <row r="1218" spans="19:24">
      <c r="S1218" s="109">
        <f t="shared" si="37"/>
        <v>0</v>
      </c>
      <c r="W1218" s="109"/>
      <c r="X1218" s="40">
        <f t="shared" si="38"/>
        <v>0</v>
      </c>
    </row>
    <row r="1219" spans="19:24">
      <c r="S1219" s="109">
        <f t="shared" ref="S1219:S1282" si="39">K1219-R1219</f>
        <v>0</v>
      </c>
      <c r="W1219" s="109"/>
      <c r="X1219" s="40">
        <f t="shared" ref="X1219:X1282" si="40">S1219-W1219</f>
        <v>0</v>
      </c>
    </row>
    <row r="1220" spans="19:24">
      <c r="S1220" s="109">
        <f t="shared" si="39"/>
        <v>0</v>
      </c>
      <c r="W1220" s="109"/>
      <c r="X1220" s="40">
        <f t="shared" si="40"/>
        <v>0</v>
      </c>
    </row>
    <row r="1221" spans="19:24">
      <c r="S1221" s="109">
        <f t="shared" si="39"/>
        <v>0</v>
      </c>
      <c r="W1221" s="109"/>
      <c r="X1221" s="40">
        <f t="shared" si="40"/>
        <v>0</v>
      </c>
    </row>
    <row r="1222" spans="19:24">
      <c r="S1222" s="109">
        <f t="shared" si="39"/>
        <v>0</v>
      </c>
      <c r="W1222" s="109"/>
      <c r="X1222" s="40">
        <f t="shared" si="40"/>
        <v>0</v>
      </c>
    </row>
    <row r="1223" spans="19:24">
      <c r="S1223" s="109">
        <f t="shared" si="39"/>
        <v>0</v>
      </c>
      <c r="W1223" s="109"/>
      <c r="X1223" s="40">
        <f t="shared" si="40"/>
        <v>0</v>
      </c>
    </row>
    <row r="1224" spans="19:24">
      <c r="S1224" s="109">
        <f t="shared" si="39"/>
        <v>0</v>
      </c>
      <c r="W1224" s="109"/>
      <c r="X1224" s="40">
        <f t="shared" si="40"/>
        <v>0</v>
      </c>
    </row>
    <row r="1225" spans="19:24">
      <c r="S1225" s="109">
        <f t="shared" si="39"/>
        <v>0</v>
      </c>
      <c r="W1225" s="109"/>
      <c r="X1225" s="40">
        <f t="shared" si="40"/>
        <v>0</v>
      </c>
    </row>
    <row r="1226" spans="19:24">
      <c r="S1226" s="109">
        <f t="shared" si="39"/>
        <v>0</v>
      </c>
      <c r="W1226" s="109"/>
      <c r="X1226" s="40">
        <f t="shared" si="40"/>
        <v>0</v>
      </c>
    </row>
    <row r="1227" spans="19:24">
      <c r="S1227" s="109">
        <f t="shared" si="39"/>
        <v>0</v>
      </c>
      <c r="W1227" s="109"/>
      <c r="X1227" s="40">
        <f t="shared" si="40"/>
        <v>0</v>
      </c>
    </row>
    <row r="1228" spans="19:24">
      <c r="S1228" s="109">
        <f t="shared" si="39"/>
        <v>0</v>
      </c>
      <c r="W1228" s="109"/>
      <c r="X1228" s="40">
        <f t="shared" si="40"/>
        <v>0</v>
      </c>
    </row>
    <row r="1229" spans="19:24">
      <c r="S1229" s="109">
        <f t="shared" si="39"/>
        <v>0</v>
      </c>
      <c r="W1229" s="109"/>
      <c r="X1229" s="40">
        <f t="shared" si="40"/>
        <v>0</v>
      </c>
    </row>
    <row r="1230" spans="19:24">
      <c r="S1230" s="109">
        <f t="shared" si="39"/>
        <v>0</v>
      </c>
      <c r="W1230" s="109"/>
      <c r="X1230" s="40">
        <f t="shared" si="40"/>
        <v>0</v>
      </c>
    </row>
    <row r="1231" spans="19:24">
      <c r="S1231" s="109">
        <f t="shared" si="39"/>
        <v>0</v>
      </c>
      <c r="W1231" s="109"/>
      <c r="X1231" s="40">
        <f t="shared" si="40"/>
        <v>0</v>
      </c>
    </row>
    <row r="1232" spans="19:24">
      <c r="S1232" s="109">
        <f t="shared" si="39"/>
        <v>0</v>
      </c>
      <c r="W1232" s="109"/>
      <c r="X1232" s="40">
        <f t="shared" si="40"/>
        <v>0</v>
      </c>
    </row>
    <row r="1233" spans="19:24">
      <c r="S1233" s="109">
        <f t="shared" si="39"/>
        <v>0</v>
      </c>
      <c r="W1233" s="109"/>
      <c r="X1233" s="40">
        <f t="shared" si="40"/>
        <v>0</v>
      </c>
    </row>
    <row r="1234" spans="19:24">
      <c r="S1234" s="109">
        <f t="shared" si="39"/>
        <v>0</v>
      </c>
      <c r="W1234" s="109"/>
      <c r="X1234" s="40">
        <f t="shared" si="40"/>
        <v>0</v>
      </c>
    </row>
    <row r="1235" spans="19:24">
      <c r="S1235" s="109">
        <f t="shared" si="39"/>
        <v>0</v>
      </c>
      <c r="W1235" s="109"/>
      <c r="X1235" s="40">
        <f t="shared" si="40"/>
        <v>0</v>
      </c>
    </row>
    <row r="1236" spans="19:24">
      <c r="S1236" s="109">
        <f t="shared" si="39"/>
        <v>0</v>
      </c>
      <c r="W1236" s="109"/>
      <c r="X1236" s="40">
        <f t="shared" si="40"/>
        <v>0</v>
      </c>
    </row>
    <row r="1237" spans="19:24">
      <c r="S1237" s="109">
        <f t="shared" si="39"/>
        <v>0</v>
      </c>
      <c r="W1237" s="109"/>
      <c r="X1237" s="40">
        <f t="shared" si="40"/>
        <v>0</v>
      </c>
    </row>
    <row r="1238" spans="19:24">
      <c r="S1238" s="109">
        <f t="shared" si="39"/>
        <v>0</v>
      </c>
      <c r="W1238" s="109"/>
      <c r="X1238" s="40">
        <f t="shared" si="40"/>
        <v>0</v>
      </c>
    </row>
    <row r="1239" spans="19:24">
      <c r="S1239" s="109">
        <f t="shared" si="39"/>
        <v>0</v>
      </c>
      <c r="W1239" s="109"/>
      <c r="X1239" s="40">
        <f t="shared" si="40"/>
        <v>0</v>
      </c>
    </row>
    <row r="1240" spans="19:24">
      <c r="S1240" s="109">
        <f t="shared" si="39"/>
        <v>0</v>
      </c>
      <c r="W1240" s="109"/>
      <c r="X1240" s="40">
        <f t="shared" si="40"/>
        <v>0</v>
      </c>
    </row>
    <row r="1241" spans="19:24">
      <c r="S1241" s="109">
        <f t="shared" si="39"/>
        <v>0</v>
      </c>
      <c r="W1241" s="109"/>
      <c r="X1241" s="40">
        <f t="shared" si="40"/>
        <v>0</v>
      </c>
    </row>
    <row r="1242" spans="19:24">
      <c r="S1242" s="109">
        <f t="shared" si="39"/>
        <v>0</v>
      </c>
      <c r="W1242" s="109"/>
      <c r="X1242" s="40">
        <f t="shared" si="40"/>
        <v>0</v>
      </c>
    </row>
    <row r="1243" spans="19:24">
      <c r="S1243" s="109">
        <f t="shared" si="39"/>
        <v>0</v>
      </c>
      <c r="W1243" s="109"/>
      <c r="X1243" s="40">
        <f t="shared" si="40"/>
        <v>0</v>
      </c>
    </row>
    <row r="1244" spans="19:24">
      <c r="S1244" s="109">
        <f t="shared" si="39"/>
        <v>0</v>
      </c>
      <c r="W1244" s="109"/>
      <c r="X1244" s="40">
        <f t="shared" si="40"/>
        <v>0</v>
      </c>
    </row>
    <row r="1245" spans="19:24">
      <c r="S1245" s="109">
        <f t="shared" si="39"/>
        <v>0</v>
      </c>
      <c r="W1245" s="109"/>
      <c r="X1245" s="40">
        <f t="shared" si="40"/>
        <v>0</v>
      </c>
    </row>
    <row r="1246" spans="19:24">
      <c r="S1246" s="109">
        <f t="shared" si="39"/>
        <v>0</v>
      </c>
      <c r="W1246" s="109"/>
      <c r="X1246" s="40">
        <f t="shared" si="40"/>
        <v>0</v>
      </c>
    </row>
    <row r="1247" spans="19:24">
      <c r="S1247" s="109">
        <f t="shared" si="39"/>
        <v>0</v>
      </c>
      <c r="W1247" s="109"/>
      <c r="X1247" s="40">
        <f t="shared" si="40"/>
        <v>0</v>
      </c>
    </row>
    <row r="1248" spans="19:24">
      <c r="S1248" s="109">
        <f t="shared" si="39"/>
        <v>0</v>
      </c>
      <c r="W1248" s="109"/>
      <c r="X1248" s="40">
        <f t="shared" si="40"/>
        <v>0</v>
      </c>
    </row>
    <row r="1249" spans="19:24">
      <c r="S1249" s="109">
        <f t="shared" si="39"/>
        <v>0</v>
      </c>
      <c r="W1249" s="109"/>
      <c r="X1249" s="40">
        <f t="shared" si="40"/>
        <v>0</v>
      </c>
    </row>
    <row r="1250" spans="19:24">
      <c r="S1250" s="109">
        <f t="shared" si="39"/>
        <v>0</v>
      </c>
      <c r="W1250" s="109"/>
      <c r="X1250" s="40">
        <f t="shared" si="40"/>
        <v>0</v>
      </c>
    </row>
    <row r="1251" spans="19:24">
      <c r="S1251" s="109">
        <f t="shared" si="39"/>
        <v>0</v>
      </c>
      <c r="W1251" s="109"/>
      <c r="X1251" s="40">
        <f t="shared" si="40"/>
        <v>0</v>
      </c>
    </row>
    <row r="1252" spans="19:24">
      <c r="S1252" s="109">
        <f t="shared" si="39"/>
        <v>0</v>
      </c>
      <c r="W1252" s="109"/>
      <c r="X1252" s="40">
        <f t="shared" si="40"/>
        <v>0</v>
      </c>
    </row>
    <row r="1253" spans="19:24">
      <c r="S1253" s="109">
        <f t="shared" si="39"/>
        <v>0</v>
      </c>
      <c r="W1253" s="109"/>
      <c r="X1253" s="40">
        <f t="shared" si="40"/>
        <v>0</v>
      </c>
    </row>
    <row r="1254" spans="19:24">
      <c r="S1254" s="109">
        <f t="shared" si="39"/>
        <v>0</v>
      </c>
      <c r="W1254" s="109"/>
      <c r="X1254" s="40">
        <f t="shared" si="40"/>
        <v>0</v>
      </c>
    </row>
    <row r="1255" spans="19:24">
      <c r="S1255" s="109">
        <f t="shared" si="39"/>
        <v>0</v>
      </c>
      <c r="W1255" s="109"/>
      <c r="X1255" s="40">
        <f t="shared" si="40"/>
        <v>0</v>
      </c>
    </row>
    <row r="1256" spans="19:24">
      <c r="S1256" s="109">
        <f t="shared" si="39"/>
        <v>0</v>
      </c>
      <c r="W1256" s="109"/>
      <c r="X1256" s="40">
        <f t="shared" si="40"/>
        <v>0</v>
      </c>
    </row>
    <row r="1257" spans="19:24">
      <c r="S1257" s="109">
        <f t="shared" si="39"/>
        <v>0</v>
      </c>
      <c r="W1257" s="109"/>
      <c r="X1257" s="40">
        <f t="shared" si="40"/>
        <v>0</v>
      </c>
    </row>
    <row r="1258" spans="19:24">
      <c r="S1258" s="109">
        <f t="shared" si="39"/>
        <v>0</v>
      </c>
      <c r="W1258" s="109"/>
      <c r="X1258" s="40">
        <f t="shared" si="40"/>
        <v>0</v>
      </c>
    </row>
    <row r="1259" spans="19:24">
      <c r="S1259" s="109">
        <f t="shared" si="39"/>
        <v>0</v>
      </c>
      <c r="W1259" s="109"/>
      <c r="X1259" s="40">
        <f t="shared" si="40"/>
        <v>0</v>
      </c>
    </row>
    <row r="1260" spans="19:24">
      <c r="S1260" s="109">
        <f t="shared" si="39"/>
        <v>0</v>
      </c>
      <c r="W1260" s="109"/>
      <c r="X1260" s="40">
        <f t="shared" si="40"/>
        <v>0</v>
      </c>
    </row>
    <row r="1261" spans="19:24">
      <c r="S1261" s="109">
        <f t="shared" si="39"/>
        <v>0</v>
      </c>
      <c r="W1261" s="109"/>
      <c r="X1261" s="40">
        <f t="shared" si="40"/>
        <v>0</v>
      </c>
    </row>
    <row r="1262" spans="19:24">
      <c r="S1262" s="109">
        <f t="shared" si="39"/>
        <v>0</v>
      </c>
      <c r="W1262" s="109"/>
      <c r="X1262" s="40">
        <f t="shared" si="40"/>
        <v>0</v>
      </c>
    </row>
    <row r="1263" spans="19:24">
      <c r="S1263" s="109">
        <f t="shared" si="39"/>
        <v>0</v>
      </c>
      <c r="W1263" s="109"/>
      <c r="X1263" s="40">
        <f t="shared" si="40"/>
        <v>0</v>
      </c>
    </row>
    <row r="1264" spans="19:24">
      <c r="S1264" s="109">
        <f t="shared" si="39"/>
        <v>0</v>
      </c>
      <c r="W1264" s="109"/>
      <c r="X1264" s="40">
        <f t="shared" si="40"/>
        <v>0</v>
      </c>
    </row>
    <row r="1265" spans="19:24">
      <c r="S1265" s="109">
        <f t="shared" si="39"/>
        <v>0</v>
      </c>
      <c r="W1265" s="109"/>
      <c r="X1265" s="40">
        <f t="shared" si="40"/>
        <v>0</v>
      </c>
    </row>
    <row r="1266" spans="19:24">
      <c r="S1266" s="109">
        <f t="shared" si="39"/>
        <v>0</v>
      </c>
      <c r="W1266" s="109"/>
      <c r="X1266" s="40">
        <f t="shared" si="40"/>
        <v>0</v>
      </c>
    </row>
    <row r="1267" spans="19:24">
      <c r="S1267" s="109">
        <f t="shared" si="39"/>
        <v>0</v>
      </c>
      <c r="W1267" s="109"/>
      <c r="X1267" s="40">
        <f t="shared" si="40"/>
        <v>0</v>
      </c>
    </row>
    <row r="1268" spans="19:24">
      <c r="S1268" s="109">
        <f t="shared" si="39"/>
        <v>0</v>
      </c>
      <c r="W1268" s="109"/>
      <c r="X1268" s="40">
        <f t="shared" si="40"/>
        <v>0</v>
      </c>
    </row>
    <row r="1269" spans="19:24">
      <c r="S1269" s="109">
        <f t="shared" si="39"/>
        <v>0</v>
      </c>
      <c r="W1269" s="109"/>
      <c r="X1269" s="40">
        <f t="shared" si="40"/>
        <v>0</v>
      </c>
    </row>
    <row r="1270" spans="19:24">
      <c r="S1270" s="109">
        <f t="shared" si="39"/>
        <v>0</v>
      </c>
      <c r="W1270" s="109"/>
      <c r="X1270" s="40">
        <f t="shared" si="40"/>
        <v>0</v>
      </c>
    </row>
    <row r="1271" spans="19:24">
      <c r="S1271" s="109">
        <f t="shared" si="39"/>
        <v>0</v>
      </c>
      <c r="W1271" s="109"/>
      <c r="X1271" s="40">
        <f t="shared" si="40"/>
        <v>0</v>
      </c>
    </row>
    <row r="1272" spans="19:24">
      <c r="S1272" s="109">
        <f t="shared" si="39"/>
        <v>0</v>
      </c>
      <c r="W1272" s="109"/>
      <c r="X1272" s="40">
        <f t="shared" si="40"/>
        <v>0</v>
      </c>
    </row>
    <row r="1273" spans="19:24">
      <c r="S1273" s="109">
        <f t="shared" si="39"/>
        <v>0</v>
      </c>
      <c r="W1273" s="109"/>
      <c r="X1273" s="40">
        <f t="shared" si="40"/>
        <v>0</v>
      </c>
    </row>
    <row r="1274" spans="19:24">
      <c r="S1274" s="109">
        <f t="shared" si="39"/>
        <v>0</v>
      </c>
      <c r="W1274" s="109"/>
      <c r="X1274" s="40">
        <f t="shared" si="40"/>
        <v>0</v>
      </c>
    </row>
    <row r="1275" spans="19:24">
      <c r="S1275" s="109">
        <f t="shared" si="39"/>
        <v>0</v>
      </c>
      <c r="W1275" s="109"/>
      <c r="X1275" s="40">
        <f t="shared" si="40"/>
        <v>0</v>
      </c>
    </row>
    <row r="1276" spans="19:24">
      <c r="S1276" s="109">
        <f t="shared" si="39"/>
        <v>0</v>
      </c>
      <c r="W1276" s="109"/>
      <c r="X1276" s="40">
        <f t="shared" si="40"/>
        <v>0</v>
      </c>
    </row>
    <row r="1277" spans="19:24">
      <c r="S1277" s="109">
        <f t="shared" si="39"/>
        <v>0</v>
      </c>
      <c r="W1277" s="109"/>
      <c r="X1277" s="40">
        <f t="shared" si="40"/>
        <v>0</v>
      </c>
    </row>
    <row r="1278" spans="19:24">
      <c r="S1278" s="109">
        <f t="shared" si="39"/>
        <v>0</v>
      </c>
      <c r="W1278" s="109"/>
      <c r="X1278" s="40">
        <f t="shared" si="40"/>
        <v>0</v>
      </c>
    </row>
    <row r="1279" spans="19:24">
      <c r="S1279" s="109">
        <f t="shared" si="39"/>
        <v>0</v>
      </c>
      <c r="W1279" s="109"/>
      <c r="X1279" s="40">
        <f t="shared" si="40"/>
        <v>0</v>
      </c>
    </row>
    <row r="1280" spans="19:24">
      <c r="S1280" s="109">
        <f t="shared" si="39"/>
        <v>0</v>
      </c>
      <c r="W1280" s="109"/>
      <c r="X1280" s="40">
        <f t="shared" si="40"/>
        <v>0</v>
      </c>
    </row>
    <row r="1281" spans="19:24">
      <c r="S1281" s="109">
        <f t="shared" si="39"/>
        <v>0</v>
      </c>
      <c r="W1281" s="109"/>
      <c r="X1281" s="40">
        <f t="shared" si="40"/>
        <v>0</v>
      </c>
    </row>
    <row r="1282" spans="19:24">
      <c r="S1282" s="109">
        <f t="shared" si="39"/>
        <v>0</v>
      </c>
      <c r="W1282" s="109"/>
      <c r="X1282" s="40">
        <f t="shared" si="40"/>
        <v>0</v>
      </c>
    </row>
    <row r="1283" spans="19:24">
      <c r="S1283" s="109">
        <f t="shared" ref="S1283:S1346" si="41">K1283-R1283</f>
        <v>0</v>
      </c>
      <c r="W1283" s="109"/>
      <c r="X1283" s="40">
        <f t="shared" ref="X1283:X1346" si="42">S1283-W1283</f>
        <v>0</v>
      </c>
    </row>
    <row r="1284" spans="19:24">
      <c r="S1284" s="109">
        <f t="shared" si="41"/>
        <v>0</v>
      </c>
      <c r="W1284" s="109"/>
      <c r="X1284" s="40">
        <f t="shared" si="42"/>
        <v>0</v>
      </c>
    </row>
    <row r="1285" spans="19:24">
      <c r="S1285" s="109">
        <f t="shared" si="41"/>
        <v>0</v>
      </c>
      <c r="W1285" s="109"/>
      <c r="X1285" s="40">
        <f t="shared" si="42"/>
        <v>0</v>
      </c>
    </row>
    <row r="1286" spans="19:24">
      <c r="S1286" s="109">
        <f t="shared" si="41"/>
        <v>0</v>
      </c>
      <c r="W1286" s="109"/>
      <c r="X1286" s="40">
        <f t="shared" si="42"/>
        <v>0</v>
      </c>
    </row>
    <row r="1287" spans="19:24">
      <c r="S1287" s="109">
        <f t="shared" si="41"/>
        <v>0</v>
      </c>
      <c r="W1287" s="109"/>
      <c r="X1287" s="40">
        <f t="shared" si="42"/>
        <v>0</v>
      </c>
    </row>
    <row r="1288" spans="19:24">
      <c r="S1288" s="109">
        <f t="shared" si="41"/>
        <v>0</v>
      </c>
      <c r="W1288" s="109"/>
      <c r="X1288" s="40">
        <f t="shared" si="42"/>
        <v>0</v>
      </c>
    </row>
    <row r="1289" spans="19:24">
      <c r="S1289" s="109">
        <f t="shared" si="41"/>
        <v>0</v>
      </c>
      <c r="W1289" s="109"/>
      <c r="X1289" s="40">
        <f t="shared" si="42"/>
        <v>0</v>
      </c>
    </row>
    <row r="1290" spans="19:24">
      <c r="S1290" s="109">
        <f t="shared" si="41"/>
        <v>0</v>
      </c>
      <c r="W1290" s="109"/>
      <c r="X1290" s="40">
        <f t="shared" si="42"/>
        <v>0</v>
      </c>
    </row>
    <row r="1291" spans="19:24">
      <c r="S1291" s="109">
        <f t="shared" si="41"/>
        <v>0</v>
      </c>
      <c r="W1291" s="109"/>
      <c r="X1291" s="40">
        <f t="shared" si="42"/>
        <v>0</v>
      </c>
    </row>
    <row r="1292" spans="19:24">
      <c r="S1292" s="109">
        <f t="shared" si="41"/>
        <v>0</v>
      </c>
      <c r="W1292" s="109"/>
      <c r="X1292" s="40">
        <f t="shared" si="42"/>
        <v>0</v>
      </c>
    </row>
    <row r="1293" spans="19:24">
      <c r="S1293" s="109">
        <f t="shared" si="41"/>
        <v>0</v>
      </c>
      <c r="W1293" s="109"/>
      <c r="X1293" s="40">
        <f t="shared" si="42"/>
        <v>0</v>
      </c>
    </row>
    <row r="1294" spans="19:24">
      <c r="S1294" s="109">
        <f t="shared" si="41"/>
        <v>0</v>
      </c>
      <c r="W1294" s="109"/>
      <c r="X1294" s="40">
        <f t="shared" si="42"/>
        <v>0</v>
      </c>
    </row>
    <row r="1295" spans="19:24">
      <c r="S1295" s="109">
        <f t="shared" si="41"/>
        <v>0</v>
      </c>
      <c r="W1295" s="109"/>
      <c r="X1295" s="40">
        <f t="shared" si="42"/>
        <v>0</v>
      </c>
    </row>
    <row r="1296" spans="19:24">
      <c r="S1296" s="109">
        <f t="shared" si="41"/>
        <v>0</v>
      </c>
      <c r="W1296" s="109"/>
      <c r="X1296" s="40">
        <f t="shared" si="42"/>
        <v>0</v>
      </c>
    </row>
    <row r="1297" spans="19:24">
      <c r="S1297" s="109">
        <f t="shared" si="41"/>
        <v>0</v>
      </c>
      <c r="W1297" s="109"/>
      <c r="X1297" s="40">
        <f t="shared" si="42"/>
        <v>0</v>
      </c>
    </row>
    <row r="1298" spans="19:24">
      <c r="S1298" s="109">
        <f t="shared" si="41"/>
        <v>0</v>
      </c>
      <c r="W1298" s="109"/>
      <c r="X1298" s="40">
        <f t="shared" si="42"/>
        <v>0</v>
      </c>
    </row>
    <row r="1299" spans="19:24">
      <c r="S1299" s="109">
        <f t="shared" si="41"/>
        <v>0</v>
      </c>
      <c r="W1299" s="109"/>
      <c r="X1299" s="40">
        <f t="shared" si="42"/>
        <v>0</v>
      </c>
    </row>
    <row r="1300" spans="19:24">
      <c r="S1300" s="109">
        <f t="shared" si="41"/>
        <v>0</v>
      </c>
      <c r="W1300" s="109"/>
      <c r="X1300" s="40">
        <f t="shared" si="42"/>
        <v>0</v>
      </c>
    </row>
    <row r="1301" spans="19:24">
      <c r="S1301" s="109">
        <f t="shared" si="41"/>
        <v>0</v>
      </c>
      <c r="W1301" s="109"/>
      <c r="X1301" s="40">
        <f t="shared" si="42"/>
        <v>0</v>
      </c>
    </row>
    <row r="1302" spans="19:24">
      <c r="S1302" s="109">
        <f t="shared" si="41"/>
        <v>0</v>
      </c>
      <c r="W1302" s="109"/>
      <c r="X1302" s="40">
        <f t="shared" si="42"/>
        <v>0</v>
      </c>
    </row>
    <row r="1303" spans="19:24">
      <c r="S1303" s="109">
        <f t="shared" si="41"/>
        <v>0</v>
      </c>
      <c r="W1303" s="109"/>
      <c r="X1303" s="40">
        <f t="shared" si="42"/>
        <v>0</v>
      </c>
    </row>
    <row r="1304" spans="19:24">
      <c r="S1304" s="109">
        <f t="shared" si="41"/>
        <v>0</v>
      </c>
      <c r="W1304" s="109"/>
      <c r="X1304" s="40">
        <f t="shared" si="42"/>
        <v>0</v>
      </c>
    </row>
    <row r="1305" spans="19:24">
      <c r="S1305" s="109">
        <f t="shared" si="41"/>
        <v>0</v>
      </c>
      <c r="W1305" s="109"/>
      <c r="X1305" s="40">
        <f t="shared" si="42"/>
        <v>0</v>
      </c>
    </row>
    <row r="1306" spans="19:24">
      <c r="S1306" s="109">
        <f t="shared" si="41"/>
        <v>0</v>
      </c>
      <c r="W1306" s="109"/>
      <c r="X1306" s="40">
        <f t="shared" si="42"/>
        <v>0</v>
      </c>
    </row>
    <row r="1307" spans="19:24">
      <c r="S1307" s="109">
        <f t="shared" si="41"/>
        <v>0</v>
      </c>
      <c r="W1307" s="109"/>
      <c r="X1307" s="40">
        <f t="shared" si="42"/>
        <v>0</v>
      </c>
    </row>
    <row r="1308" spans="19:24">
      <c r="S1308" s="109">
        <f t="shared" si="41"/>
        <v>0</v>
      </c>
      <c r="W1308" s="109"/>
      <c r="X1308" s="40">
        <f t="shared" si="42"/>
        <v>0</v>
      </c>
    </row>
    <row r="1309" spans="19:24">
      <c r="S1309" s="109">
        <f t="shared" si="41"/>
        <v>0</v>
      </c>
      <c r="W1309" s="109"/>
      <c r="X1309" s="40">
        <f t="shared" si="42"/>
        <v>0</v>
      </c>
    </row>
    <row r="1310" spans="19:24">
      <c r="S1310" s="109">
        <f t="shared" si="41"/>
        <v>0</v>
      </c>
      <c r="W1310" s="109"/>
      <c r="X1310" s="40">
        <f t="shared" si="42"/>
        <v>0</v>
      </c>
    </row>
    <row r="1311" spans="19:24">
      <c r="S1311" s="109">
        <f t="shared" si="41"/>
        <v>0</v>
      </c>
      <c r="W1311" s="109"/>
      <c r="X1311" s="40">
        <f t="shared" si="42"/>
        <v>0</v>
      </c>
    </row>
    <row r="1312" spans="19:24">
      <c r="S1312" s="109">
        <f t="shared" si="41"/>
        <v>0</v>
      </c>
      <c r="W1312" s="109"/>
      <c r="X1312" s="40">
        <f t="shared" si="42"/>
        <v>0</v>
      </c>
    </row>
    <row r="1313" spans="19:24">
      <c r="S1313" s="109">
        <f t="shared" si="41"/>
        <v>0</v>
      </c>
      <c r="W1313" s="109"/>
      <c r="X1313" s="40">
        <f t="shared" si="42"/>
        <v>0</v>
      </c>
    </row>
    <row r="1314" spans="19:24">
      <c r="S1314" s="109">
        <f t="shared" si="41"/>
        <v>0</v>
      </c>
      <c r="W1314" s="109"/>
      <c r="X1314" s="40">
        <f t="shared" si="42"/>
        <v>0</v>
      </c>
    </row>
    <row r="1315" spans="19:24">
      <c r="S1315" s="109">
        <f t="shared" si="41"/>
        <v>0</v>
      </c>
      <c r="W1315" s="109"/>
      <c r="X1315" s="40">
        <f t="shared" si="42"/>
        <v>0</v>
      </c>
    </row>
    <row r="1316" spans="19:24">
      <c r="S1316" s="109">
        <f t="shared" si="41"/>
        <v>0</v>
      </c>
      <c r="W1316" s="109"/>
      <c r="X1316" s="40">
        <f t="shared" si="42"/>
        <v>0</v>
      </c>
    </row>
    <row r="1317" spans="19:24">
      <c r="S1317" s="109">
        <f t="shared" si="41"/>
        <v>0</v>
      </c>
      <c r="W1317" s="109"/>
      <c r="X1317" s="40">
        <f t="shared" si="42"/>
        <v>0</v>
      </c>
    </row>
    <row r="1318" spans="19:24">
      <c r="S1318" s="109">
        <f t="shared" si="41"/>
        <v>0</v>
      </c>
      <c r="W1318" s="109"/>
      <c r="X1318" s="40">
        <f t="shared" si="42"/>
        <v>0</v>
      </c>
    </row>
    <row r="1319" spans="19:24">
      <c r="S1319" s="109">
        <f t="shared" si="41"/>
        <v>0</v>
      </c>
      <c r="W1319" s="109"/>
      <c r="X1319" s="40">
        <f t="shared" si="42"/>
        <v>0</v>
      </c>
    </row>
    <row r="1320" spans="19:24">
      <c r="S1320" s="109">
        <f t="shared" si="41"/>
        <v>0</v>
      </c>
      <c r="W1320" s="109"/>
      <c r="X1320" s="40">
        <f t="shared" si="42"/>
        <v>0</v>
      </c>
    </row>
    <row r="1321" spans="19:24">
      <c r="S1321" s="109">
        <f t="shared" si="41"/>
        <v>0</v>
      </c>
      <c r="W1321" s="109"/>
      <c r="X1321" s="40">
        <f t="shared" si="42"/>
        <v>0</v>
      </c>
    </row>
    <row r="1322" spans="19:24">
      <c r="S1322" s="109">
        <f t="shared" si="41"/>
        <v>0</v>
      </c>
      <c r="W1322" s="109"/>
      <c r="X1322" s="40">
        <f t="shared" si="42"/>
        <v>0</v>
      </c>
    </row>
    <row r="1323" spans="19:24">
      <c r="S1323" s="109">
        <f t="shared" si="41"/>
        <v>0</v>
      </c>
      <c r="W1323" s="109"/>
      <c r="X1323" s="40">
        <f t="shared" si="42"/>
        <v>0</v>
      </c>
    </row>
    <row r="1324" spans="19:24">
      <c r="S1324" s="109">
        <f t="shared" si="41"/>
        <v>0</v>
      </c>
      <c r="W1324" s="109"/>
      <c r="X1324" s="40">
        <f t="shared" si="42"/>
        <v>0</v>
      </c>
    </row>
    <row r="1325" spans="19:24">
      <c r="S1325" s="109">
        <f t="shared" si="41"/>
        <v>0</v>
      </c>
      <c r="W1325" s="109"/>
      <c r="X1325" s="40">
        <f t="shared" si="42"/>
        <v>0</v>
      </c>
    </row>
    <row r="1326" spans="19:24">
      <c r="S1326" s="109">
        <f t="shared" si="41"/>
        <v>0</v>
      </c>
      <c r="W1326" s="109"/>
      <c r="X1326" s="40">
        <f t="shared" si="42"/>
        <v>0</v>
      </c>
    </row>
    <row r="1327" spans="19:24">
      <c r="S1327" s="109">
        <f t="shared" si="41"/>
        <v>0</v>
      </c>
      <c r="W1327" s="109"/>
      <c r="X1327" s="40">
        <f t="shared" si="42"/>
        <v>0</v>
      </c>
    </row>
    <row r="1328" spans="19:24">
      <c r="S1328" s="109">
        <f t="shared" si="41"/>
        <v>0</v>
      </c>
      <c r="W1328" s="109"/>
      <c r="X1328" s="40">
        <f t="shared" si="42"/>
        <v>0</v>
      </c>
    </row>
    <row r="1329" spans="19:24">
      <c r="S1329" s="109">
        <f t="shared" si="41"/>
        <v>0</v>
      </c>
      <c r="W1329" s="109"/>
      <c r="X1329" s="40">
        <f t="shared" si="42"/>
        <v>0</v>
      </c>
    </row>
    <row r="1330" spans="19:24">
      <c r="S1330" s="109">
        <f t="shared" si="41"/>
        <v>0</v>
      </c>
      <c r="W1330" s="109"/>
      <c r="X1330" s="40">
        <f t="shared" si="42"/>
        <v>0</v>
      </c>
    </row>
    <row r="1331" spans="19:24">
      <c r="S1331" s="109">
        <f t="shared" si="41"/>
        <v>0</v>
      </c>
      <c r="W1331" s="109"/>
      <c r="X1331" s="40">
        <f t="shared" si="42"/>
        <v>0</v>
      </c>
    </row>
    <row r="1332" spans="19:24">
      <c r="S1332" s="109">
        <f t="shared" si="41"/>
        <v>0</v>
      </c>
      <c r="W1332" s="109"/>
      <c r="X1332" s="40">
        <f t="shared" si="42"/>
        <v>0</v>
      </c>
    </row>
    <row r="1333" spans="19:24">
      <c r="S1333" s="109">
        <f t="shared" si="41"/>
        <v>0</v>
      </c>
      <c r="W1333" s="109"/>
      <c r="X1333" s="40">
        <f t="shared" si="42"/>
        <v>0</v>
      </c>
    </row>
    <row r="1334" spans="19:24">
      <c r="S1334" s="109">
        <f t="shared" si="41"/>
        <v>0</v>
      </c>
      <c r="W1334" s="109"/>
      <c r="X1334" s="40">
        <f t="shared" si="42"/>
        <v>0</v>
      </c>
    </row>
    <row r="1335" spans="19:24">
      <c r="S1335" s="109">
        <f t="shared" si="41"/>
        <v>0</v>
      </c>
      <c r="W1335" s="109"/>
      <c r="X1335" s="40">
        <f t="shared" si="42"/>
        <v>0</v>
      </c>
    </row>
    <row r="1336" spans="19:24">
      <c r="S1336" s="109">
        <f t="shared" si="41"/>
        <v>0</v>
      </c>
      <c r="W1336" s="109"/>
      <c r="X1336" s="40">
        <f t="shared" si="42"/>
        <v>0</v>
      </c>
    </row>
    <row r="1337" spans="19:24">
      <c r="S1337" s="109">
        <f t="shared" si="41"/>
        <v>0</v>
      </c>
      <c r="W1337" s="109"/>
      <c r="X1337" s="40">
        <f t="shared" si="42"/>
        <v>0</v>
      </c>
    </row>
    <row r="1338" spans="19:24">
      <c r="S1338" s="109">
        <f t="shared" si="41"/>
        <v>0</v>
      </c>
      <c r="W1338" s="109"/>
      <c r="X1338" s="40">
        <f t="shared" si="42"/>
        <v>0</v>
      </c>
    </row>
    <row r="1339" spans="19:24">
      <c r="S1339" s="109">
        <f t="shared" si="41"/>
        <v>0</v>
      </c>
      <c r="W1339" s="109"/>
      <c r="X1339" s="40">
        <f t="shared" si="42"/>
        <v>0</v>
      </c>
    </row>
    <row r="1340" spans="19:24">
      <c r="S1340" s="109">
        <f t="shared" si="41"/>
        <v>0</v>
      </c>
      <c r="W1340" s="109"/>
      <c r="X1340" s="40">
        <f t="shared" si="42"/>
        <v>0</v>
      </c>
    </row>
    <row r="1341" spans="19:24">
      <c r="S1341" s="109">
        <f t="shared" si="41"/>
        <v>0</v>
      </c>
      <c r="W1341" s="109"/>
      <c r="X1341" s="40">
        <f t="shared" si="42"/>
        <v>0</v>
      </c>
    </row>
    <row r="1342" spans="19:24">
      <c r="S1342" s="109">
        <f t="shared" si="41"/>
        <v>0</v>
      </c>
      <c r="W1342" s="109"/>
      <c r="X1342" s="40">
        <f t="shared" si="42"/>
        <v>0</v>
      </c>
    </row>
    <row r="1343" spans="19:24">
      <c r="S1343" s="109">
        <f t="shared" si="41"/>
        <v>0</v>
      </c>
      <c r="W1343" s="109"/>
      <c r="X1343" s="40">
        <f t="shared" si="42"/>
        <v>0</v>
      </c>
    </row>
    <row r="1344" spans="19:24">
      <c r="S1344" s="109">
        <f t="shared" si="41"/>
        <v>0</v>
      </c>
      <c r="W1344" s="109"/>
      <c r="X1344" s="40">
        <f t="shared" si="42"/>
        <v>0</v>
      </c>
    </row>
    <row r="1345" spans="19:24">
      <c r="S1345" s="109">
        <f t="shared" si="41"/>
        <v>0</v>
      </c>
      <c r="W1345" s="109"/>
      <c r="X1345" s="40">
        <f t="shared" si="42"/>
        <v>0</v>
      </c>
    </row>
    <row r="1346" spans="19:24">
      <c r="S1346" s="109">
        <f t="shared" si="41"/>
        <v>0</v>
      </c>
      <c r="W1346" s="109"/>
      <c r="X1346" s="40">
        <f t="shared" si="42"/>
        <v>0</v>
      </c>
    </row>
    <row r="1347" spans="19:24">
      <c r="S1347" s="109">
        <f t="shared" ref="S1347:S1362" si="43">K1347-R1347</f>
        <v>0</v>
      </c>
      <c r="W1347" s="109"/>
      <c r="X1347" s="40">
        <f t="shared" ref="X1347:X1361" si="44">S1347-W1347</f>
        <v>0</v>
      </c>
    </row>
    <row r="1348" spans="19:24">
      <c r="S1348" s="109">
        <f t="shared" si="43"/>
        <v>0</v>
      </c>
      <c r="W1348" s="109"/>
      <c r="X1348" s="40">
        <f t="shared" si="44"/>
        <v>0</v>
      </c>
    </row>
    <row r="1349" spans="19:24">
      <c r="S1349" s="109">
        <f t="shared" si="43"/>
        <v>0</v>
      </c>
      <c r="W1349" s="109"/>
      <c r="X1349" s="40">
        <f t="shared" si="44"/>
        <v>0</v>
      </c>
    </row>
    <row r="1350" spans="19:24">
      <c r="S1350" s="109">
        <f t="shared" si="43"/>
        <v>0</v>
      </c>
      <c r="W1350" s="109"/>
      <c r="X1350" s="40">
        <f t="shared" si="44"/>
        <v>0</v>
      </c>
    </row>
    <row r="1351" spans="19:24">
      <c r="S1351" s="109">
        <f t="shared" si="43"/>
        <v>0</v>
      </c>
      <c r="W1351" s="109"/>
      <c r="X1351" s="40">
        <f t="shared" si="44"/>
        <v>0</v>
      </c>
    </row>
    <row r="1352" spans="19:24">
      <c r="S1352" s="109">
        <f t="shared" si="43"/>
        <v>0</v>
      </c>
      <c r="W1352" s="109"/>
      <c r="X1352" s="40">
        <f t="shared" si="44"/>
        <v>0</v>
      </c>
    </row>
    <row r="1353" spans="19:24">
      <c r="S1353" s="109">
        <f t="shared" si="43"/>
        <v>0</v>
      </c>
      <c r="W1353" s="109"/>
      <c r="X1353" s="40">
        <f t="shared" si="44"/>
        <v>0</v>
      </c>
    </row>
    <row r="1354" spans="19:24">
      <c r="S1354" s="109">
        <f t="shared" si="43"/>
        <v>0</v>
      </c>
      <c r="W1354" s="109"/>
      <c r="X1354" s="40">
        <f t="shared" si="44"/>
        <v>0</v>
      </c>
    </row>
    <row r="1355" spans="19:24">
      <c r="S1355" s="109">
        <f t="shared" si="43"/>
        <v>0</v>
      </c>
      <c r="W1355" s="109"/>
      <c r="X1355" s="40">
        <f t="shared" si="44"/>
        <v>0</v>
      </c>
    </row>
    <row r="1356" spans="19:24">
      <c r="S1356" s="109">
        <f t="shared" si="43"/>
        <v>0</v>
      </c>
      <c r="W1356" s="109"/>
      <c r="X1356" s="40">
        <f t="shared" si="44"/>
        <v>0</v>
      </c>
    </row>
    <row r="1357" spans="19:24">
      <c r="S1357" s="109">
        <f t="shared" si="43"/>
        <v>0</v>
      </c>
      <c r="W1357" s="109"/>
      <c r="X1357" s="40">
        <f t="shared" si="44"/>
        <v>0</v>
      </c>
    </row>
    <row r="1358" spans="19:24">
      <c r="S1358" s="109">
        <f t="shared" si="43"/>
        <v>0</v>
      </c>
      <c r="W1358" s="109"/>
      <c r="X1358" s="40">
        <f t="shared" si="44"/>
        <v>0</v>
      </c>
    </row>
    <row r="1359" spans="19:24">
      <c r="S1359" s="109">
        <f t="shared" si="43"/>
        <v>0</v>
      </c>
      <c r="W1359" s="109"/>
      <c r="X1359" s="40">
        <f t="shared" si="44"/>
        <v>0</v>
      </c>
    </row>
    <row r="1360" spans="19:24">
      <c r="S1360" s="109">
        <f t="shared" si="43"/>
        <v>0</v>
      </c>
      <c r="W1360" s="109"/>
      <c r="X1360" s="40">
        <f t="shared" si="44"/>
        <v>0</v>
      </c>
    </row>
    <row r="1361" spans="19:24">
      <c r="S1361" s="109">
        <f t="shared" si="43"/>
        <v>0</v>
      </c>
      <c r="W1361" s="109"/>
      <c r="X1361" s="40">
        <f t="shared" si="44"/>
        <v>0</v>
      </c>
    </row>
    <row r="1362" spans="19:24">
      <c r="S1362" s="109">
        <f t="shared" si="43"/>
        <v>0</v>
      </c>
      <c r="W1362" s="109"/>
    </row>
    <row r="1363" spans="19:24" ht="16.5" customHeight="1"/>
    <row r="1377" spans="2:24" ht="19.95" customHeight="1">
      <c r="B1377" s="680" t="s">
        <v>840</v>
      </c>
      <c r="C1377" s="701"/>
      <c r="D1377" s="699"/>
      <c r="E1377" s="680" t="s">
        <v>840</v>
      </c>
      <c r="F1377" s="19">
        <v>9168561591</v>
      </c>
      <c r="G1377" s="458" t="s">
        <v>375</v>
      </c>
      <c r="H1377" s="672" t="s">
        <v>55</v>
      </c>
      <c r="I1377" s="673" t="s">
        <v>34</v>
      </c>
      <c r="J1377" s="683" t="s">
        <v>823</v>
      </c>
      <c r="K1377" s="18">
        <v>4500</v>
      </c>
      <c r="O1377" s="683" t="s">
        <v>35</v>
      </c>
      <c r="S1377" s="109">
        <f t="shared" ref="S1377" si="45">K1377-R1377</f>
        <v>4500</v>
      </c>
      <c r="W1377" s="109"/>
      <c r="X1377" s="40">
        <f t="shared" ref="X1377" si="46">S1377-W1377</f>
        <v>4500</v>
      </c>
    </row>
  </sheetData>
  <autoFilter ref="A1:Y1362" xr:uid="{00000000-0001-0000-0000-000000000000}"/>
  <phoneticPr fontId="439" type="noConversion"/>
  <pageMargins left="0.25" right="0.25" top="0.75" bottom="0.75" header="0.3" footer="0.3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ONE TIME JOB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</dc:creator>
  <cp:lastModifiedBy>Aditya Patil</cp:lastModifiedBy>
  <cp:lastPrinted>2026-09-05T11:06:17Z</cp:lastPrinted>
  <dcterms:created xsi:type="dcterms:W3CDTF">2024-05-04T17:04:00Z</dcterms:created>
  <dcterms:modified xsi:type="dcterms:W3CDTF">2026-09-19T12:21:45Z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E6C1EF4B08754A7B85A4170E7E06F77C_12</vt:lpwstr>
  </property>
  <property fmtid="{D5CDD505-2E9C-101B-9397-08002B2CF9AE}" pid="3" name="KSOProductBuildVer">
    <vt:lpwstr>1033-12.2.0.19805</vt:lpwstr>
  </property>
</Properties>
</file>