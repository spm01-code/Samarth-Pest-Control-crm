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y\Desktop\SALARY\"/>
    </mc:Choice>
  </mc:AlternateContent>
  <xr:revisionPtr revIDLastSave="0" documentId="13_ncr:1_{BD1F6951-D3DD-4E3C-8488-622C4515D2F4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DEC-25" sheetId="1" r:id="rId1"/>
    <sheet name="JAN-26" sheetId="2" r:id="rId2"/>
    <sheet name="March-26" sheetId="4" r:id="rId3"/>
    <sheet name="APR -26" sheetId="5" r:id="rId4"/>
    <sheet name="MAY -26" sheetId="7" r:id="rId5"/>
    <sheet name="JUNE-26" sheetId="8" r:id="rId6"/>
    <sheet name="JULY-26" sheetId="9" r:id="rId7"/>
    <sheet name="FEB-26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9" l="1"/>
  <c r="P14" i="9"/>
  <c r="T15" i="9"/>
  <c r="V15" i="9" s="1"/>
  <c r="K5" i="9"/>
  <c r="P5" i="9" s="1"/>
  <c r="K6" i="9"/>
  <c r="K7" i="9"/>
  <c r="P7" i="9" s="1"/>
  <c r="K8" i="9"/>
  <c r="P8" i="9" s="1"/>
  <c r="K9" i="9"/>
  <c r="P9" i="9" s="1"/>
  <c r="K10" i="9"/>
  <c r="K11" i="9"/>
  <c r="P11" i="9" s="1"/>
  <c r="K12" i="9"/>
  <c r="P12" i="9" s="1"/>
  <c r="K13" i="9"/>
  <c r="P13" i="9" s="1"/>
  <c r="K14" i="9"/>
  <c r="K15" i="9"/>
  <c r="P15" i="9" s="1"/>
  <c r="K4" i="9"/>
  <c r="P4" i="9" s="1"/>
  <c r="BF14" i="9"/>
  <c r="T14" i="9"/>
  <c r="V14" i="9" s="1"/>
  <c r="K16" i="9"/>
  <c r="P16" i="9" s="1"/>
  <c r="BF15" i="9"/>
  <c r="BF13" i="9"/>
  <c r="T13" i="9"/>
  <c r="V13" i="9" s="1"/>
  <c r="BF12" i="9"/>
  <c r="T12" i="9"/>
  <c r="V12" i="9" s="1"/>
  <c r="BF11" i="9"/>
  <c r="T11" i="9"/>
  <c r="V11" i="9" s="1"/>
  <c r="BF10" i="9"/>
  <c r="T10" i="9"/>
  <c r="V10" i="9" s="1"/>
  <c r="BF9" i="9"/>
  <c r="T9" i="9"/>
  <c r="V9" i="9" s="1"/>
  <c r="BF8" i="9"/>
  <c r="T8" i="9"/>
  <c r="V8" i="9" s="1"/>
  <c r="BF7" i="9"/>
  <c r="T7" i="9"/>
  <c r="V7" i="9" s="1"/>
  <c r="BF6" i="9"/>
  <c r="T6" i="9"/>
  <c r="V6" i="9" s="1"/>
  <c r="BF5" i="9"/>
  <c r="T5" i="9"/>
  <c r="V5" i="9" s="1"/>
  <c r="BF4" i="9"/>
  <c r="T4" i="9"/>
  <c r="V4" i="9" s="1"/>
  <c r="AK41" i="1"/>
  <c r="AK40" i="1"/>
  <c r="AK39" i="1"/>
  <c r="AK38" i="1"/>
  <c r="AK37" i="1"/>
  <c r="AK36" i="1"/>
  <c r="AK35" i="1"/>
  <c r="AK34" i="1"/>
  <c r="AK33" i="1"/>
  <c r="AK32" i="1"/>
  <c r="AK31" i="1"/>
  <c r="K15" i="8"/>
  <c r="BF14" i="8"/>
  <c r="T14" i="8"/>
  <c r="V14" i="8" s="1"/>
  <c r="K14" i="8"/>
  <c r="P14" i="8" s="1"/>
  <c r="BF13" i="8"/>
  <c r="T13" i="8"/>
  <c r="V13" i="8" s="1"/>
  <c r="K13" i="8"/>
  <c r="P13" i="8" s="1"/>
  <c r="BF12" i="8"/>
  <c r="T12" i="8"/>
  <c r="V12" i="8" s="1"/>
  <c r="P12" i="8"/>
  <c r="BF11" i="8"/>
  <c r="T11" i="8"/>
  <c r="V11" i="8" s="1"/>
  <c r="P11" i="8"/>
  <c r="BF10" i="8"/>
  <c r="T10" i="8"/>
  <c r="V10" i="8" s="1"/>
  <c r="P10" i="8"/>
  <c r="BF9" i="8"/>
  <c r="T9" i="8"/>
  <c r="V9" i="8" s="1"/>
  <c r="P9" i="8"/>
  <c r="BF8" i="8"/>
  <c r="V8" i="8"/>
  <c r="T8" i="8"/>
  <c r="K8" i="8"/>
  <c r="P8" i="8" s="1"/>
  <c r="BF7" i="8"/>
  <c r="T7" i="8"/>
  <c r="V7" i="8" s="1"/>
  <c r="K7" i="8"/>
  <c r="P7" i="8" s="1"/>
  <c r="BF6" i="8"/>
  <c r="T6" i="8"/>
  <c r="V6" i="8" s="1"/>
  <c r="P6" i="8"/>
  <c r="K6" i="8"/>
  <c r="BF5" i="8"/>
  <c r="T5" i="8"/>
  <c r="V5" i="8" s="1"/>
  <c r="K5" i="8"/>
  <c r="P5" i="8" s="1"/>
  <c r="BF4" i="8"/>
  <c r="T4" i="8"/>
  <c r="V4" i="8" s="1"/>
  <c r="K4" i="8"/>
  <c r="P4" i="8" s="1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X8" i="5" l="1"/>
  <c r="AX13" i="5"/>
  <c r="AX14" i="5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4" i="7"/>
  <c r="L15" i="7"/>
  <c r="L16" i="7"/>
  <c r="O14" i="7"/>
  <c r="Q14" i="7" s="1"/>
  <c r="O15" i="7"/>
  <c r="Q15" i="7" s="1"/>
  <c r="O16" i="7"/>
  <c r="Q16" i="7" s="1"/>
  <c r="L18" i="7"/>
  <c r="O17" i="7"/>
  <c r="Q17" i="7" s="1"/>
  <c r="L17" i="7"/>
  <c r="L14" i="7"/>
  <c r="O13" i="7"/>
  <c r="Q13" i="7" s="1"/>
  <c r="L13" i="7"/>
  <c r="O12" i="7"/>
  <c r="Q12" i="7" s="1"/>
  <c r="L12" i="7"/>
  <c r="O11" i="7"/>
  <c r="Q11" i="7" s="1"/>
  <c r="L11" i="7"/>
  <c r="O10" i="7"/>
  <c r="Q10" i="7" s="1"/>
  <c r="L10" i="7"/>
  <c r="O9" i="7"/>
  <c r="Q9" i="7" s="1"/>
  <c r="L9" i="7"/>
  <c r="O8" i="7"/>
  <c r="Q8" i="7" s="1"/>
  <c r="L8" i="7"/>
  <c r="O7" i="7"/>
  <c r="Q7" i="7" s="1"/>
  <c r="L7" i="7"/>
  <c r="O6" i="7"/>
  <c r="Q6" i="7" s="1"/>
  <c r="L6" i="7"/>
  <c r="O5" i="7"/>
  <c r="Q5" i="7" s="1"/>
  <c r="L5" i="7"/>
  <c r="O4" i="7"/>
  <c r="Q4" i="7" s="1"/>
  <c r="L4" i="7"/>
  <c r="K21" i="5"/>
  <c r="M21" i="5" s="1"/>
  <c r="O21" i="5" s="1"/>
  <c r="AX20" i="5"/>
  <c r="BA20" i="5" s="1"/>
  <c r="O20" i="5"/>
  <c r="K20" i="5"/>
  <c r="O19" i="5"/>
  <c r="AX19" i="5" s="1"/>
  <c r="BA19" i="5" s="1"/>
  <c r="K19" i="5"/>
  <c r="O18" i="5"/>
  <c r="AX18" i="5" s="1"/>
  <c r="BA18" i="5" s="1"/>
  <c r="K18" i="5"/>
  <c r="O17" i="5"/>
  <c r="AX17" i="5" s="1"/>
  <c r="BA17" i="5" s="1"/>
  <c r="K17" i="5"/>
  <c r="O16" i="5"/>
  <c r="AX16" i="5" s="1"/>
  <c r="BA16" i="5" s="1"/>
  <c r="K16" i="5"/>
  <c r="AX15" i="5"/>
  <c r="BA15" i="5" s="1"/>
  <c r="O15" i="5"/>
  <c r="K15" i="5"/>
  <c r="BA14" i="5"/>
  <c r="O14" i="5"/>
  <c r="K14" i="5"/>
  <c r="O13" i="5"/>
  <c r="K13" i="5"/>
  <c r="AX12" i="5"/>
  <c r="BA12" i="5" s="1"/>
  <c r="O12" i="5"/>
  <c r="K12" i="5"/>
  <c r="AX11" i="5"/>
  <c r="BA11" i="5" s="1"/>
  <c r="O11" i="5"/>
  <c r="K11" i="5"/>
  <c r="AX10" i="5"/>
  <c r="BA10" i="5" s="1"/>
  <c r="O10" i="5"/>
  <c r="K10" i="5"/>
  <c r="AX9" i="5"/>
  <c r="BA9" i="5" s="1"/>
  <c r="O9" i="5"/>
  <c r="K9" i="5"/>
  <c r="O8" i="5"/>
  <c r="BA8" i="5" s="1"/>
  <c r="K8" i="5"/>
  <c r="AX7" i="5"/>
  <c r="BA7" i="5" s="1"/>
  <c r="O7" i="5"/>
  <c r="K7" i="5"/>
  <c r="BA13" i="5" l="1"/>
  <c r="M18" i="7"/>
  <c r="O18" i="7" s="1"/>
  <c r="Q18" i="7" s="1"/>
</calcChain>
</file>

<file path=xl/sharedStrings.xml><?xml version="1.0" encoding="utf-8"?>
<sst xmlns="http://schemas.openxmlformats.org/spreadsheetml/2006/main" count="460" uniqueCount="150">
  <si>
    <t>SR. NO.</t>
  </si>
  <si>
    <t xml:space="preserve">                           NAME</t>
  </si>
  <si>
    <t xml:space="preserve"> SALARY</t>
  </si>
  <si>
    <t>MR. JANARDAN JAYARAM MORE</t>
  </si>
  <si>
    <t>MR. MAHESH DADA KHOLASE</t>
  </si>
  <si>
    <t>MRS. SANVI SATISH DHAMANSE</t>
  </si>
  <si>
    <t>MR. SHARAD SADASHIV KAMBLE</t>
  </si>
  <si>
    <t>MR. RAMESH ANTU KUMBHAR</t>
  </si>
  <si>
    <t>MR. JAY JANARDAN MORE</t>
  </si>
  <si>
    <t>MRS. JYOTI JANARDAN MORE</t>
  </si>
  <si>
    <t xml:space="preserve">                                                                                                                                                                       </t>
  </si>
  <si>
    <t>MR. SATISH SHIVAJI DHAMANSE</t>
  </si>
  <si>
    <t>BASIC</t>
  </si>
  <si>
    <t>DAY</t>
  </si>
  <si>
    <t>OT</t>
  </si>
  <si>
    <t>ADVANCE</t>
  </si>
  <si>
    <t>BALANCE</t>
  </si>
  <si>
    <t>SIGNATURE</t>
  </si>
  <si>
    <t>MRS. VAISHALI JADHAV</t>
  </si>
  <si>
    <t>MR. RAHUL KAMBLE</t>
  </si>
  <si>
    <t>MR. LAXMAN SHEMANKAR</t>
  </si>
  <si>
    <t>MR. SURAJ TIWARI</t>
  </si>
  <si>
    <t>MR. VINOD TIWARI</t>
  </si>
  <si>
    <t>MR. SAISH MORE</t>
  </si>
  <si>
    <t xml:space="preserve">                                  TOTAL</t>
  </si>
  <si>
    <r>
      <t xml:space="preserve">                                                                                                                                                    </t>
    </r>
    <r>
      <rPr>
        <sz val="9"/>
        <color theme="1"/>
        <rFont val="Calibri"/>
        <family val="2"/>
        <scheme val="minor"/>
      </rPr>
      <t>THANKS AND REGARDS</t>
    </r>
    <r>
      <rPr>
        <sz val="11"/>
        <color theme="1"/>
        <rFont val="Calibri"/>
        <charset val="134"/>
        <scheme val="minor"/>
      </rPr>
      <t xml:space="preserve"> </t>
    </r>
  </si>
  <si>
    <t xml:space="preserve">                                                                                                                                        SAMARTH PEST MANAGEMENT</t>
  </si>
  <si>
    <r>
      <t xml:space="preserve">             </t>
    </r>
    <r>
      <rPr>
        <b/>
        <sz val="12"/>
        <color theme="1"/>
        <rFont val="Calibri"/>
        <family val="2"/>
        <scheme val="minor"/>
      </rPr>
      <t>Salary for the month of DECEMBER 2025 as per below employee list on Date 07/01/2026</t>
    </r>
  </si>
  <si>
    <t>MR. KARAN TIWARI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</si>
  <si>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SAMARTH PEST MANAGEMENT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</si>
  <si>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Calibri"/>
        <family val="2"/>
        <scheme val="minor"/>
      </rPr>
      <t>THANKS AND REGARDS</t>
    </r>
    <r>
      <rPr>
        <sz val="11"/>
        <color theme="1"/>
        <rFont val="Calibri"/>
        <charset val="134"/>
        <scheme val="minor"/>
      </rPr>
      <t xml:space="preserve"> </t>
    </r>
  </si>
  <si>
    <t>1800+5000= 6800</t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</si>
  <si>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Salary for the month January 2026 as per below employee list on Date 07/02/2026</t>
    </r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</si>
  <si>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Salary for the month February 2026 as per below employee list on Date 07/03/2026</t>
    </r>
  </si>
  <si>
    <t>MR. MILIND RAJIWALE</t>
  </si>
  <si>
    <t>MR. GAURAV GUPTA</t>
  </si>
  <si>
    <t>MR. ARJUN RAJBHAR</t>
  </si>
  <si>
    <t>MR. ROHAN TIWARI</t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</si>
  <si>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Salary for the month March 2026 as per below employee list on Date 07/04/2026</t>
    </r>
  </si>
  <si>
    <t>MR. SHARAD S. KAMBLE</t>
  </si>
  <si>
    <t>MR. RAMESH A. KUMBHAR</t>
  </si>
  <si>
    <t>MRS. SANVI S. DHAMANSE</t>
  </si>
  <si>
    <t>MR. SATISH S. DHAMANSE</t>
  </si>
  <si>
    <t>MR. JANARDAN J. MORE</t>
  </si>
  <si>
    <t xml:space="preserve">  ADVANCE 07 MARCH 2026 TO 07 APRIL 2026</t>
  </si>
  <si>
    <t>SR.NO</t>
  </si>
  <si>
    <t>EMP.NAME</t>
  </si>
  <si>
    <t>PT</t>
  </si>
  <si>
    <t>TOTAL  SALARY</t>
  </si>
  <si>
    <t>PF</t>
  </si>
  <si>
    <t>ESIC</t>
  </si>
  <si>
    <t>NET SALARY</t>
  </si>
  <si>
    <t>ADVANCE BALANCE</t>
  </si>
  <si>
    <t>PREVIOUS LONE</t>
  </si>
  <si>
    <t>TOTAL LONE BALANCE</t>
  </si>
  <si>
    <t>CASH</t>
  </si>
  <si>
    <t>LIGHT</t>
  </si>
  <si>
    <t>TOTAL ADVANCE</t>
  </si>
  <si>
    <t>PREVIOUS 'LOAN</t>
  </si>
  <si>
    <t>SALARY APR-26</t>
  </si>
  <si>
    <t>BALANCE LOAN</t>
  </si>
  <si>
    <t>JANARDAN J MORE</t>
  </si>
  <si>
    <t>MAHESH D KHOLASE</t>
  </si>
  <si>
    <t>SATISH S DHAMASNE</t>
  </si>
  <si>
    <t>JAY J. MORE</t>
  </si>
  <si>
    <t>SANVI S. DHAMANSE</t>
  </si>
  <si>
    <t>JYOTI J. MORE</t>
  </si>
  <si>
    <t>SHARAD S. KAMBLE</t>
  </si>
  <si>
    <t>VAISHALI JADHAV</t>
  </si>
  <si>
    <t>RAHUL KAMBLE</t>
  </si>
  <si>
    <t>RAMESH A. KUMBHAR</t>
  </si>
  <si>
    <t>LAXMAN SHEMANKAR</t>
  </si>
  <si>
    <t>ARJUN RAJBHAR</t>
  </si>
  <si>
    <t>ROHAN TIWARI</t>
  </si>
  <si>
    <t>RAMAN CHAUDHARY</t>
  </si>
  <si>
    <t>SANDIP TIWARI</t>
  </si>
  <si>
    <t xml:space="preserve">  ADVANCE 07 MAY 2026 TO 07 JUNE 2026</t>
  </si>
  <si>
    <t>P. LOAN</t>
  </si>
  <si>
    <t>RECHARGE</t>
  </si>
  <si>
    <t>TOTAL DAYS</t>
  </si>
  <si>
    <t>TOTAL LOAN</t>
  </si>
  <si>
    <t>LOAN BALANCE</t>
  </si>
  <si>
    <t>P. DIDUCT</t>
  </si>
  <si>
    <t>C. LOAN</t>
  </si>
  <si>
    <t>CURRENT LOAN + PREVIUS LOAN = TOTAL LOAN - PREVIUS LOAN DIDUCT = LOAN BALANCE</t>
  </si>
  <si>
    <t xml:space="preserve">                                                                                                                                                                                  Salary for the month March 2026 as per below employee list on Date 07/04/2026       07 MAY 2026 TO 07 JUNE 2026</t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</si>
  <si>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Salary for the month May 2026 as per below employee list on Date 06/06/2026</t>
    </r>
  </si>
  <si>
    <t>EMP.ID</t>
  </si>
  <si>
    <t>DESIGNATION</t>
  </si>
  <si>
    <t>AMOUNT</t>
  </si>
  <si>
    <t>BAL LOAN</t>
  </si>
  <si>
    <t>SPM</t>
  </si>
  <si>
    <t>SALES HEAD</t>
  </si>
  <si>
    <t>SALES MANAGER</t>
  </si>
  <si>
    <t>OPS MANAGER</t>
  </si>
  <si>
    <t>PLANNER</t>
  </si>
  <si>
    <t>OFFICE ASSI.</t>
  </si>
  <si>
    <t>TECHNICIAN</t>
  </si>
  <si>
    <t>SURAJ TIWARI</t>
  </si>
  <si>
    <t>MILIND RAJIWALE</t>
  </si>
  <si>
    <t>GAURAV GUPTA</t>
  </si>
  <si>
    <t>VINOD TIWARI</t>
  </si>
  <si>
    <t>KARAN TIWARI</t>
  </si>
  <si>
    <r>
      <t xml:space="preserve">      </t>
    </r>
    <r>
      <rPr>
        <b/>
        <sz val="14"/>
        <color theme="1"/>
        <rFont val="Calibri"/>
        <family val="2"/>
        <scheme val="minor"/>
      </rPr>
      <t>Salary for the month of April 2026 as per below employee list on Date 07/05/2026</t>
    </r>
  </si>
  <si>
    <t xml:space="preserve">UAN No. </t>
  </si>
  <si>
    <t>07 JUNE 2026 TO 07 JULY 2026</t>
  </si>
  <si>
    <t xml:space="preserve">  ADVANCE 07 JUNE 2026 TO 07 JULY 2026</t>
  </si>
  <si>
    <t xml:space="preserve">  SALARY</t>
  </si>
  <si>
    <t>OT SALARY</t>
  </si>
  <si>
    <t>PF 12%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</si>
  <si>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</si>
  <si>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</si>
  <si>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</si>
  <si>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</si>
  <si>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</si>
  <si>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</si>
  <si>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</si>
  <si>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</si>
  <si>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</si>
  <si>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</si>
  <si>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</si>
  <si>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</si>
  <si>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</si>
  <si>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</si>
  <si>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</si>
  <si>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</si>
  <si>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</si>
  <si>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</si>
  <si>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</si>
  <si>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</si>
  <si>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</si>
  <si>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</si>
  <si>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</si>
  <si>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</si>
  <si>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</si>
  <si>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</si>
  <si>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</si>
  <si>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</si>
  <si>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</si>
  <si>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</si>
  <si>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</si>
  <si>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SHARAD S KAMBLE</t>
  </si>
  <si>
    <t>RAMESH A KUMBHAR</t>
  </si>
  <si>
    <t>SAISH MORE</t>
  </si>
  <si>
    <t>BASIC 60%</t>
  </si>
  <si>
    <t>HRA 40%</t>
  </si>
  <si>
    <t>07 JULY 2026 TO 07 AUGUST 2026</t>
  </si>
  <si>
    <t>SNEHA KUMBHAR</t>
  </si>
  <si>
    <t>DINESH  C. A.</t>
  </si>
  <si>
    <t>JAGDALE -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</si>
</sst>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2" fillId="0" borderId="0" xfId="0" applyFont="1"/>
    <xf numFmtId="0" fontId="13" fillId="0" borderId="0" xfId="0" applyFont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0" fillId="0" borderId="1" xfId="0" applyBorder="1" applyAlignment="1">
      <alignment horizontal="left"/>
    </xf>
    <xf numFmtId="4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/>
    <xf numFmtId="0" fontId="12" fillId="0" borderId="1" xfId="0" applyFont="1" applyBorder="1" applyAlignment="1">
      <alignment horizontal="left"/>
    </xf>
    <xf numFmtId="4" fontId="0" fillId="0" borderId="1" xfId="0" applyNumberFormat="1" applyBorder="1" applyAlignment="1">
      <alignment horizontal="left"/>
    </xf>
    <xf numFmtId="4" fontId="13" fillId="0" borderId="1" xfId="0" quotePrefix="1" applyNumberFormat="1" applyFont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4" fontId="13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3" fontId="0" fillId="0" borderId="1" xfId="0" applyNumberFormat="1" applyBorder="1"/>
    <xf numFmtId="0" fontId="0" fillId="0" borderId="2" xfId="0" applyBorder="1"/>
    <xf numFmtId="0" fontId="16" fillId="0" borderId="2" xfId="0" applyFont="1" applyBorder="1"/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/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3" fillId="2" borderId="3" xfId="0" quotePrefix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4" xfId="0" quotePrefix="1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13" fillId="3" borderId="1" xfId="0" quotePrefix="1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4" fontId="13" fillId="0" borderId="0" xfId="0" applyNumberFormat="1" applyFont="1" applyAlignment="1">
      <alignment horizontal="left"/>
    </xf>
    <xf numFmtId="0" fontId="17" fillId="0" borderId="0" xfId="0" applyFont="1"/>
    <xf numFmtId="0" fontId="13" fillId="3" borderId="0" xfId="0" applyFont="1" applyFill="1" applyAlignment="1">
      <alignment horizontal="left"/>
    </xf>
    <xf numFmtId="4" fontId="0" fillId="3" borderId="1" xfId="0" quotePrefix="1" applyNumberFormat="1" applyFill="1" applyBorder="1" applyAlignment="1">
      <alignment horizontal="left"/>
    </xf>
    <xf numFmtId="0" fontId="18" fillId="0" borderId="0" xfId="0" applyFont="1"/>
    <xf numFmtId="0" fontId="5" fillId="0" borderId="0" xfId="0" applyFont="1" applyAlignment="1">
      <alignment horizontal="center"/>
    </xf>
    <xf numFmtId="0" fontId="13" fillId="2" borderId="6" xfId="0" applyFont="1" applyFill="1" applyBorder="1"/>
    <xf numFmtId="4" fontId="0" fillId="0" borderId="6" xfId="0" quotePrefix="1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2" borderId="1" xfId="0" applyFont="1" applyFill="1" applyBorder="1" applyAlignment="1">
      <alignment horizontal="left"/>
    </xf>
    <xf numFmtId="4" fontId="21" fillId="0" borderId="1" xfId="0" quotePrefix="1" applyNumberFormat="1" applyFont="1" applyBorder="1" applyAlignment="1">
      <alignment horizontal="left"/>
    </xf>
    <xf numFmtId="4" fontId="20" fillId="0" borderId="7" xfId="0" quotePrefix="1" applyNumberFormat="1" applyFont="1" applyBorder="1" applyAlignment="1">
      <alignment horizontal="left"/>
    </xf>
    <xf numFmtId="0" fontId="20" fillId="2" borderId="1" xfId="0" applyFont="1" applyFill="1" applyBorder="1"/>
    <xf numFmtId="4" fontId="21" fillId="0" borderId="1" xfId="0" applyNumberFormat="1" applyFont="1" applyBorder="1" applyAlignment="1">
      <alignment horizontal="left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center"/>
    </xf>
    <xf numFmtId="3" fontId="0" fillId="0" borderId="1" xfId="0" applyNumberFormat="1" applyBorder="1" applyAlignment="1">
      <alignment horizontal="left" vertical="center"/>
    </xf>
    <xf numFmtId="3" fontId="0" fillId="0" borderId="1" xfId="0" quotePrefix="1" applyNumberForma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13" fillId="0" borderId="1" xfId="0" applyNumberFormat="1" applyFont="1" applyBorder="1"/>
    <xf numFmtId="4" fontId="0" fillId="6" borderId="1" xfId="0" applyNumberFormat="1" applyFill="1" applyBorder="1" applyAlignment="1">
      <alignment horizontal="left"/>
    </xf>
    <xf numFmtId="4" fontId="21" fillId="6" borderId="1" xfId="0" quotePrefix="1" applyNumberFormat="1" applyFont="1" applyFill="1" applyBorder="1" applyAlignment="1">
      <alignment horizontal="left"/>
    </xf>
    <xf numFmtId="4" fontId="0" fillId="6" borderId="1" xfId="0" quotePrefix="1" applyNumberForma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" fontId="0" fillId="4" borderId="1" xfId="0" applyNumberFormat="1" applyFill="1" applyBorder="1" applyAlignment="1">
      <alignment horizontal="left"/>
    </xf>
    <xf numFmtId="4" fontId="21" fillId="4" borderId="1" xfId="0" quotePrefix="1" applyNumberFormat="1" applyFont="1" applyFill="1" applyBorder="1" applyAlignment="1">
      <alignment horizontal="left"/>
    </xf>
    <xf numFmtId="4" fontId="0" fillId="4" borderId="1" xfId="0" quotePrefix="1" applyNumberFormat="1" applyFill="1" applyBorder="1" applyAlignment="1">
      <alignment horizontal="left"/>
    </xf>
    <xf numFmtId="3" fontId="13" fillId="0" borderId="11" xfId="0" applyNumberFormat="1" applyFont="1" applyBorder="1"/>
    <xf numFmtId="4" fontId="13" fillId="0" borderId="11" xfId="0" quotePrefix="1" applyNumberFormat="1" applyFont="1" applyBorder="1" applyAlignment="1">
      <alignment horizontal="left"/>
    </xf>
    <xf numFmtId="0" fontId="13" fillId="0" borderId="11" xfId="0" quotePrefix="1" applyFont="1" applyBorder="1" applyAlignment="1">
      <alignment horizontal="left"/>
    </xf>
    <xf numFmtId="0" fontId="0" fillId="0" borderId="11" xfId="0" applyBorder="1"/>
    <xf numFmtId="4" fontId="13" fillId="0" borderId="11" xfId="0" applyNumberFormat="1" applyFont="1" applyBorder="1" applyAlignment="1">
      <alignment horizontal="left"/>
    </xf>
    <xf numFmtId="0" fontId="1" fillId="0" borderId="1" xfId="0" applyFont="1" applyBorder="1"/>
    <xf numFmtId="3" fontId="13" fillId="0" borderId="1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531707</xdr:colOff>
      <xdr:row>25</xdr:row>
      <xdr:rowOff>146243</xdr:rowOff>
    </xdr:from>
    <xdr:ext cx="850265" cy="434340"/>
    <xdr:pic>
      <xdr:nvPicPr>
        <xdr:cNvPr id="3" name="Picture 2">
          <a:extLst>
            <a:ext uri="{FF2B5EF4-FFF2-40B4-BE49-F238E27FC236}">
              <a16:creationId xmlns:a16="http://schemas.microsoft.com/office/drawing/2014/main" id="{7B50A4BA-15CF-45C7-B411-816258D0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4718859" y="4394970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9</xdr:col>
      <xdr:colOff>84666</xdr:colOff>
      <xdr:row>4</xdr:row>
      <xdr:rowOff>84667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8774A3-65AA-EF58-8E71-8AFAF983C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0" y="0"/>
          <a:ext cx="6804121" cy="823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425027</xdr:colOff>
      <xdr:row>25</xdr:row>
      <xdr:rowOff>161483</xdr:rowOff>
    </xdr:from>
    <xdr:ext cx="850265" cy="434340"/>
    <xdr:pic>
      <xdr:nvPicPr>
        <xdr:cNvPr id="2" name="Picture 1">
          <a:extLst>
            <a:ext uri="{FF2B5EF4-FFF2-40B4-BE49-F238E27FC236}">
              <a16:creationId xmlns:a16="http://schemas.microsoft.com/office/drawing/2014/main" id="{8AED4357-740B-4DE6-82A8-A7CF1CE3B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4265507" y="8528243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9</xdr:col>
      <xdr:colOff>87265</xdr:colOff>
      <xdr:row>4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44ED6-7628-47BB-B2C7-7DD13E159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0" y="0"/>
          <a:ext cx="6926580" cy="8915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425027</xdr:colOff>
      <xdr:row>26</xdr:row>
      <xdr:rowOff>161483</xdr:rowOff>
    </xdr:from>
    <xdr:ext cx="850265" cy="434340"/>
    <xdr:pic>
      <xdr:nvPicPr>
        <xdr:cNvPr id="2" name="Picture 1">
          <a:extLst>
            <a:ext uri="{FF2B5EF4-FFF2-40B4-BE49-F238E27FC236}">
              <a16:creationId xmlns:a16="http://schemas.microsoft.com/office/drawing/2014/main" id="{573BE463-2BDC-40A9-83DE-944FDED9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4265507" y="8421563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9</xdr:col>
      <xdr:colOff>19793</xdr:colOff>
      <xdr:row>4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FAE48-4C50-4219-AA65-23E7966F2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0" y="0"/>
          <a:ext cx="6818416" cy="87253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120228</xdr:colOff>
      <xdr:row>22</xdr:row>
      <xdr:rowOff>125506</xdr:rowOff>
    </xdr:from>
    <xdr:ext cx="850265" cy="434340"/>
    <xdr:pic>
      <xdr:nvPicPr>
        <xdr:cNvPr id="2" name="Picture 1">
          <a:extLst>
            <a:ext uri="{FF2B5EF4-FFF2-40B4-BE49-F238E27FC236}">
              <a16:creationId xmlns:a16="http://schemas.microsoft.com/office/drawing/2014/main" id="{FC75B0C2-3871-4F46-8504-3B85FF24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7549728" y="6251986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197224</xdr:colOff>
      <xdr:row>0</xdr:row>
      <xdr:rowOff>0</xdr:rowOff>
    </xdr:from>
    <xdr:ext cx="6818626" cy="1165412"/>
    <xdr:pic>
      <xdr:nvPicPr>
        <xdr:cNvPr id="3" name="Picture 2">
          <a:extLst>
            <a:ext uri="{FF2B5EF4-FFF2-40B4-BE49-F238E27FC236}">
              <a16:creationId xmlns:a16="http://schemas.microsoft.com/office/drawing/2014/main" id="{D0B127DB-0C80-4D18-AF81-426133CC42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197224" y="0"/>
          <a:ext cx="6818626" cy="116541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120228</xdr:colOff>
      <xdr:row>19</xdr:row>
      <xdr:rowOff>125506</xdr:rowOff>
    </xdr:from>
    <xdr:ext cx="850265" cy="434340"/>
    <xdr:pic>
      <xdr:nvPicPr>
        <xdr:cNvPr id="3" name="Picture 2">
          <a:extLst>
            <a:ext uri="{FF2B5EF4-FFF2-40B4-BE49-F238E27FC236}">
              <a16:creationId xmlns:a16="http://schemas.microsoft.com/office/drawing/2014/main" id="{E5871890-53A7-42C6-9B73-DB841B46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4044528" y="5665246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6818626" cy="632460"/>
    <xdr:pic>
      <xdr:nvPicPr>
        <xdr:cNvPr id="2" name="Picture 1">
          <a:extLst>
            <a:ext uri="{FF2B5EF4-FFF2-40B4-BE49-F238E27FC236}">
              <a16:creationId xmlns:a16="http://schemas.microsoft.com/office/drawing/2014/main" id="{4C49E0B9-F8FD-4A6D-82FC-FF229B4F8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350520" y="0"/>
          <a:ext cx="6818626" cy="6324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0</xdr:row>
      <xdr:rowOff>0</xdr:rowOff>
    </xdr:from>
    <xdr:ext cx="6818626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D3B9BA1F-9813-4A9A-AA62-F9C37164C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99060" y="0"/>
          <a:ext cx="6818626" cy="495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818626" cy="495300"/>
    <xdr:pic>
      <xdr:nvPicPr>
        <xdr:cNvPr id="7" name="Picture 6">
          <a:extLst>
            <a:ext uri="{FF2B5EF4-FFF2-40B4-BE49-F238E27FC236}">
              <a16:creationId xmlns:a16="http://schemas.microsoft.com/office/drawing/2014/main" id="{D409CC4B-7E08-4FCC-89FC-1950C4F6B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274320" y="0"/>
          <a:ext cx="6818626" cy="495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728536</xdr:colOff>
      <xdr:row>20</xdr:row>
      <xdr:rowOff>142110</xdr:rowOff>
    </xdr:from>
    <xdr:ext cx="850265" cy="434340"/>
    <xdr:pic>
      <xdr:nvPicPr>
        <xdr:cNvPr id="2" name="Picture 1">
          <a:extLst>
            <a:ext uri="{FF2B5EF4-FFF2-40B4-BE49-F238E27FC236}">
              <a16:creationId xmlns:a16="http://schemas.microsoft.com/office/drawing/2014/main" id="{ACC65B1F-079E-4707-99BF-E246005C3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397" t="24414" r="6355" b="37124"/>
        <a:stretch>
          <a:fillRect/>
        </a:stretch>
      </xdr:blipFill>
      <xdr:spPr>
        <a:xfrm>
          <a:off x="4506248" y="8595144"/>
          <a:ext cx="850265" cy="43434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</xdr:colOff>
      <xdr:row>0</xdr:row>
      <xdr:rowOff>0</xdr:rowOff>
    </xdr:from>
    <xdr:to>
      <xdr:col>9</xdr:col>
      <xdr:colOff>12917</xdr:colOff>
      <xdr:row>0</xdr:row>
      <xdr:rowOff>915562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FFB2D-2DE2-437A-95C2-A9C5A9CEE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8" t="25698" r="13870" b="22386"/>
        <a:stretch>
          <a:fillRect/>
        </a:stretch>
      </xdr:blipFill>
      <xdr:spPr bwMode="auto">
        <a:xfrm>
          <a:off x="2" y="0"/>
          <a:ext cx="6812796" cy="91556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K41"/>
  <sheetViews>
    <sheetView topLeftCell="A22" zoomScale="99" zoomScaleNormal="99" workbookViewId="0">
      <selection activeCell="C32" sqref="C32"/>
    </sheetView>
  </sheetViews>
  <sheetFormatPr defaultColWidth="9" defaultRowHeight="14.4"/>
  <cols>
    <col min="1" max="1" width="3" customWidth="1"/>
    <col min="2" max="2" width="27.77734375" customWidth="1"/>
    <col min="3" max="3" width="10.77734375" customWidth="1"/>
    <col min="4" max="4" width="4.109375" customWidth="1"/>
    <col min="5" max="5" width="3.77734375" customWidth="1"/>
    <col min="6" max="6" width="11.44140625" customWidth="1"/>
    <col min="7" max="7" width="9.5546875" customWidth="1"/>
    <col min="8" max="8" width="11" customWidth="1"/>
    <col min="9" max="10" width="16.33203125" customWidth="1"/>
  </cols>
  <sheetData>
    <row r="4" spans="1:9">
      <c r="A4" s="1"/>
    </row>
    <row r="5" spans="1:9">
      <c r="A5" s="1"/>
    </row>
    <row r="6" spans="1:9" ht="15.6">
      <c r="A6" s="1" t="s">
        <v>27</v>
      </c>
    </row>
    <row r="7" spans="1:9">
      <c r="A7" s="1"/>
    </row>
    <row r="8" spans="1:9" s="2" customFormat="1" ht="33" customHeight="1">
      <c r="A8" s="3" t="s">
        <v>0</v>
      </c>
      <c r="B8" s="3" t="s">
        <v>1</v>
      </c>
      <c r="C8" s="3" t="s">
        <v>12</v>
      </c>
      <c r="D8" s="3" t="s">
        <v>13</v>
      </c>
      <c r="E8" s="3" t="s">
        <v>14</v>
      </c>
      <c r="F8" s="4" t="s">
        <v>2</v>
      </c>
      <c r="G8" s="4" t="s">
        <v>15</v>
      </c>
      <c r="H8" s="3" t="s">
        <v>16</v>
      </c>
      <c r="I8" s="3" t="s">
        <v>17</v>
      </c>
    </row>
    <row r="9" spans="1:9" ht="33" customHeight="1">
      <c r="A9" s="5">
        <v>1</v>
      </c>
      <c r="B9" s="5" t="s">
        <v>3</v>
      </c>
      <c r="C9" s="6">
        <v>35000</v>
      </c>
      <c r="D9" s="7">
        <v>31</v>
      </c>
      <c r="E9" s="7">
        <v>0</v>
      </c>
      <c r="F9" s="6">
        <v>35000</v>
      </c>
      <c r="G9" s="6">
        <v>30000</v>
      </c>
      <c r="H9" s="6">
        <v>5000</v>
      </c>
      <c r="I9" s="8"/>
    </row>
    <row r="10" spans="1:9" ht="33" customHeight="1">
      <c r="A10" s="5">
        <v>2</v>
      </c>
      <c r="B10" s="5" t="s">
        <v>4</v>
      </c>
      <c r="C10" s="6">
        <v>35000</v>
      </c>
      <c r="D10" s="7">
        <v>31</v>
      </c>
      <c r="E10" s="7">
        <v>0</v>
      </c>
      <c r="F10" s="6">
        <v>35000</v>
      </c>
      <c r="G10" s="6">
        <v>30000</v>
      </c>
      <c r="H10" s="6">
        <v>5000</v>
      </c>
      <c r="I10" s="8"/>
    </row>
    <row r="11" spans="1:9" ht="33" customHeight="1">
      <c r="A11" s="5">
        <v>3</v>
      </c>
      <c r="B11" s="5" t="s">
        <v>11</v>
      </c>
      <c r="C11" s="6">
        <v>35000</v>
      </c>
      <c r="D11" s="7">
        <v>31</v>
      </c>
      <c r="E11" s="7">
        <v>0</v>
      </c>
      <c r="F11" s="6">
        <v>35000</v>
      </c>
      <c r="G11" s="6">
        <v>0</v>
      </c>
      <c r="H11" s="6">
        <v>35000</v>
      </c>
      <c r="I11" s="8"/>
    </row>
    <row r="12" spans="1:9" ht="33" customHeight="1">
      <c r="A12" s="5">
        <v>7</v>
      </c>
      <c r="B12" s="5" t="s">
        <v>8</v>
      </c>
      <c r="C12" s="6">
        <v>1000</v>
      </c>
      <c r="D12" s="7">
        <v>31</v>
      </c>
      <c r="E12" s="7">
        <v>0</v>
      </c>
      <c r="F12" s="6">
        <v>1000</v>
      </c>
      <c r="G12" s="6">
        <v>0</v>
      </c>
      <c r="H12" s="6">
        <v>1000</v>
      </c>
      <c r="I12" s="8"/>
    </row>
    <row r="13" spans="1:9" ht="33" customHeight="1">
      <c r="A13" s="5">
        <v>4</v>
      </c>
      <c r="B13" s="5" t="s">
        <v>5</v>
      </c>
      <c r="C13" s="6">
        <v>5000</v>
      </c>
      <c r="D13" s="7">
        <v>31</v>
      </c>
      <c r="E13" s="7">
        <v>0</v>
      </c>
      <c r="F13" s="6">
        <v>5000</v>
      </c>
      <c r="G13" s="6">
        <v>0</v>
      </c>
      <c r="H13" s="6">
        <v>5000</v>
      </c>
      <c r="I13" s="8"/>
    </row>
    <row r="14" spans="1:9" ht="33" customHeight="1">
      <c r="A14" s="5">
        <v>8</v>
      </c>
      <c r="B14" s="5" t="s">
        <v>9</v>
      </c>
      <c r="C14" s="6">
        <v>10000</v>
      </c>
      <c r="D14" s="7">
        <v>31</v>
      </c>
      <c r="E14" s="7">
        <v>0</v>
      </c>
      <c r="F14" s="6">
        <v>10000</v>
      </c>
      <c r="G14" s="6">
        <v>0</v>
      </c>
      <c r="H14" s="6">
        <v>10000</v>
      </c>
      <c r="I14" s="8"/>
    </row>
    <row r="15" spans="1:9" ht="33" customHeight="1">
      <c r="A15" s="5">
        <v>9</v>
      </c>
      <c r="B15" s="9" t="s">
        <v>18</v>
      </c>
      <c r="C15" s="6">
        <v>10000</v>
      </c>
      <c r="D15" s="7">
        <v>31</v>
      </c>
      <c r="E15" s="7">
        <v>0</v>
      </c>
      <c r="F15" s="6">
        <v>10000</v>
      </c>
      <c r="G15" s="6">
        <v>0</v>
      </c>
      <c r="H15" s="6">
        <v>10000</v>
      </c>
      <c r="I15" s="8"/>
    </row>
    <row r="16" spans="1:9" ht="33" customHeight="1">
      <c r="A16" s="5">
        <v>5</v>
      </c>
      <c r="B16" s="5" t="s">
        <v>6</v>
      </c>
      <c r="C16" s="6">
        <v>15000</v>
      </c>
      <c r="D16" s="7">
        <v>30</v>
      </c>
      <c r="E16" s="7">
        <v>1</v>
      </c>
      <c r="F16" s="10">
        <v>15000</v>
      </c>
      <c r="G16" s="10">
        <v>7300</v>
      </c>
      <c r="H16" s="10">
        <v>7700</v>
      </c>
      <c r="I16" s="8"/>
    </row>
    <row r="17" spans="1:37" ht="33" customHeight="1">
      <c r="A17" s="5">
        <v>6</v>
      </c>
      <c r="B17" s="5" t="s">
        <v>7</v>
      </c>
      <c r="C17" s="6">
        <v>13000</v>
      </c>
      <c r="D17" s="7">
        <v>30</v>
      </c>
      <c r="E17" s="7">
        <v>5</v>
      </c>
      <c r="F17" s="10">
        <v>14677</v>
      </c>
      <c r="G17" s="10">
        <v>0</v>
      </c>
      <c r="H17" s="10">
        <v>14677</v>
      </c>
      <c r="I17" s="8"/>
    </row>
    <row r="18" spans="1:37" ht="33" customHeight="1">
      <c r="A18" s="5">
        <v>10</v>
      </c>
      <c r="B18" s="9" t="s">
        <v>19</v>
      </c>
      <c r="C18" s="6">
        <v>16000</v>
      </c>
      <c r="D18" s="7">
        <v>27</v>
      </c>
      <c r="E18" s="7">
        <v>1</v>
      </c>
      <c r="F18" s="6">
        <v>14451</v>
      </c>
      <c r="G18" s="6">
        <v>0</v>
      </c>
      <c r="H18" s="6">
        <v>14451</v>
      </c>
      <c r="I18" s="8"/>
    </row>
    <row r="19" spans="1:37" ht="33" customHeight="1">
      <c r="A19" s="5">
        <v>11</v>
      </c>
      <c r="B19" s="9" t="s">
        <v>20</v>
      </c>
      <c r="C19" s="6">
        <v>13000</v>
      </c>
      <c r="D19" s="7">
        <v>29</v>
      </c>
      <c r="E19" s="7">
        <v>2</v>
      </c>
      <c r="F19" s="6">
        <v>13000</v>
      </c>
      <c r="G19" s="6">
        <v>0</v>
      </c>
      <c r="H19" s="6">
        <v>13000</v>
      </c>
      <c r="I19" s="8"/>
    </row>
    <row r="20" spans="1:37" ht="33" customHeight="1">
      <c r="A20" s="5">
        <v>12</v>
      </c>
      <c r="B20" s="9" t="s">
        <v>21</v>
      </c>
      <c r="C20" s="6">
        <v>15000</v>
      </c>
      <c r="D20" s="7">
        <v>30</v>
      </c>
      <c r="E20" s="7">
        <v>8</v>
      </c>
      <c r="F20" s="6">
        <v>19000</v>
      </c>
      <c r="G20" s="6">
        <v>8200</v>
      </c>
      <c r="H20" s="6">
        <v>10800</v>
      </c>
      <c r="I20" s="8"/>
    </row>
    <row r="21" spans="1:37" ht="33" customHeight="1">
      <c r="A21" s="5">
        <v>13</v>
      </c>
      <c r="B21" s="9" t="s">
        <v>22</v>
      </c>
      <c r="C21" s="6">
        <v>15000</v>
      </c>
      <c r="D21" s="7">
        <v>12</v>
      </c>
      <c r="E21" s="7">
        <v>2</v>
      </c>
      <c r="F21" s="6">
        <v>6774</v>
      </c>
      <c r="G21" s="6">
        <v>5250</v>
      </c>
      <c r="H21" s="6">
        <v>1524</v>
      </c>
      <c r="I21" s="8"/>
    </row>
    <row r="22" spans="1:37" ht="33" customHeight="1">
      <c r="A22" s="5">
        <v>14</v>
      </c>
      <c r="B22" s="9" t="s">
        <v>23</v>
      </c>
      <c r="C22" s="6">
        <v>15000</v>
      </c>
      <c r="D22" s="7">
        <v>22</v>
      </c>
      <c r="E22" s="7">
        <v>1</v>
      </c>
      <c r="F22" s="6">
        <v>11500</v>
      </c>
      <c r="G22" s="6">
        <v>0</v>
      </c>
      <c r="H22" s="6">
        <v>11500</v>
      </c>
      <c r="I22" s="8"/>
    </row>
    <row r="23" spans="1:37" ht="33" customHeight="1">
      <c r="A23" s="5"/>
      <c r="B23" s="3" t="s">
        <v>24</v>
      </c>
      <c r="C23" s="11">
        <v>233000</v>
      </c>
      <c r="D23" s="12"/>
      <c r="E23" s="12"/>
      <c r="F23" s="11">
        <v>225402</v>
      </c>
      <c r="G23" s="11">
        <v>80750</v>
      </c>
      <c r="H23" s="13">
        <v>144652</v>
      </c>
      <c r="I23" s="8"/>
    </row>
    <row r="25" spans="1:37">
      <c r="A25" s="1" t="s">
        <v>25</v>
      </c>
    </row>
    <row r="26" spans="1:37">
      <c r="A26" s="1" t="s">
        <v>26</v>
      </c>
    </row>
    <row r="27" spans="1:37">
      <c r="A27" t="s">
        <v>10</v>
      </c>
    </row>
    <row r="29" spans="1:37" ht="15" thickBot="1"/>
    <row r="30" spans="1:37" ht="23.4" customHeight="1" thickBot="1">
      <c r="A30" s="27" t="s">
        <v>45</v>
      </c>
      <c r="B30" s="27" t="s">
        <v>87</v>
      </c>
      <c r="C30" s="28" t="s">
        <v>46</v>
      </c>
      <c r="D30" s="28" t="s">
        <v>88</v>
      </c>
      <c r="E30" s="33" t="s">
        <v>110</v>
      </c>
      <c r="F30" s="33" t="s">
        <v>111</v>
      </c>
      <c r="G30" s="33" t="s">
        <v>112</v>
      </c>
      <c r="H30" s="33" t="s">
        <v>113</v>
      </c>
      <c r="I30" s="33" t="s">
        <v>114</v>
      </c>
      <c r="J30" s="33" t="s">
        <v>115</v>
      </c>
      <c r="K30" s="33" t="s">
        <v>116</v>
      </c>
      <c r="L30" s="33" t="s">
        <v>117</v>
      </c>
      <c r="M30" s="33" t="s">
        <v>118</v>
      </c>
      <c r="N30" s="33" t="s">
        <v>119</v>
      </c>
      <c r="O30" s="33" t="s">
        <v>120</v>
      </c>
      <c r="P30" s="33" t="s">
        <v>121</v>
      </c>
      <c r="Q30" s="33" t="s">
        <v>122</v>
      </c>
      <c r="R30" s="33" t="s">
        <v>123</v>
      </c>
      <c r="S30" s="33" t="s">
        <v>124</v>
      </c>
      <c r="T30" s="33" t="s">
        <v>125</v>
      </c>
      <c r="U30" s="33" t="s">
        <v>126</v>
      </c>
      <c r="V30" s="33" t="s">
        <v>127</v>
      </c>
      <c r="W30" s="33" t="s">
        <v>128</v>
      </c>
      <c r="X30" s="33" t="s">
        <v>129</v>
      </c>
      <c r="Y30" s="33" t="s">
        <v>130</v>
      </c>
      <c r="Z30" s="33" t="s">
        <v>131</v>
      </c>
      <c r="AA30" s="33" t="s">
        <v>132</v>
      </c>
      <c r="AB30" s="33" t="s">
        <v>133</v>
      </c>
      <c r="AC30" s="33" t="s">
        <v>134</v>
      </c>
      <c r="AD30" s="33" t="s">
        <v>135</v>
      </c>
      <c r="AE30" s="33" t="s">
        <v>136</v>
      </c>
      <c r="AF30" s="33" t="s">
        <v>137</v>
      </c>
      <c r="AG30" s="33" t="s">
        <v>138</v>
      </c>
      <c r="AH30" s="33" t="s">
        <v>139</v>
      </c>
      <c r="AI30" s="33" t="s">
        <v>140</v>
      </c>
      <c r="AJ30" s="33" t="s">
        <v>56</v>
      </c>
      <c r="AK30" s="27" t="s">
        <v>89</v>
      </c>
    </row>
    <row r="31" spans="1:37" ht="23.4" customHeight="1" thickBot="1">
      <c r="A31" s="39">
        <v>1</v>
      </c>
      <c r="B31" s="39" t="s">
        <v>91</v>
      </c>
      <c r="C31" s="40" t="s">
        <v>61</v>
      </c>
      <c r="D31" s="40" t="s">
        <v>92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>
        <v>20000</v>
      </c>
      <c r="W31" s="39"/>
      <c r="X31" s="39"/>
      <c r="Y31" s="39"/>
      <c r="Z31" s="39">
        <v>10000</v>
      </c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68">
        <f t="shared" ref="AK31:AK41" si="0">SUM(E31:AJ31)</f>
        <v>30000</v>
      </c>
    </row>
    <row r="32" spans="1:37" ht="23.4" customHeight="1" thickBot="1">
      <c r="A32" s="39">
        <v>2</v>
      </c>
      <c r="B32" s="39" t="s">
        <v>91</v>
      </c>
      <c r="C32" s="40" t="s">
        <v>62</v>
      </c>
      <c r="D32" s="40" t="s">
        <v>93</v>
      </c>
      <c r="E32" s="39"/>
      <c r="F32" s="39"/>
      <c r="G32" s="39"/>
      <c r="H32" s="39"/>
      <c r="I32" s="39"/>
      <c r="J32" s="39"/>
      <c r="K32" s="39"/>
      <c r="L32" s="39"/>
      <c r="M32" s="39"/>
      <c r="N32" s="39">
        <v>20000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>
        <v>10000</v>
      </c>
      <c r="AC32" s="39"/>
      <c r="AD32" s="39"/>
      <c r="AE32" s="39"/>
      <c r="AF32" s="39"/>
      <c r="AG32" s="39"/>
      <c r="AH32" s="39"/>
      <c r="AI32" s="39"/>
      <c r="AJ32" s="39"/>
      <c r="AK32" s="68">
        <f t="shared" si="0"/>
        <v>30000</v>
      </c>
    </row>
    <row r="33" spans="1:37" ht="23.4" customHeight="1" thickBot="1">
      <c r="A33" s="39">
        <v>3</v>
      </c>
      <c r="B33" s="39" t="s">
        <v>91</v>
      </c>
      <c r="C33" s="40" t="s">
        <v>63</v>
      </c>
      <c r="D33" s="40" t="s">
        <v>94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68">
        <f t="shared" si="0"/>
        <v>0</v>
      </c>
    </row>
    <row r="34" spans="1:37" ht="23.4" customHeight="1" thickBot="1">
      <c r="A34" s="39">
        <v>4</v>
      </c>
      <c r="B34" s="39" t="s">
        <v>91</v>
      </c>
      <c r="C34" s="40" t="s">
        <v>68</v>
      </c>
      <c r="D34" s="40" t="s">
        <v>95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68">
        <f t="shared" si="0"/>
        <v>0</v>
      </c>
    </row>
    <row r="35" spans="1:37" ht="23.4" customHeight="1" thickBot="1">
      <c r="A35" s="39">
        <v>5</v>
      </c>
      <c r="B35" s="39" t="s">
        <v>91</v>
      </c>
      <c r="C35" s="40" t="s">
        <v>141</v>
      </c>
      <c r="D35" s="40" t="s">
        <v>97</v>
      </c>
      <c r="E35" s="39"/>
      <c r="F35" s="39"/>
      <c r="G35" s="39">
        <v>5000</v>
      </c>
      <c r="H35" s="39"/>
      <c r="I35" s="39"/>
      <c r="J35" s="39"/>
      <c r="K35" s="39"/>
      <c r="L35" s="39"/>
      <c r="M35" s="39"/>
      <c r="N35" s="39"/>
      <c r="O35" s="39"/>
      <c r="P35" s="39"/>
      <c r="Q35" s="39">
        <v>300</v>
      </c>
      <c r="R35" s="39"/>
      <c r="S35" s="39">
        <v>1000</v>
      </c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>
        <v>1000</v>
      </c>
      <c r="AJ35" s="39"/>
      <c r="AK35" s="68">
        <f t="shared" si="0"/>
        <v>7300</v>
      </c>
    </row>
    <row r="36" spans="1:37" ht="23.4" customHeight="1" thickBot="1">
      <c r="A36" s="39">
        <v>6</v>
      </c>
      <c r="B36" s="39" t="s">
        <v>91</v>
      </c>
      <c r="C36" s="40" t="s">
        <v>142</v>
      </c>
      <c r="D36" s="40" t="s">
        <v>97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68">
        <f t="shared" si="0"/>
        <v>0</v>
      </c>
    </row>
    <row r="37" spans="1:37" ht="23.4" customHeight="1" thickBot="1">
      <c r="A37" s="39">
        <v>7</v>
      </c>
      <c r="B37" s="39" t="s">
        <v>91</v>
      </c>
      <c r="C37" s="40" t="s">
        <v>71</v>
      </c>
      <c r="D37" s="40" t="s">
        <v>97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68">
        <f t="shared" si="0"/>
        <v>0</v>
      </c>
    </row>
    <row r="38" spans="1:37" ht="23.4" customHeight="1" thickBot="1">
      <c r="A38" s="39">
        <v>8</v>
      </c>
      <c r="B38" s="39" t="s">
        <v>91</v>
      </c>
      <c r="C38" s="40" t="s">
        <v>69</v>
      </c>
      <c r="D38" s="40" t="s">
        <v>97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68">
        <f t="shared" si="0"/>
        <v>0</v>
      </c>
    </row>
    <row r="39" spans="1:37" ht="23.4" customHeight="1" thickBot="1">
      <c r="A39" s="39">
        <v>9</v>
      </c>
      <c r="B39" s="39" t="s">
        <v>91</v>
      </c>
      <c r="C39" s="40" t="s">
        <v>143</v>
      </c>
      <c r="D39" s="40" t="s">
        <v>97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68">
        <f t="shared" si="0"/>
        <v>0</v>
      </c>
    </row>
    <row r="40" spans="1:37" ht="23.4" customHeight="1" thickBot="1">
      <c r="A40" s="39">
        <v>11</v>
      </c>
      <c r="B40" s="39" t="s">
        <v>91</v>
      </c>
      <c r="C40" s="40" t="s">
        <v>101</v>
      </c>
      <c r="D40" s="40" t="s">
        <v>97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>
        <v>5000</v>
      </c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>
        <v>250</v>
      </c>
      <c r="AK40" s="68">
        <f t="shared" si="0"/>
        <v>5250</v>
      </c>
    </row>
    <row r="41" spans="1:37" ht="23.4" customHeight="1" thickBot="1">
      <c r="A41" s="39">
        <v>12</v>
      </c>
      <c r="B41" s="39" t="s">
        <v>91</v>
      </c>
      <c r="C41" s="40" t="s">
        <v>98</v>
      </c>
      <c r="D41" s="40" t="s">
        <v>97</v>
      </c>
      <c r="E41" s="39"/>
      <c r="F41" s="39"/>
      <c r="G41" s="39">
        <v>500</v>
      </c>
      <c r="H41" s="39"/>
      <c r="I41" s="39">
        <v>350</v>
      </c>
      <c r="J41" s="39">
        <v>350</v>
      </c>
      <c r="K41" s="39"/>
      <c r="L41" s="39"/>
      <c r="M41" s="39">
        <v>350</v>
      </c>
      <c r="N41" s="39"/>
      <c r="O41" s="39"/>
      <c r="P41" s="39">
        <v>3000</v>
      </c>
      <c r="Q41" s="39"/>
      <c r="R41" s="39"/>
      <c r="S41" s="39"/>
      <c r="T41" s="39">
        <v>1600</v>
      </c>
      <c r="U41" s="39"/>
      <c r="V41" s="39">
        <v>800</v>
      </c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>
        <v>1000</v>
      </c>
      <c r="AI41" s="39"/>
      <c r="AJ41" s="39">
        <v>250</v>
      </c>
      <c r="AK41" s="68">
        <f t="shared" si="0"/>
        <v>8200</v>
      </c>
    </row>
  </sheetData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4E03-2380-4D3A-8F35-A2F3ECA21BCF}">
  <dimension ref="A4:AK45"/>
  <sheetViews>
    <sheetView topLeftCell="A23" zoomScale="73" workbookViewId="0">
      <selection activeCell="E47" sqref="E47"/>
    </sheetView>
  </sheetViews>
  <sheetFormatPr defaultRowHeight="14.4"/>
  <cols>
    <col min="1" max="1" width="6.21875" style="14" customWidth="1"/>
    <col min="2" max="2" width="27.88671875" customWidth="1"/>
    <col min="3" max="3" width="11" customWidth="1"/>
    <col min="4" max="4" width="5.5546875" customWidth="1"/>
    <col min="5" max="5" width="5.33203125" customWidth="1"/>
    <col min="6" max="6" width="11.5546875" customWidth="1"/>
    <col min="7" max="7" width="9.5546875" customWidth="1"/>
    <col min="8" max="8" width="11.44140625" customWidth="1"/>
    <col min="9" max="9" width="11.109375" customWidth="1"/>
    <col min="10" max="10" width="16.44140625" customWidth="1"/>
  </cols>
  <sheetData>
    <row r="4" spans="1:10">
      <c r="A4" s="15"/>
    </row>
    <row r="5" spans="1:10">
      <c r="A5" s="15"/>
    </row>
    <row r="6" spans="1:10" ht="15.6">
      <c r="A6" s="19" t="s">
        <v>32</v>
      </c>
    </row>
    <row r="7" spans="1:10">
      <c r="A7" s="15"/>
    </row>
    <row r="8" spans="1:10" s="2" customFormat="1" ht="33" customHeight="1">
      <c r="A8" s="16" t="s">
        <v>0</v>
      </c>
      <c r="B8" s="3" t="s">
        <v>1</v>
      </c>
      <c r="C8" s="3" t="s">
        <v>12</v>
      </c>
      <c r="D8" s="3" t="s">
        <v>13</v>
      </c>
      <c r="E8" s="3" t="s">
        <v>14</v>
      </c>
      <c r="F8" s="4" t="s">
        <v>2</v>
      </c>
      <c r="G8" s="4" t="s">
        <v>15</v>
      </c>
      <c r="H8" s="3" t="s">
        <v>16</v>
      </c>
      <c r="I8" s="3" t="s">
        <v>17</v>
      </c>
    </row>
    <row r="9" spans="1:10" ht="33" customHeight="1">
      <c r="A9" s="17">
        <v>1</v>
      </c>
      <c r="B9" s="5" t="s">
        <v>3</v>
      </c>
      <c r="C9" s="6">
        <v>35000</v>
      </c>
      <c r="D9" s="7">
        <v>31</v>
      </c>
      <c r="E9" s="7">
        <v>0</v>
      </c>
      <c r="F9" s="6">
        <v>35000</v>
      </c>
      <c r="G9" s="6">
        <v>0</v>
      </c>
      <c r="H9" s="6">
        <v>35000</v>
      </c>
      <c r="I9" s="8"/>
    </row>
    <row r="10" spans="1:10" ht="33" customHeight="1">
      <c r="A10" s="17">
        <v>2</v>
      </c>
      <c r="B10" s="5" t="s">
        <v>4</v>
      </c>
      <c r="C10" s="6">
        <v>35000</v>
      </c>
      <c r="D10" s="7">
        <v>31</v>
      </c>
      <c r="E10" s="7">
        <v>0</v>
      </c>
      <c r="F10" s="6">
        <v>35000</v>
      </c>
      <c r="G10" s="6">
        <v>32000</v>
      </c>
      <c r="H10" s="6">
        <v>3000</v>
      </c>
      <c r="I10" s="8"/>
    </row>
    <row r="11" spans="1:10" ht="33" customHeight="1">
      <c r="A11" s="17">
        <v>3</v>
      </c>
      <c r="B11" s="5" t="s">
        <v>11</v>
      </c>
      <c r="C11" s="6">
        <v>35000</v>
      </c>
      <c r="D11" s="7">
        <v>31</v>
      </c>
      <c r="E11" s="7">
        <v>0</v>
      </c>
      <c r="F11" s="6">
        <v>35000</v>
      </c>
      <c r="G11" s="6">
        <v>0</v>
      </c>
      <c r="H11" s="6">
        <v>35000</v>
      </c>
      <c r="I11" s="8"/>
    </row>
    <row r="12" spans="1:10" ht="33" customHeight="1">
      <c r="A12" s="17">
        <v>4</v>
      </c>
      <c r="B12" s="5" t="s">
        <v>8</v>
      </c>
      <c r="C12" s="6">
        <v>1000</v>
      </c>
      <c r="D12" s="7">
        <v>31</v>
      </c>
      <c r="E12" s="7">
        <v>0</v>
      </c>
      <c r="F12" s="6">
        <v>1000</v>
      </c>
      <c r="G12" s="6">
        <v>0</v>
      </c>
      <c r="H12" s="6">
        <v>1000</v>
      </c>
      <c r="I12" s="8"/>
    </row>
    <row r="13" spans="1:10" ht="33" customHeight="1">
      <c r="A13" s="17">
        <v>5</v>
      </c>
      <c r="B13" s="5" t="s">
        <v>5</v>
      </c>
      <c r="C13" s="6">
        <v>5000</v>
      </c>
      <c r="D13" s="7">
        <v>31</v>
      </c>
      <c r="E13" s="7">
        <v>0</v>
      </c>
      <c r="F13" s="6">
        <v>5000</v>
      </c>
      <c r="G13" s="6">
        <v>0</v>
      </c>
      <c r="H13" s="6">
        <v>5000</v>
      </c>
      <c r="I13" s="8"/>
    </row>
    <row r="14" spans="1:10" ht="33" customHeight="1">
      <c r="A14" s="17">
        <v>6</v>
      </c>
      <c r="B14" s="5" t="s">
        <v>9</v>
      </c>
      <c r="C14" s="6">
        <v>10000</v>
      </c>
      <c r="D14" s="7">
        <v>31</v>
      </c>
      <c r="E14" s="7">
        <v>0</v>
      </c>
      <c r="F14" s="6">
        <v>10000</v>
      </c>
      <c r="G14" s="6">
        <v>0</v>
      </c>
      <c r="H14" s="6">
        <v>10000</v>
      </c>
      <c r="I14" s="8"/>
    </row>
    <row r="15" spans="1:10" ht="33" customHeight="1">
      <c r="A15" s="17">
        <v>7</v>
      </c>
      <c r="B15" s="9" t="s">
        <v>18</v>
      </c>
      <c r="C15" s="6">
        <v>10000</v>
      </c>
      <c r="D15" s="7">
        <v>31</v>
      </c>
      <c r="E15" s="7">
        <v>0</v>
      </c>
      <c r="F15" s="6">
        <v>10000</v>
      </c>
      <c r="G15" s="6">
        <v>0</v>
      </c>
      <c r="H15" s="6">
        <v>10000</v>
      </c>
      <c r="I15" s="8"/>
    </row>
    <row r="16" spans="1:10" ht="33" customHeight="1">
      <c r="A16" s="17">
        <v>8</v>
      </c>
      <c r="B16" s="5" t="s">
        <v>6</v>
      </c>
      <c r="C16" s="6">
        <v>15000</v>
      </c>
      <c r="D16" s="7">
        <v>26</v>
      </c>
      <c r="E16" s="7">
        <v>1</v>
      </c>
      <c r="F16" s="10">
        <v>13065</v>
      </c>
      <c r="G16" s="10">
        <v>6800</v>
      </c>
      <c r="H16" s="10">
        <v>6265</v>
      </c>
      <c r="I16" s="8"/>
      <c r="J16" t="s">
        <v>31</v>
      </c>
    </row>
    <row r="17" spans="1:37" ht="33" customHeight="1">
      <c r="A17" s="17">
        <v>9</v>
      </c>
      <c r="B17" s="5" t="s">
        <v>7</v>
      </c>
      <c r="C17" s="6">
        <v>13000</v>
      </c>
      <c r="D17" s="7">
        <v>19</v>
      </c>
      <c r="E17" s="7">
        <v>3</v>
      </c>
      <c r="F17" s="10">
        <v>9225</v>
      </c>
      <c r="G17" s="10">
        <v>0</v>
      </c>
      <c r="H17" s="10">
        <v>9225</v>
      </c>
      <c r="I17" s="8"/>
    </row>
    <row r="18" spans="1:37" ht="33" customHeight="1">
      <c r="A18" s="17">
        <v>10</v>
      </c>
      <c r="B18" s="9" t="s">
        <v>19</v>
      </c>
      <c r="C18" s="6">
        <v>16000</v>
      </c>
      <c r="D18" s="7">
        <v>26</v>
      </c>
      <c r="E18" s="7">
        <v>3</v>
      </c>
      <c r="F18" s="6">
        <v>14967</v>
      </c>
      <c r="G18" s="6">
        <v>0</v>
      </c>
      <c r="H18" s="6">
        <v>14967</v>
      </c>
      <c r="I18" s="8"/>
    </row>
    <row r="19" spans="1:37" ht="33" customHeight="1">
      <c r="A19" s="17">
        <v>11</v>
      </c>
      <c r="B19" s="9" t="s">
        <v>20</v>
      </c>
      <c r="C19" s="6">
        <v>13000</v>
      </c>
      <c r="D19" s="7">
        <v>30</v>
      </c>
      <c r="E19" s="7">
        <v>7</v>
      </c>
      <c r="F19" s="6">
        <v>15516</v>
      </c>
      <c r="G19" s="6">
        <v>300</v>
      </c>
      <c r="H19" s="6">
        <v>15216</v>
      </c>
      <c r="I19" s="8"/>
    </row>
    <row r="20" spans="1:37" ht="33" customHeight="1">
      <c r="A20" s="17">
        <v>12</v>
      </c>
      <c r="B20" s="9" t="s">
        <v>21</v>
      </c>
      <c r="C20" s="6">
        <v>15000</v>
      </c>
      <c r="D20" s="7">
        <v>30</v>
      </c>
      <c r="E20" s="7">
        <v>2</v>
      </c>
      <c r="F20" s="6">
        <v>16000</v>
      </c>
      <c r="G20" s="6">
        <v>7851</v>
      </c>
      <c r="H20" s="6">
        <v>8149</v>
      </c>
      <c r="I20" s="8"/>
    </row>
    <row r="21" spans="1:37" ht="33" customHeight="1">
      <c r="A21" s="17">
        <v>13</v>
      </c>
      <c r="B21" s="9" t="s">
        <v>22</v>
      </c>
      <c r="C21" s="6">
        <v>15000</v>
      </c>
      <c r="D21" s="7">
        <v>0</v>
      </c>
      <c r="E21" s="7">
        <v>0</v>
      </c>
      <c r="F21" s="6">
        <v>0</v>
      </c>
      <c r="G21" s="6">
        <v>0</v>
      </c>
      <c r="H21" s="6">
        <v>0</v>
      </c>
      <c r="I21" s="8"/>
    </row>
    <row r="22" spans="1:37" ht="33" customHeight="1">
      <c r="A22" s="17">
        <v>14</v>
      </c>
      <c r="B22" s="18" t="s">
        <v>28</v>
      </c>
      <c r="C22" s="6">
        <v>15000</v>
      </c>
      <c r="D22" s="7">
        <v>10</v>
      </c>
      <c r="E22" s="7">
        <v>1</v>
      </c>
      <c r="F22" s="6">
        <v>5500</v>
      </c>
      <c r="G22" s="6">
        <v>1500</v>
      </c>
      <c r="H22" s="6">
        <v>4000</v>
      </c>
      <c r="I22" s="8"/>
    </row>
    <row r="23" spans="1:37" ht="33" customHeight="1">
      <c r="A23" s="17"/>
      <c r="B23" s="3" t="s">
        <v>24</v>
      </c>
      <c r="C23" s="11">
        <v>233000</v>
      </c>
      <c r="D23" s="12"/>
      <c r="E23" s="12"/>
      <c r="F23" s="11">
        <v>205273</v>
      </c>
      <c r="G23" s="11">
        <v>48451</v>
      </c>
      <c r="H23" s="13">
        <v>156822</v>
      </c>
      <c r="I23" s="8"/>
    </row>
    <row r="24" spans="1:37" ht="6" customHeight="1"/>
    <row r="25" spans="1:37">
      <c r="A25" s="19" t="s">
        <v>30</v>
      </c>
    </row>
    <row r="26" spans="1:37">
      <c r="A26" s="19" t="s">
        <v>29</v>
      </c>
    </row>
    <row r="27" spans="1:37">
      <c r="A27" s="14" t="s">
        <v>10</v>
      </c>
    </row>
    <row r="29" spans="1:37" ht="15" thickBot="1"/>
    <row r="30" spans="1:37" ht="23.4" customHeight="1" thickBot="1">
      <c r="A30" s="27" t="s">
        <v>45</v>
      </c>
      <c r="B30" s="27" t="s">
        <v>87</v>
      </c>
      <c r="C30" s="28" t="s">
        <v>46</v>
      </c>
      <c r="D30" s="28" t="s">
        <v>88</v>
      </c>
      <c r="E30" s="33">
        <v>8</v>
      </c>
      <c r="F30" s="33">
        <v>9</v>
      </c>
      <c r="G30" s="33">
        <v>10</v>
      </c>
      <c r="H30" s="33">
        <v>11</v>
      </c>
      <c r="I30" s="33">
        <v>12</v>
      </c>
      <c r="J30" s="33">
        <v>13</v>
      </c>
      <c r="K30" s="33">
        <v>14</v>
      </c>
      <c r="L30" s="33">
        <v>15</v>
      </c>
      <c r="M30" s="33">
        <v>16</v>
      </c>
      <c r="N30" s="33">
        <v>17</v>
      </c>
      <c r="O30" s="33">
        <v>18</v>
      </c>
      <c r="P30" s="33">
        <v>19</v>
      </c>
      <c r="Q30" s="33">
        <v>20</v>
      </c>
      <c r="R30" s="33">
        <v>21</v>
      </c>
      <c r="S30" s="33">
        <v>22</v>
      </c>
      <c r="T30" s="33">
        <v>23</v>
      </c>
      <c r="U30" s="33">
        <v>24</v>
      </c>
      <c r="V30" s="33">
        <v>25</v>
      </c>
      <c r="W30" s="33">
        <v>26</v>
      </c>
      <c r="X30" s="33">
        <v>27</v>
      </c>
      <c r="Y30" s="33">
        <v>28</v>
      </c>
      <c r="Z30" s="33">
        <v>29</v>
      </c>
      <c r="AA30" s="33">
        <v>30</v>
      </c>
      <c r="AB30" s="33">
        <v>31</v>
      </c>
      <c r="AC30" s="33">
        <v>1</v>
      </c>
      <c r="AD30" s="33">
        <v>2</v>
      </c>
      <c r="AE30" s="33">
        <v>3</v>
      </c>
      <c r="AF30" s="33">
        <v>4</v>
      </c>
      <c r="AG30" s="33">
        <v>5</v>
      </c>
      <c r="AH30" s="33">
        <v>6</v>
      </c>
      <c r="AI30" s="33">
        <v>7</v>
      </c>
      <c r="AJ30" s="33" t="s">
        <v>56</v>
      </c>
      <c r="AK30" s="27" t="s">
        <v>89</v>
      </c>
    </row>
    <row r="31" spans="1:37" ht="23.4" customHeight="1" thickBot="1">
      <c r="A31" s="39">
        <v>1</v>
      </c>
      <c r="B31" s="39" t="s">
        <v>91</v>
      </c>
      <c r="C31" s="40" t="s">
        <v>61</v>
      </c>
      <c r="D31" s="40" t="s">
        <v>92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68">
        <f t="shared" ref="AK31:AK44" si="0">SUM(E31:AJ31)</f>
        <v>0</v>
      </c>
    </row>
    <row r="32" spans="1:37" ht="23.4" customHeight="1" thickBot="1">
      <c r="A32" s="39">
        <v>2</v>
      </c>
      <c r="B32" s="39" t="s">
        <v>91</v>
      </c>
      <c r="C32" s="40" t="s">
        <v>62</v>
      </c>
      <c r="D32" s="40" t="s">
        <v>93</v>
      </c>
      <c r="E32" s="39"/>
      <c r="F32" s="39"/>
      <c r="G32" s="39">
        <v>23000</v>
      </c>
      <c r="H32" s="39"/>
      <c r="I32" s="39"/>
      <c r="J32" s="39"/>
      <c r="K32" s="39"/>
      <c r="L32" s="39"/>
      <c r="M32" s="39"/>
      <c r="N32" s="39"/>
      <c r="O32" s="39"/>
      <c r="P32" s="39">
        <v>9000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5"/>
      <c r="AE32" s="39"/>
      <c r="AF32" s="39"/>
      <c r="AG32" s="39"/>
      <c r="AH32" s="39"/>
      <c r="AI32" s="39"/>
      <c r="AJ32" s="39"/>
      <c r="AK32" s="68">
        <f t="shared" si="0"/>
        <v>32000</v>
      </c>
    </row>
    <row r="33" spans="1:37" ht="23.4" customHeight="1" thickBot="1">
      <c r="A33" s="39">
        <v>3</v>
      </c>
      <c r="B33" s="39" t="s">
        <v>91</v>
      </c>
      <c r="C33" s="40" t="s">
        <v>63</v>
      </c>
      <c r="D33" s="40" t="s">
        <v>94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68">
        <f t="shared" si="0"/>
        <v>0</v>
      </c>
    </row>
    <row r="34" spans="1:37" ht="23.4" customHeight="1" thickBot="1">
      <c r="A34" s="39">
        <v>4</v>
      </c>
      <c r="B34" s="39" t="s">
        <v>91</v>
      </c>
      <c r="C34" s="40" t="s">
        <v>64</v>
      </c>
      <c r="D34" s="40" t="s">
        <v>95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68">
        <f t="shared" si="0"/>
        <v>0</v>
      </c>
    </row>
    <row r="35" spans="1:37" ht="23.4" customHeight="1" thickBot="1">
      <c r="A35" s="39">
        <v>5</v>
      </c>
      <c r="B35" s="39" t="s">
        <v>91</v>
      </c>
      <c r="C35" s="40" t="s">
        <v>65</v>
      </c>
      <c r="D35" s="40" t="s">
        <v>96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68">
        <f t="shared" si="0"/>
        <v>0</v>
      </c>
    </row>
    <row r="36" spans="1:37" ht="23.4" customHeight="1" thickBot="1">
      <c r="A36" s="39">
        <v>6</v>
      </c>
      <c r="B36" s="39" t="s">
        <v>91</v>
      </c>
      <c r="C36" s="40" t="s">
        <v>66</v>
      </c>
      <c r="D36" s="40" t="s">
        <v>96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68">
        <f t="shared" si="0"/>
        <v>0</v>
      </c>
    </row>
    <row r="37" spans="1:37" ht="23.4" customHeight="1" thickBot="1">
      <c r="A37" s="39">
        <v>7</v>
      </c>
      <c r="B37" s="39" t="s">
        <v>91</v>
      </c>
      <c r="C37" s="69" t="s">
        <v>68</v>
      </c>
      <c r="D37" s="40" t="s">
        <v>96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68">
        <f t="shared" si="0"/>
        <v>0</v>
      </c>
    </row>
    <row r="38" spans="1:37" ht="23.4" customHeight="1" thickBot="1">
      <c r="A38" s="39">
        <v>8</v>
      </c>
      <c r="B38" s="39" t="s">
        <v>91</v>
      </c>
      <c r="C38" s="5" t="s">
        <v>67</v>
      </c>
      <c r="D38" s="40" t="s">
        <v>97</v>
      </c>
      <c r="E38" s="39"/>
      <c r="F38" s="39"/>
      <c r="G38" s="39">
        <v>300</v>
      </c>
      <c r="H38" s="39"/>
      <c r="I38" s="39"/>
      <c r="J38" s="39"/>
      <c r="K38" s="39"/>
      <c r="L38" s="39"/>
      <c r="M38" s="39"/>
      <c r="N38" s="39"/>
      <c r="O38" s="39">
        <v>1000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v>500</v>
      </c>
      <c r="AD38" s="39"/>
      <c r="AE38" s="39"/>
      <c r="AF38" s="39"/>
      <c r="AG38" s="39"/>
      <c r="AH38" s="39"/>
      <c r="AI38" s="39"/>
      <c r="AJ38" s="39"/>
      <c r="AK38" s="68">
        <f t="shared" si="0"/>
        <v>1800</v>
      </c>
    </row>
    <row r="39" spans="1:37" ht="23.4" customHeight="1" thickBot="1">
      <c r="A39" s="39">
        <v>9</v>
      </c>
      <c r="B39" s="39" t="s">
        <v>91</v>
      </c>
      <c r="C39" s="5" t="s">
        <v>70</v>
      </c>
      <c r="D39" s="40" t="s">
        <v>97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68">
        <f t="shared" si="0"/>
        <v>0</v>
      </c>
    </row>
    <row r="40" spans="1:37" ht="23.4" customHeight="1" thickBot="1">
      <c r="A40" s="39">
        <v>10</v>
      </c>
      <c r="B40" s="39" t="s">
        <v>91</v>
      </c>
      <c r="C40" s="69" t="s">
        <v>69</v>
      </c>
      <c r="D40" s="40" t="s">
        <v>97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68">
        <f t="shared" si="0"/>
        <v>0</v>
      </c>
    </row>
    <row r="41" spans="1:37" ht="23.4" customHeight="1" thickBot="1">
      <c r="A41" s="39">
        <v>11</v>
      </c>
      <c r="B41" s="39" t="s">
        <v>91</v>
      </c>
      <c r="C41" s="69" t="s">
        <v>71</v>
      </c>
      <c r="D41" s="40" t="s">
        <v>97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>
        <v>300</v>
      </c>
      <c r="AG41" s="39"/>
      <c r="AH41" s="39"/>
      <c r="AI41" s="39"/>
      <c r="AJ41" s="39"/>
      <c r="AK41" s="68">
        <f t="shared" si="0"/>
        <v>300</v>
      </c>
    </row>
    <row r="42" spans="1:37" ht="23.4" customHeight="1" thickBot="1">
      <c r="A42" s="39">
        <v>12</v>
      </c>
      <c r="B42" s="39" t="s">
        <v>91</v>
      </c>
      <c r="C42" s="69" t="s">
        <v>98</v>
      </c>
      <c r="D42" s="40" t="s">
        <v>97</v>
      </c>
      <c r="E42" s="39">
        <v>2000</v>
      </c>
      <c r="F42" s="39"/>
      <c r="G42" s="39">
        <v>1000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>
        <v>1500</v>
      </c>
      <c r="S42" s="39"/>
      <c r="T42" s="39"/>
      <c r="U42" s="39"/>
      <c r="V42" s="39">
        <v>500</v>
      </c>
      <c r="W42" s="39"/>
      <c r="X42" s="39"/>
      <c r="Y42" s="39">
        <v>2000</v>
      </c>
      <c r="Z42" s="39"/>
      <c r="AA42" s="39"/>
      <c r="AB42" s="39"/>
      <c r="AC42" s="39">
        <v>500</v>
      </c>
      <c r="AD42" s="39">
        <v>351</v>
      </c>
      <c r="AE42" s="39"/>
      <c r="AF42" s="39"/>
      <c r="AG42" s="39"/>
      <c r="AH42" s="39"/>
      <c r="AI42" s="39"/>
      <c r="AJ42" s="39"/>
      <c r="AK42" s="68">
        <f t="shared" si="0"/>
        <v>7851</v>
      </c>
    </row>
    <row r="43" spans="1:37" ht="23.4" customHeight="1" thickBot="1">
      <c r="A43" s="39">
        <v>13</v>
      </c>
      <c r="B43" s="39" t="s">
        <v>91</v>
      </c>
      <c r="C43" s="69" t="s">
        <v>101</v>
      </c>
      <c r="D43" s="40" t="s">
        <v>97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68">
        <f t="shared" si="0"/>
        <v>0</v>
      </c>
    </row>
    <row r="44" spans="1:37" ht="23.4" customHeight="1" thickBot="1">
      <c r="A44" s="39">
        <v>14</v>
      </c>
      <c r="B44" s="39" t="s">
        <v>91</v>
      </c>
      <c r="C44" s="69" t="s">
        <v>102</v>
      </c>
      <c r="D44" s="40" t="s">
        <v>97</v>
      </c>
      <c r="E44" s="39"/>
      <c r="F44" s="39"/>
      <c r="G44" s="39"/>
      <c r="H44" s="39"/>
      <c r="I44" s="39"/>
      <c r="J44" s="39"/>
      <c r="K44" s="39">
        <v>1000</v>
      </c>
      <c r="L44" s="39"/>
      <c r="M44" s="39"/>
      <c r="N44" s="39"/>
      <c r="O44" s="39"/>
      <c r="P44" s="39"/>
      <c r="Q44" s="39"/>
      <c r="R44" s="39">
        <v>500</v>
      </c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68">
        <f t="shared" si="0"/>
        <v>1500</v>
      </c>
    </row>
    <row r="45" spans="1:37">
      <c r="A45" s="70"/>
      <c r="B45" s="70"/>
      <c r="C45" s="71"/>
      <c r="D45" s="71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</row>
  </sheetData>
  <pageMargins left="0.25" right="0.25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D135-31F5-4D9F-A25E-EA2FA609D941}">
  <dimension ref="A1:J30"/>
  <sheetViews>
    <sheetView topLeftCell="A14" zoomScale="77" workbookViewId="0">
      <selection activeCell="C37" sqref="C37"/>
    </sheetView>
  </sheetViews>
  <sheetFormatPr defaultRowHeight="14.4"/>
  <cols>
    <col min="1" max="1" width="3.109375" customWidth="1"/>
    <col min="2" max="2" width="25.88671875" customWidth="1"/>
    <col min="3" max="3" width="10.5546875" customWidth="1"/>
    <col min="4" max="4" width="4.33203125" customWidth="1"/>
    <col min="5" max="5" width="3" customWidth="1"/>
    <col min="6" max="6" width="10.77734375" customWidth="1"/>
    <col min="7" max="7" width="9.21875" customWidth="1"/>
    <col min="8" max="8" width="10.88671875" customWidth="1"/>
    <col min="9" max="9" width="21.33203125" customWidth="1"/>
    <col min="10" max="10" width="8.88671875" customWidth="1"/>
  </cols>
  <sheetData>
    <row r="1" spans="1:10">
      <c r="A1" s="14"/>
    </row>
    <row r="2" spans="1:10">
      <c r="A2" s="14"/>
    </row>
    <row r="3" spans="1:10">
      <c r="A3" s="14"/>
    </row>
    <row r="4" spans="1:10">
      <c r="A4" s="15"/>
    </row>
    <row r="5" spans="1:10">
      <c r="A5" s="15"/>
    </row>
    <row r="6" spans="1:10" ht="15.6">
      <c r="A6" s="56" t="s">
        <v>38</v>
      </c>
    </row>
    <row r="7" spans="1:10" ht="6" customHeight="1">
      <c r="A7" s="15"/>
    </row>
    <row r="8" spans="1:10" s="2" customFormat="1" ht="19.8" customHeight="1">
      <c r="A8" s="16" t="s">
        <v>0</v>
      </c>
      <c r="B8" s="3" t="s">
        <v>1</v>
      </c>
      <c r="C8" s="3" t="s">
        <v>12</v>
      </c>
      <c r="D8" s="3" t="s">
        <v>13</v>
      </c>
      <c r="E8" s="3" t="s">
        <v>14</v>
      </c>
      <c r="F8" s="4" t="s">
        <v>2</v>
      </c>
      <c r="G8" s="4" t="s">
        <v>15</v>
      </c>
      <c r="H8" s="3" t="s">
        <v>16</v>
      </c>
      <c r="I8" s="3" t="s">
        <v>17</v>
      </c>
      <c r="J8" s="4" t="s">
        <v>16</v>
      </c>
    </row>
    <row r="9" spans="1:10" ht="33" customHeight="1">
      <c r="A9" s="17">
        <v>1</v>
      </c>
      <c r="B9" s="5" t="s">
        <v>43</v>
      </c>
      <c r="C9" s="6">
        <v>35000</v>
      </c>
      <c r="D9" s="7">
        <v>31</v>
      </c>
      <c r="E9" s="7">
        <v>0</v>
      </c>
      <c r="F9" s="6">
        <v>35000</v>
      </c>
      <c r="G9" s="6">
        <v>0</v>
      </c>
      <c r="H9" s="6">
        <v>35000</v>
      </c>
      <c r="I9" s="8"/>
      <c r="J9" s="8"/>
    </row>
    <row r="10" spans="1:10" ht="33" customHeight="1">
      <c r="A10" s="17">
        <v>2</v>
      </c>
      <c r="B10" s="5" t="s">
        <v>4</v>
      </c>
      <c r="C10" s="6">
        <v>35000</v>
      </c>
      <c r="D10" s="7">
        <v>31</v>
      </c>
      <c r="E10" s="7">
        <v>0</v>
      </c>
      <c r="F10" s="6">
        <v>35000</v>
      </c>
      <c r="G10" s="6">
        <v>5000</v>
      </c>
      <c r="H10" s="6">
        <v>30000</v>
      </c>
      <c r="I10" s="8"/>
      <c r="J10" s="24">
        <v>70000</v>
      </c>
    </row>
    <row r="11" spans="1:10" ht="33" customHeight="1">
      <c r="A11" s="17">
        <v>3</v>
      </c>
      <c r="B11" s="5" t="s">
        <v>42</v>
      </c>
      <c r="C11" s="6">
        <v>35000</v>
      </c>
      <c r="D11" s="7">
        <v>31</v>
      </c>
      <c r="E11" s="7">
        <v>0</v>
      </c>
      <c r="F11" s="6">
        <v>35000</v>
      </c>
      <c r="G11" s="6">
        <v>0</v>
      </c>
      <c r="H11" s="6">
        <v>35000</v>
      </c>
      <c r="I11" s="8"/>
      <c r="J11" s="8"/>
    </row>
    <row r="12" spans="1:10" ht="33" customHeight="1">
      <c r="A12" s="17">
        <v>4</v>
      </c>
      <c r="B12" s="5" t="s">
        <v>8</v>
      </c>
      <c r="C12" s="6">
        <v>1000</v>
      </c>
      <c r="D12" s="7">
        <v>31</v>
      </c>
      <c r="E12" s="7">
        <v>0</v>
      </c>
      <c r="F12" s="6">
        <v>1000</v>
      </c>
      <c r="G12" s="6">
        <v>0</v>
      </c>
      <c r="H12" s="6">
        <v>1000</v>
      </c>
      <c r="I12" s="8"/>
      <c r="J12" s="8"/>
    </row>
    <row r="13" spans="1:10" ht="33" customHeight="1">
      <c r="A13" s="17">
        <v>5</v>
      </c>
      <c r="B13" s="5" t="s">
        <v>41</v>
      </c>
      <c r="C13" s="6">
        <v>5000</v>
      </c>
      <c r="D13" s="7">
        <v>31</v>
      </c>
      <c r="E13" s="7">
        <v>0</v>
      </c>
      <c r="F13" s="6">
        <v>5000</v>
      </c>
      <c r="G13" s="6">
        <v>0</v>
      </c>
      <c r="H13" s="6">
        <v>5000</v>
      </c>
      <c r="I13" s="8"/>
      <c r="J13" s="8"/>
    </row>
    <row r="14" spans="1:10" ht="33" customHeight="1">
      <c r="A14" s="17">
        <v>6</v>
      </c>
      <c r="B14" s="5" t="s">
        <v>9</v>
      </c>
      <c r="C14" s="6">
        <v>10000</v>
      </c>
      <c r="D14" s="7">
        <v>31</v>
      </c>
      <c r="E14" s="7">
        <v>0</v>
      </c>
      <c r="F14" s="6">
        <v>10000</v>
      </c>
      <c r="G14" s="6">
        <v>0</v>
      </c>
      <c r="H14" s="6">
        <v>10000</v>
      </c>
      <c r="I14" s="8"/>
      <c r="J14" s="8"/>
    </row>
    <row r="15" spans="1:10" ht="33" customHeight="1">
      <c r="A15" s="17">
        <v>7</v>
      </c>
      <c r="B15" s="9" t="s">
        <v>18</v>
      </c>
      <c r="C15" s="6">
        <v>10000</v>
      </c>
      <c r="D15" s="7">
        <v>31</v>
      </c>
      <c r="E15" s="7">
        <v>0</v>
      </c>
      <c r="F15" s="6">
        <v>10000</v>
      </c>
      <c r="G15" s="6">
        <v>0</v>
      </c>
      <c r="H15" s="6">
        <v>10000</v>
      </c>
      <c r="I15" s="8"/>
      <c r="J15" s="8"/>
    </row>
    <row r="16" spans="1:10" ht="33" customHeight="1">
      <c r="A16" s="17">
        <v>8</v>
      </c>
      <c r="B16" s="5" t="s">
        <v>39</v>
      </c>
      <c r="C16" s="6">
        <v>15000</v>
      </c>
      <c r="D16" s="7">
        <v>24</v>
      </c>
      <c r="E16" s="7">
        <v>1</v>
      </c>
      <c r="F16" s="10">
        <v>12100</v>
      </c>
      <c r="G16" s="10">
        <v>10800</v>
      </c>
      <c r="H16" s="10">
        <v>1300</v>
      </c>
      <c r="I16" s="8"/>
      <c r="J16" s="24">
        <v>35000</v>
      </c>
    </row>
    <row r="17" spans="1:10" ht="33" customHeight="1">
      <c r="A17" s="17">
        <v>9</v>
      </c>
      <c r="B17" s="5" t="s">
        <v>40</v>
      </c>
      <c r="C17" s="6">
        <v>13000</v>
      </c>
      <c r="D17" s="7">
        <v>31</v>
      </c>
      <c r="E17" s="7">
        <v>2</v>
      </c>
      <c r="F17" s="10">
        <v>13838</v>
      </c>
      <c r="G17" s="10">
        <v>0</v>
      </c>
      <c r="H17" s="10">
        <v>13838</v>
      </c>
      <c r="I17" s="8"/>
      <c r="J17" s="24"/>
    </row>
    <row r="18" spans="1:10" ht="33" customHeight="1">
      <c r="A18" s="17">
        <v>11</v>
      </c>
      <c r="B18" s="9" t="s">
        <v>20</v>
      </c>
      <c r="C18" s="6">
        <v>13000</v>
      </c>
      <c r="D18" s="7">
        <v>25</v>
      </c>
      <c r="E18" s="7">
        <v>2</v>
      </c>
      <c r="F18" s="6">
        <v>11322</v>
      </c>
      <c r="G18" s="6">
        <v>300</v>
      </c>
      <c r="H18" s="6">
        <v>11022</v>
      </c>
      <c r="I18" s="8"/>
      <c r="J18" s="8"/>
    </row>
    <row r="19" spans="1:10" ht="33" customHeight="1">
      <c r="A19" s="17">
        <v>10</v>
      </c>
      <c r="B19" s="9" t="s">
        <v>19</v>
      </c>
      <c r="C19" s="6">
        <v>16000</v>
      </c>
      <c r="D19" s="7">
        <v>23</v>
      </c>
      <c r="E19" s="7">
        <v>5</v>
      </c>
      <c r="F19" s="6">
        <v>14451</v>
      </c>
      <c r="G19" s="6">
        <v>0</v>
      </c>
      <c r="H19" s="6">
        <v>14451</v>
      </c>
      <c r="I19" s="8"/>
      <c r="J19" s="8"/>
    </row>
    <row r="20" spans="1:10" ht="33" customHeight="1">
      <c r="A20" s="17">
        <v>13</v>
      </c>
      <c r="B20" s="21" t="s">
        <v>34</v>
      </c>
      <c r="C20" s="6">
        <v>17000</v>
      </c>
      <c r="D20" s="7">
        <v>16</v>
      </c>
      <c r="E20" s="7">
        <v>1</v>
      </c>
      <c r="F20" s="6">
        <v>9322</v>
      </c>
      <c r="G20" s="6">
        <v>1000</v>
      </c>
      <c r="H20" s="6">
        <v>8322</v>
      </c>
      <c r="I20" s="8"/>
      <c r="J20" s="8"/>
    </row>
    <row r="21" spans="1:10" ht="33" customHeight="1">
      <c r="A21" s="17">
        <v>12</v>
      </c>
      <c r="B21" s="9" t="s">
        <v>21</v>
      </c>
      <c r="C21" s="6">
        <v>15000</v>
      </c>
      <c r="D21" s="7">
        <v>25</v>
      </c>
      <c r="E21" s="7">
        <v>0</v>
      </c>
      <c r="F21" s="6">
        <v>12500</v>
      </c>
      <c r="G21" s="6">
        <v>8300</v>
      </c>
      <c r="H21" s="6">
        <v>4200</v>
      </c>
      <c r="I21" s="8"/>
      <c r="J21" s="8"/>
    </row>
    <row r="22" spans="1:10" ht="33" customHeight="1">
      <c r="A22" s="17">
        <v>13</v>
      </c>
      <c r="B22" s="23" t="s">
        <v>37</v>
      </c>
      <c r="C22" s="6">
        <v>15000</v>
      </c>
      <c r="D22" s="7">
        <v>18</v>
      </c>
      <c r="E22" s="7">
        <v>1</v>
      </c>
      <c r="F22" s="6">
        <v>9500</v>
      </c>
      <c r="G22" s="6">
        <v>6750</v>
      </c>
      <c r="H22" s="6">
        <v>2750</v>
      </c>
      <c r="I22" s="8"/>
      <c r="J22" s="8"/>
    </row>
    <row r="23" spans="1:10" ht="33" customHeight="1">
      <c r="A23" s="17">
        <v>14</v>
      </c>
      <c r="B23" s="23" t="s">
        <v>36</v>
      </c>
      <c r="C23" s="6">
        <v>13000</v>
      </c>
      <c r="D23" s="7">
        <v>28</v>
      </c>
      <c r="E23" s="7">
        <v>2</v>
      </c>
      <c r="F23" s="6">
        <v>12580</v>
      </c>
      <c r="G23" s="6">
        <v>9500</v>
      </c>
      <c r="H23" s="6">
        <v>3080</v>
      </c>
      <c r="I23" s="8"/>
      <c r="J23" s="24">
        <v>10000</v>
      </c>
    </row>
    <row r="24" spans="1:10" ht="33" customHeight="1">
      <c r="A24" s="17"/>
      <c r="B24" s="3" t="s">
        <v>24</v>
      </c>
      <c r="C24" s="11">
        <v>248000</v>
      </c>
      <c r="D24" s="12"/>
      <c r="E24" s="12"/>
      <c r="F24" s="11">
        <v>226613</v>
      </c>
      <c r="G24" s="11">
        <v>41650</v>
      </c>
      <c r="H24" s="13">
        <v>184963</v>
      </c>
      <c r="I24" s="8"/>
      <c r="J24" s="8"/>
    </row>
    <row r="25" spans="1:10" ht="6" customHeight="1">
      <c r="A25" s="14"/>
    </row>
    <row r="26" spans="1:10">
      <c r="A26" s="19" t="s">
        <v>30</v>
      </c>
    </row>
    <row r="27" spans="1:10">
      <c r="A27" s="19" t="s">
        <v>29</v>
      </c>
    </row>
    <row r="28" spans="1:10">
      <c r="A28" s="14" t="s">
        <v>10</v>
      </c>
    </row>
    <row r="29" spans="1:10">
      <c r="A29" s="14"/>
    </row>
    <row r="30" spans="1:10">
      <c r="A30" s="14"/>
    </row>
  </sheetData>
  <pageMargins left="0.25" right="0.25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BA28-F479-4635-B3B6-83D988CEBE94}">
  <dimension ref="A1:BB26"/>
  <sheetViews>
    <sheetView topLeftCell="A4" workbookViewId="0">
      <selection activeCell="F17" sqref="F17"/>
    </sheetView>
  </sheetViews>
  <sheetFormatPr defaultRowHeight="14.4"/>
  <cols>
    <col min="1" max="1" width="6" customWidth="1"/>
    <col min="2" max="2" width="20" customWidth="1"/>
    <col min="3" max="3" width="13" customWidth="1"/>
    <col min="4" max="4" width="5.6640625" customWidth="1"/>
    <col min="5" max="5" width="5.21875" customWidth="1"/>
    <col min="6" max="6" width="10.5546875" customWidth="1"/>
    <col min="10" max="10" width="9.88671875" customWidth="1"/>
    <col min="11" max="11" width="12.109375" customWidth="1"/>
    <col min="15" max="15" width="11.33203125" customWidth="1"/>
  </cols>
  <sheetData>
    <row r="1" spans="1:54" ht="23.4" customHeight="1">
      <c r="BA1" s="14"/>
    </row>
    <row r="2" spans="1:54" ht="23.4" customHeight="1">
      <c r="BA2" s="14"/>
    </row>
    <row r="3" spans="1:54" ht="23.4" customHeight="1">
      <c r="P3" s="25"/>
      <c r="BA3" s="14"/>
    </row>
    <row r="4" spans="1:54" ht="23.4" customHeight="1">
      <c r="P4" s="26" t="s">
        <v>44</v>
      </c>
      <c r="BA4" s="14"/>
    </row>
    <row r="5" spans="1:54" ht="23.4" customHeight="1" thickBot="1">
      <c r="B5" t="s">
        <v>103</v>
      </c>
      <c r="S5" t="s">
        <v>104</v>
      </c>
    </row>
    <row r="6" spans="1:54" ht="23.4" customHeight="1" thickBot="1">
      <c r="A6" s="27" t="s">
        <v>45</v>
      </c>
      <c r="B6" s="28" t="s">
        <v>46</v>
      </c>
      <c r="C6" s="72" t="s">
        <v>12</v>
      </c>
      <c r="D6" s="29" t="s">
        <v>13</v>
      </c>
      <c r="E6" s="29" t="s">
        <v>14</v>
      </c>
      <c r="F6" s="75" t="s">
        <v>48</v>
      </c>
      <c r="G6" s="75" t="s">
        <v>49</v>
      </c>
      <c r="H6" s="75" t="s">
        <v>50</v>
      </c>
      <c r="I6" s="75" t="s">
        <v>47</v>
      </c>
      <c r="J6" s="30" t="s">
        <v>15</v>
      </c>
      <c r="K6" s="29" t="s">
        <v>51</v>
      </c>
      <c r="L6" s="29" t="s">
        <v>17</v>
      </c>
      <c r="M6" s="29" t="s">
        <v>52</v>
      </c>
      <c r="N6" s="31" t="s">
        <v>53</v>
      </c>
      <c r="O6" s="31" t="s">
        <v>54</v>
      </c>
      <c r="P6" s="32" t="s">
        <v>55</v>
      </c>
      <c r="Q6" s="33">
        <v>7</v>
      </c>
      <c r="R6" s="33">
        <v>8</v>
      </c>
      <c r="S6" s="33">
        <v>9</v>
      </c>
      <c r="T6" s="33">
        <v>10</v>
      </c>
      <c r="U6" s="33">
        <v>11</v>
      </c>
      <c r="V6" s="33">
        <v>12</v>
      </c>
      <c r="W6" s="33">
        <v>13</v>
      </c>
      <c r="X6" s="33">
        <v>14</v>
      </c>
      <c r="Y6" s="33">
        <v>15</v>
      </c>
      <c r="Z6" s="33">
        <v>16</v>
      </c>
      <c r="AA6" s="33">
        <v>17</v>
      </c>
      <c r="AB6" s="33">
        <v>18</v>
      </c>
      <c r="AC6" s="33">
        <v>19</v>
      </c>
      <c r="AD6" s="33">
        <v>20</v>
      </c>
      <c r="AE6" s="33">
        <v>21</v>
      </c>
      <c r="AF6" s="33">
        <v>22</v>
      </c>
      <c r="AG6" s="33">
        <v>23</v>
      </c>
      <c r="AH6" s="33">
        <v>24</v>
      </c>
      <c r="AI6" s="33">
        <v>25</v>
      </c>
      <c r="AJ6" s="33">
        <v>26</v>
      </c>
      <c r="AK6" s="33">
        <v>27</v>
      </c>
      <c r="AL6" s="33">
        <v>28</v>
      </c>
      <c r="AM6" s="33">
        <v>29</v>
      </c>
      <c r="AN6" s="33">
        <v>30</v>
      </c>
      <c r="AO6" s="33">
        <v>31</v>
      </c>
      <c r="AP6" s="33">
        <v>1</v>
      </c>
      <c r="AQ6" s="33">
        <v>2</v>
      </c>
      <c r="AR6" s="33">
        <v>3</v>
      </c>
      <c r="AS6" s="33">
        <v>4</v>
      </c>
      <c r="AT6" s="33">
        <v>5</v>
      </c>
      <c r="AU6" s="33">
        <v>6</v>
      </c>
      <c r="AV6" s="33">
        <v>7</v>
      </c>
      <c r="AW6" s="33" t="s">
        <v>56</v>
      </c>
      <c r="AX6" s="34" t="s">
        <v>57</v>
      </c>
      <c r="AY6" s="35" t="s">
        <v>58</v>
      </c>
      <c r="AZ6" s="36" t="s">
        <v>59</v>
      </c>
      <c r="BA6" s="37" t="s">
        <v>60</v>
      </c>
      <c r="BB6" s="38"/>
    </row>
    <row r="7" spans="1:54" ht="23.4" customHeight="1" thickBot="1">
      <c r="A7" s="39">
        <v>1</v>
      </c>
      <c r="B7" s="40" t="s">
        <v>61</v>
      </c>
      <c r="C7" s="73">
        <v>35000</v>
      </c>
      <c r="D7" s="7">
        <v>30</v>
      </c>
      <c r="E7" s="7">
        <v>0</v>
      </c>
      <c r="F7" s="73">
        <v>35000</v>
      </c>
      <c r="G7" s="73">
        <v>0</v>
      </c>
      <c r="H7" s="73">
        <v>0</v>
      </c>
      <c r="I7" s="73">
        <v>0</v>
      </c>
      <c r="J7" s="6">
        <v>0</v>
      </c>
      <c r="K7" s="6">
        <f>F7-G7-H7-I7-J7</f>
        <v>35000</v>
      </c>
      <c r="L7" s="8"/>
      <c r="M7" s="6">
        <v>0</v>
      </c>
      <c r="N7" s="6"/>
      <c r="O7" s="6">
        <f>M7+N7</f>
        <v>0</v>
      </c>
      <c r="P7" s="8"/>
      <c r="Q7" s="41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4">
        <f t="shared" ref="AX7:AX12" si="0">SUM(P7:AW7)</f>
        <v>0</v>
      </c>
      <c r="AY7" s="42"/>
      <c r="AZ7" s="43"/>
      <c r="BA7" s="44">
        <f>AX7-AZ7</f>
        <v>0</v>
      </c>
      <c r="BB7" s="8"/>
    </row>
    <row r="8" spans="1:54" ht="23.4" customHeight="1" thickBot="1">
      <c r="A8" s="39">
        <v>2</v>
      </c>
      <c r="B8" s="40" t="s">
        <v>62</v>
      </c>
      <c r="C8" s="73">
        <v>35000</v>
      </c>
      <c r="D8" s="7">
        <v>30</v>
      </c>
      <c r="E8" s="7">
        <v>0</v>
      </c>
      <c r="F8" s="73">
        <v>35000</v>
      </c>
      <c r="G8" s="73">
        <v>0</v>
      </c>
      <c r="H8" s="73">
        <v>0</v>
      </c>
      <c r="I8" s="73">
        <v>0</v>
      </c>
      <c r="J8" s="6">
        <v>35000</v>
      </c>
      <c r="K8" s="6">
        <f t="shared" ref="K8:K21" si="1">F8-G8-H8-I8-J8</f>
        <v>0</v>
      </c>
      <c r="L8" s="8"/>
      <c r="M8" s="6">
        <v>30000</v>
      </c>
      <c r="N8" s="6">
        <v>75000</v>
      </c>
      <c r="O8" s="6">
        <f t="shared" ref="O8:O21" si="2">M8+N8</f>
        <v>105000</v>
      </c>
      <c r="P8" s="24"/>
      <c r="Q8" s="41"/>
      <c r="R8" s="39"/>
      <c r="S8" s="39"/>
      <c r="T8" s="45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45"/>
      <c r="AH8" s="39"/>
      <c r="AI8" s="39"/>
      <c r="AJ8" s="39"/>
      <c r="AK8" s="45"/>
      <c r="AL8" s="39"/>
      <c r="AM8" s="45">
        <v>30000</v>
      </c>
      <c r="AN8" s="39"/>
      <c r="AO8" s="39"/>
      <c r="AP8" s="39"/>
      <c r="AQ8" s="45">
        <v>35000</v>
      </c>
      <c r="AR8" s="39"/>
      <c r="AS8" s="39"/>
      <c r="AT8" s="39"/>
      <c r="AU8" s="39"/>
      <c r="AV8" s="39"/>
      <c r="AW8" s="39"/>
      <c r="AX8" s="34">
        <f t="shared" si="0"/>
        <v>65000</v>
      </c>
      <c r="AY8" s="46"/>
      <c r="AZ8" s="47">
        <v>35000</v>
      </c>
      <c r="BA8" s="44">
        <f t="shared" ref="BA8:BA20" si="3">AX8-AZ8</f>
        <v>30000</v>
      </c>
      <c r="BB8" s="48"/>
    </row>
    <row r="9" spans="1:54" ht="23.4" customHeight="1" thickBot="1">
      <c r="A9" s="39">
        <v>3</v>
      </c>
      <c r="B9" s="40" t="s">
        <v>63</v>
      </c>
      <c r="C9" s="73">
        <v>35000</v>
      </c>
      <c r="D9" s="7">
        <v>30</v>
      </c>
      <c r="E9" s="7">
        <v>0</v>
      </c>
      <c r="F9" s="73">
        <v>35000</v>
      </c>
      <c r="G9" s="73">
        <v>0</v>
      </c>
      <c r="H9" s="73">
        <v>0</v>
      </c>
      <c r="I9" s="73">
        <v>0</v>
      </c>
      <c r="J9" s="6">
        <v>0</v>
      </c>
      <c r="K9" s="6">
        <f t="shared" si="1"/>
        <v>35000</v>
      </c>
      <c r="L9" s="8"/>
      <c r="M9" s="6">
        <v>0</v>
      </c>
      <c r="N9" s="6"/>
      <c r="O9" s="6">
        <f t="shared" si="2"/>
        <v>0</v>
      </c>
      <c r="P9" s="8"/>
      <c r="Q9" s="41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4">
        <f t="shared" si="0"/>
        <v>0</v>
      </c>
      <c r="AY9" s="42">
        <v>5</v>
      </c>
      <c r="AZ9" s="43"/>
      <c r="BA9" s="44">
        <f t="shared" si="3"/>
        <v>0</v>
      </c>
      <c r="BB9" s="8"/>
    </row>
    <row r="10" spans="1:54" ht="23.4" customHeight="1" thickBot="1">
      <c r="A10" s="39">
        <v>4</v>
      </c>
      <c r="B10" s="40" t="s">
        <v>64</v>
      </c>
      <c r="C10" s="73">
        <v>5000</v>
      </c>
      <c r="D10" s="7">
        <v>30</v>
      </c>
      <c r="E10" s="7">
        <v>0</v>
      </c>
      <c r="F10" s="73">
        <v>5000</v>
      </c>
      <c r="G10" s="73">
        <v>0</v>
      </c>
      <c r="H10" s="73">
        <v>0</v>
      </c>
      <c r="I10" s="73">
        <v>0</v>
      </c>
      <c r="J10" s="6">
        <v>0</v>
      </c>
      <c r="K10" s="6">
        <f t="shared" si="1"/>
        <v>5000</v>
      </c>
      <c r="L10" s="8"/>
      <c r="M10" s="6">
        <v>0</v>
      </c>
      <c r="N10" s="6"/>
      <c r="O10" s="6">
        <f t="shared" si="2"/>
        <v>0</v>
      </c>
      <c r="P10" s="8"/>
      <c r="Q10" s="41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4">
        <f t="shared" si="0"/>
        <v>0</v>
      </c>
      <c r="AY10" s="42"/>
      <c r="AZ10" s="43"/>
      <c r="BA10" s="44">
        <f t="shared" si="3"/>
        <v>0</v>
      </c>
      <c r="BB10" s="8"/>
    </row>
    <row r="11" spans="1:54" ht="23.4" customHeight="1" thickBot="1">
      <c r="A11" s="39">
        <v>5</v>
      </c>
      <c r="B11" s="40" t="s">
        <v>65</v>
      </c>
      <c r="C11" s="73">
        <v>5000</v>
      </c>
      <c r="D11" s="7">
        <v>30</v>
      </c>
      <c r="E11" s="7">
        <v>0</v>
      </c>
      <c r="F11" s="73">
        <v>5000</v>
      </c>
      <c r="G11" s="73">
        <v>0</v>
      </c>
      <c r="H11" s="73">
        <v>0</v>
      </c>
      <c r="I11" s="73">
        <v>0</v>
      </c>
      <c r="J11" s="6">
        <v>0</v>
      </c>
      <c r="K11" s="6">
        <f t="shared" si="1"/>
        <v>5000</v>
      </c>
      <c r="L11" s="8"/>
      <c r="M11" s="6">
        <v>0</v>
      </c>
      <c r="N11" s="6"/>
      <c r="O11" s="6">
        <f t="shared" si="2"/>
        <v>0</v>
      </c>
      <c r="P11" s="8"/>
      <c r="Q11" s="41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4">
        <f t="shared" si="0"/>
        <v>0</v>
      </c>
      <c r="AY11" s="42"/>
      <c r="AZ11" s="43"/>
      <c r="BA11" s="44">
        <f t="shared" si="3"/>
        <v>0</v>
      </c>
      <c r="BB11" s="8"/>
    </row>
    <row r="12" spans="1:54" ht="23.4" customHeight="1" thickBot="1">
      <c r="A12" s="39">
        <v>6</v>
      </c>
      <c r="B12" s="40" t="s">
        <v>66</v>
      </c>
      <c r="C12" s="73">
        <v>10000</v>
      </c>
      <c r="D12" s="7">
        <v>30</v>
      </c>
      <c r="E12" s="7">
        <v>0</v>
      </c>
      <c r="F12" s="73">
        <v>10000</v>
      </c>
      <c r="G12" s="73">
        <v>0</v>
      </c>
      <c r="H12" s="73">
        <v>0</v>
      </c>
      <c r="I12" s="73">
        <v>0</v>
      </c>
      <c r="J12" s="6">
        <v>0</v>
      </c>
      <c r="K12" s="6">
        <f t="shared" si="1"/>
        <v>10000</v>
      </c>
      <c r="L12" s="8"/>
      <c r="M12" s="6">
        <v>0</v>
      </c>
      <c r="N12" s="6"/>
      <c r="O12" s="6">
        <f t="shared" si="2"/>
        <v>0</v>
      </c>
      <c r="P12" s="8"/>
      <c r="Q12" s="41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4">
        <f t="shared" si="0"/>
        <v>0</v>
      </c>
      <c r="AY12" s="42"/>
      <c r="AZ12" s="43"/>
      <c r="BA12" s="44">
        <f t="shared" si="3"/>
        <v>0</v>
      </c>
      <c r="BB12" s="8"/>
    </row>
    <row r="13" spans="1:54" ht="23.4" customHeight="1" thickBot="1">
      <c r="A13" s="39">
        <v>8</v>
      </c>
      <c r="B13" s="5" t="s">
        <v>67</v>
      </c>
      <c r="C13" s="73">
        <v>15500</v>
      </c>
      <c r="D13" s="7">
        <v>21</v>
      </c>
      <c r="E13" s="7">
        <v>4</v>
      </c>
      <c r="F13" s="76">
        <v>12917</v>
      </c>
      <c r="G13" s="76">
        <v>930</v>
      </c>
      <c r="H13" s="76">
        <v>82</v>
      </c>
      <c r="I13" s="76">
        <v>200</v>
      </c>
      <c r="J13" s="10">
        <v>1000</v>
      </c>
      <c r="K13" s="6">
        <f t="shared" si="1"/>
        <v>10705</v>
      </c>
      <c r="L13" s="8"/>
      <c r="M13" s="6">
        <v>10000</v>
      </c>
      <c r="N13" s="6">
        <v>35000</v>
      </c>
      <c r="O13" s="6">
        <f t="shared" si="2"/>
        <v>45000</v>
      </c>
      <c r="P13" s="24"/>
      <c r="Q13" s="49"/>
      <c r="R13" s="39"/>
      <c r="S13" s="39"/>
      <c r="T13" s="39"/>
      <c r="U13" s="39"/>
      <c r="V13" s="39"/>
      <c r="W13" s="45">
        <v>10000</v>
      </c>
      <c r="X13" s="39"/>
      <c r="Y13" s="39"/>
      <c r="Z13" s="39"/>
      <c r="AA13" s="39"/>
      <c r="AB13" s="39"/>
      <c r="AC13" s="39"/>
      <c r="AD13" s="45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>
        <v>1000</v>
      </c>
      <c r="AQ13" s="39"/>
      <c r="AR13" s="39"/>
      <c r="AS13" s="39"/>
      <c r="AT13" s="39"/>
      <c r="AU13" s="39"/>
      <c r="AV13" s="39"/>
      <c r="AW13" s="39"/>
      <c r="AX13" s="34">
        <f t="shared" ref="AX13:AX14" si="4">SUM(P13:AW13)</f>
        <v>11000</v>
      </c>
      <c r="AY13" s="46">
        <v>35000</v>
      </c>
      <c r="AZ13" s="43"/>
      <c r="BA13" s="44">
        <f t="shared" si="3"/>
        <v>11000</v>
      </c>
      <c r="BB13" s="48"/>
    </row>
    <row r="14" spans="1:54" ht="23.4" customHeight="1" thickBot="1">
      <c r="A14" s="39">
        <v>7</v>
      </c>
      <c r="B14" s="50" t="s">
        <v>68</v>
      </c>
      <c r="C14" s="73">
        <v>10500</v>
      </c>
      <c r="D14" s="7">
        <v>30</v>
      </c>
      <c r="E14" s="7">
        <v>0</v>
      </c>
      <c r="F14" s="73">
        <v>10500</v>
      </c>
      <c r="G14" s="73">
        <v>756</v>
      </c>
      <c r="H14" s="73">
        <v>79</v>
      </c>
      <c r="I14" s="73">
        <v>200</v>
      </c>
      <c r="J14" s="6">
        <v>0</v>
      </c>
      <c r="K14" s="6">
        <f t="shared" si="1"/>
        <v>9465</v>
      </c>
      <c r="L14" s="8"/>
      <c r="M14" s="6">
        <v>0</v>
      </c>
      <c r="N14" s="6"/>
      <c r="O14" s="6">
        <f t="shared" si="2"/>
        <v>0</v>
      </c>
      <c r="P14" s="8"/>
      <c r="Q14" s="41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4">
        <f t="shared" si="4"/>
        <v>0</v>
      </c>
      <c r="AY14" s="42"/>
      <c r="AZ14" s="43"/>
      <c r="BA14" s="44">
        <f t="shared" si="3"/>
        <v>0</v>
      </c>
      <c r="BB14" s="8"/>
    </row>
    <row r="15" spans="1:54" ht="23.4" customHeight="1" thickBot="1">
      <c r="A15" s="39">
        <v>11</v>
      </c>
      <c r="B15" s="50" t="s">
        <v>69</v>
      </c>
      <c r="C15" s="73">
        <v>16000</v>
      </c>
      <c r="D15" s="7">
        <v>27</v>
      </c>
      <c r="E15" s="7">
        <v>8</v>
      </c>
      <c r="F15" s="73">
        <v>18667</v>
      </c>
      <c r="G15" s="73">
        <v>1344</v>
      </c>
      <c r="H15" s="73">
        <v>108</v>
      </c>
      <c r="I15" s="73">
        <v>200</v>
      </c>
      <c r="J15" s="6">
        <v>0</v>
      </c>
      <c r="K15" s="6">
        <f t="shared" si="1"/>
        <v>17015</v>
      </c>
      <c r="L15" s="8"/>
      <c r="M15" s="6">
        <v>0</v>
      </c>
      <c r="N15" s="6"/>
      <c r="O15" s="6">
        <f t="shared" si="2"/>
        <v>0</v>
      </c>
      <c r="P15" s="8"/>
      <c r="Q15" s="41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4">
        <f>SUM(P15:AW15)</f>
        <v>0</v>
      </c>
      <c r="AY15" s="42"/>
      <c r="AZ15" s="43"/>
      <c r="BA15" s="44">
        <f t="shared" si="3"/>
        <v>0</v>
      </c>
      <c r="BB15" s="8"/>
    </row>
    <row r="16" spans="1:54" ht="23.4" customHeight="1" thickBot="1">
      <c r="A16" s="39">
        <v>9</v>
      </c>
      <c r="B16" s="5" t="s">
        <v>70</v>
      </c>
      <c r="C16" s="73">
        <v>13500</v>
      </c>
      <c r="D16" s="7">
        <v>12</v>
      </c>
      <c r="E16" s="7">
        <v>1</v>
      </c>
      <c r="F16" s="76">
        <v>5850</v>
      </c>
      <c r="G16" s="76">
        <v>0</v>
      </c>
      <c r="H16" s="76">
        <v>41</v>
      </c>
      <c r="I16" s="76">
        <v>200</v>
      </c>
      <c r="J16" s="10">
        <v>0</v>
      </c>
      <c r="K16" s="6">
        <f t="shared" si="1"/>
        <v>5609</v>
      </c>
      <c r="L16" s="8"/>
      <c r="M16" s="6">
        <v>0</v>
      </c>
      <c r="N16" s="6">
        <v>50000</v>
      </c>
      <c r="O16" s="6">
        <f t="shared" si="2"/>
        <v>50000</v>
      </c>
      <c r="P16" s="24"/>
      <c r="Q16" s="41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4">
        <f>SUM(M16:AW16)</f>
        <v>100000</v>
      </c>
      <c r="AY16" s="46">
        <v>50000</v>
      </c>
      <c r="AZ16" s="43"/>
      <c r="BA16" s="44">
        <f t="shared" si="3"/>
        <v>100000</v>
      </c>
      <c r="BB16" s="48"/>
    </row>
    <row r="17" spans="1:54" ht="23.4" customHeight="1" thickBot="1">
      <c r="A17" s="39">
        <v>10</v>
      </c>
      <c r="B17" s="50" t="s">
        <v>71</v>
      </c>
      <c r="C17" s="73">
        <v>14500</v>
      </c>
      <c r="D17" s="7">
        <v>28</v>
      </c>
      <c r="E17" s="7">
        <v>4</v>
      </c>
      <c r="F17" s="73">
        <v>15466</v>
      </c>
      <c r="G17" s="73">
        <v>0</v>
      </c>
      <c r="H17" s="73">
        <v>0</v>
      </c>
      <c r="I17" s="73">
        <v>0</v>
      </c>
      <c r="J17" s="6">
        <v>15000</v>
      </c>
      <c r="K17" s="6">
        <f t="shared" si="1"/>
        <v>466</v>
      </c>
      <c r="L17" s="8"/>
      <c r="M17" s="6">
        <v>0</v>
      </c>
      <c r="N17" s="6">
        <v>10000</v>
      </c>
      <c r="O17" s="6">
        <f t="shared" si="2"/>
        <v>10000</v>
      </c>
      <c r="P17" s="8"/>
      <c r="Q17" s="41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4">
        <f>SUM(M17:AW17)</f>
        <v>20000</v>
      </c>
      <c r="AY17" s="46">
        <v>25000</v>
      </c>
      <c r="AZ17" s="43"/>
      <c r="BA17" s="44">
        <f t="shared" si="3"/>
        <v>20000</v>
      </c>
      <c r="BB17" s="48"/>
    </row>
    <row r="18" spans="1:54" ht="23.4" customHeight="1" thickBot="1">
      <c r="A18" s="39">
        <v>12</v>
      </c>
      <c r="B18" s="50" t="s">
        <v>72</v>
      </c>
      <c r="C18" s="73">
        <v>15000</v>
      </c>
      <c r="D18" s="7">
        <v>28</v>
      </c>
      <c r="E18" s="7">
        <v>4</v>
      </c>
      <c r="F18" s="73">
        <v>16000</v>
      </c>
      <c r="G18" s="73">
        <v>0</v>
      </c>
      <c r="H18" s="73">
        <v>0</v>
      </c>
      <c r="I18" s="73">
        <v>0</v>
      </c>
      <c r="J18" s="6">
        <v>15290</v>
      </c>
      <c r="K18" s="6">
        <f t="shared" si="1"/>
        <v>710</v>
      </c>
      <c r="L18" s="8"/>
      <c r="M18" s="6">
        <v>0</v>
      </c>
      <c r="N18" s="6">
        <v>5000</v>
      </c>
      <c r="O18" s="6">
        <f t="shared" si="2"/>
        <v>5000</v>
      </c>
      <c r="P18" s="24">
        <v>4750</v>
      </c>
      <c r="Q18" s="41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>
        <v>5000</v>
      </c>
      <c r="AK18" s="39"/>
      <c r="AL18" s="39"/>
      <c r="AM18" s="39"/>
      <c r="AN18" s="39"/>
      <c r="AO18" s="39"/>
      <c r="AP18" s="39"/>
      <c r="AQ18" s="39"/>
      <c r="AR18" s="39"/>
      <c r="AS18" s="39"/>
      <c r="AT18" s="39">
        <v>200</v>
      </c>
      <c r="AU18" s="39"/>
      <c r="AV18" s="39"/>
      <c r="AW18" s="39">
        <v>340</v>
      </c>
      <c r="AX18" s="34">
        <f>SUM(M18:AW18)</f>
        <v>20290</v>
      </c>
      <c r="AY18" s="46">
        <v>10000</v>
      </c>
      <c r="AZ18" s="43"/>
      <c r="BA18" s="44">
        <f t="shared" si="3"/>
        <v>20290</v>
      </c>
      <c r="BB18" s="48"/>
    </row>
    <row r="19" spans="1:54" ht="23.4" customHeight="1" thickBot="1">
      <c r="A19" s="39">
        <v>13</v>
      </c>
      <c r="B19" s="50" t="s">
        <v>73</v>
      </c>
      <c r="C19" s="73">
        <v>15500</v>
      </c>
      <c r="D19" s="7">
        <v>27</v>
      </c>
      <c r="E19" s="7">
        <v>3</v>
      </c>
      <c r="F19" s="73">
        <v>15500</v>
      </c>
      <c r="G19" s="73">
        <v>0</v>
      </c>
      <c r="H19" s="73">
        <v>0</v>
      </c>
      <c r="I19" s="73">
        <v>0</v>
      </c>
      <c r="J19" s="6">
        <v>10190</v>
      </c>
      <c r="K19" s="6">
        <f t="shared" si="1"/>
        <v>5310</v>
      </c>
      <c r="L19" s="8"/>
      <c r="M19" s="6">
        <v>0</v>
      </c>
      <c r="N19" s="6">
        <v>0</v>
      </c>
      <c r="O19" s="6">
        <f t="shared" si="2"/>
        <v>0</v>
      </c>
      <c r="P19" s="8">
        <v>3950</v>
      </c>
      <c r="Q19" s="41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>
        <v>1500</v>
      </c>
      <c r="AE19" s="39"/>
      <c r="AF19" s="39"/>
      <c r="AG19" s="39"/>
      <c r="AH19" s="39"/>
      <c r="AI19" s="39">
        <v>1500</v>
      </c>
      <c r="AJ19" s="39"/>
      <c r="AK19" s="39"/>
      <c r="AL19" s="39">
        <v>100</v>
      </c>
      <c r="AM19" s="39">
        <v>500</v>
      </c>
      <c r="AN19" s="39">
        <v>2000</v>
      </c>
      <c r="AO19" s="39"/>
      <c r="AP19" s="39"/>
      <c r="AQ19" s="39"/>
      <c r="AR19" s="39"/>
      <c r="AS19" s="39"/>
      <c r="AT19" s="39">
        <v>300</v>
      </c>
      <c r="AU19" s="39"/>
      <c r="AV19" s="39"/>
      <c r="AW19" s="39">
        <v>340</v>
      </c>
      <c r="AX19" s="34">
        <f>SUM(M19:AW19)</f>
        <v>10190</v>
      </c>
      <c r="AY19" s="42"/>
      <c r="AZ19" s="43"/>
      <c r="BA19" s="44">
        <f t="shared" si="3"/>
        <v>10190</v>
      </c>
      <c r="BB19" s="48"/>
    </row>
    <row r="20" spans="1:54" ht="23.4" customHeight="1" thickBot="1">
      <c r="A20" s="39">
        <v>14</v>
      </c>
      <c r="B20" s="50" t="s">
        <v>74</v>
      </c>
      <c r="C20" s="73">
        <v>19000</v>
      </c>
      <c r="D20" s="7">
        <v>6</v>
      </c>
      <c r="E20" s="7">
        <v>1</v>
      </c>
      <c r="F20" s="73">
        <v>4433</v>
      </c>
      <c r="G20" s="73">
        <v>0</v>
      </c>
      <c r="H20" s="73">
        <v>0</v>
      </c>
      <c r="I20" s="73">
        <v>0</v>
      </c>
      <c r="J20" s="6">
        <v>0</v>
      </c>
      <c r="K20" s="6">
        <f t="shared" si="1"/>
        <v>4433</v>
      </c>
      <c r="L20" s="8"/>
      <c r="M20" s="6">
        <v>0</v>
      </c>
      <c r="N20" s="6">
        <v>0</v>
      </c>
      <c r="O20" s="6">
        <f t="shared" si="2"/>
        <v>0</v>
      </c>
      <c r="P20" s="8"/>
      <c r="Q20" s="41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4">
        <f>SUM(P20:AW20)</f>
        <v>0</v>
      </c>
      <c r="AY20" s="42"/>
      <c r="AZ20" s="43"/>
      <c r="BA20" s="44">
        <f t="shared" si="3"/>
        <v>0</v>
      </c>
      <c r="BB20" s="8"/>
    </row>
    <row r="21" spans="1:54" ht="23.4" customHeight="1" thickBot="1">
      <c r="A21" s="39">
        <v>15</v>
      </c>
      <c r="B21" s="50" t="s">
        <v>75</v>
      </c>
      <c r="C21" s="73">
        <v>15000</v>
      </c>
      <c r="D21" s="7">
        <v>0</v>
      </c>
      <c r="E21" s="7">
        <v>0</v>
      </c>
      <c r="F21" s="73">
        <v>0</v>
      </c>
      <c r="G21" s="73">
        <v>0</v>
      </c>
      <c r="H21" s="73">
        <v>0</v>
      </c>
      <c r="I21" s="73">
        <v>0</v>
      </c>
      <c r="J21" s="6">
        <v>0</v>
      </c>
      <c r="K21" s="6">
        <f t="shared" si="1"/>
        <v>0</v>
      </c>
      <c r="L21" s="8"/>
      <c r="M21" s="6">
        <f t="shared" ref="M21" si="5">K21-L21</f>
        <v>0</v>
      </c>
      <c r="N21" s="6"/>
      <c r="O21" s="6">
        <f t="shared" si="2"/>
        <v>0</v>
      </c>
      <c r="P21" s="24"/>
      <c r="Q21" s="41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4"/>
      <c r="AY21" s="46"/>
      <c r="AZ21" s="43"/>
      <c r="BA21" s="44"/>
      <c r="BB21" s="48"/>
    </row>
    <row r="22" spans="1:54">
      <c r="C22" s="74">
        <v>259500</v>
      </c>
      <c r="D22" s="12"/>
      <c r="E22" s="12"/>
      <c r="F22" s="74">
        <v>224333</v>
      </c>
      <c r="G22" s="74">
        <v>3030</v>
      </c>
      <c r="H22" s="74">
        <v>310</v>
      </c>
      <c r="I22" s="74">
        <v>800</v>
      </c>
      <c r="J22" s="11">
        <v>76480</v>
      </c>
      <c r="K22" s="13">
        <v>143713</v>
      </c>
      <c r="L22" s="8"/>
      <c r="M22" s="13"/>
      <c r="N22" s="51"/>
      <c r="O22" s="51"/>
      <c r="BA22" s="14"/>
    </row>
    <row r="23" spans="1:54">
      <c r="BA23" s="14"/>
    </row>
    <row r="24" spans="1:54">
      <c r="BA24" s="14"/>
    </row>
    <row r="25" spans="1:54">
      <c r="BA25" s="14"/>
    </row>
    <row r="26" spans="1:54">
      <c r="BA26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4352-97C0-4F17-BEE6-853C7E07ECD1}">
  <dimension ref="A1:BF23"/>
  <sheetViews>
    <sheetView topLeftCell="A7" workbookViewId="0">
      <pane xSplit="2" topLeftCell="K1" activePane="topRight" state="frozen"/>
      <selection pane="topRight" activeCell="A16" sqref="A16:XFD16"/>
    </sheetView>
  </sheetViews>
  <sheetFormatPr defaultRowHeight="14.4"/>
  <cols>
    <col min="1" max="1" width="5.109375" customWidth="1"/>
    <col min="2" max="2" width="20.109375" customWidth="1"/>
    <col min="3" max="3" width="12.33203125" customWidth="1"/>
    <col min="4" max="4" width="6" customWidth="1"/>
    <col min="5" max="6" width="5.88671875" customWidth="1"/>
    <col min="7" max="7" width="12.33203125" customWidth="1"/>
    <col min="8" max="8" width="10.109375" customWidth="1"/>
    <col min="10" max="10" width="9.5546875" customWidth="1"/>
    <col min="11" max="11" width="11.109375" customWidth="1"/>
    <col min="12" max="12" width="10.88671875" customWidth="1"/>
    <col min="14" max="14" width="10.44140625" bestFit="1" customWidth="1"/>
    <col min="15" max="17" width="12.21875" customWidth="1"/>
    <col min="18" max="18" width="19.88671875" customWidth="1"/>
  </cols>
  <sheetData>
    <row r="1" spans="1:58" ht="55.2" customHeight="1">
      <c r="B1" s="52" t="s">
        <v>85</v>
      </c>
      <c r="R1" s="55"/>
      <c r="S1" s="26" t="s">
        <v>76</v>
      </c>
      <c r="BE1" s="14"/>
    </row>
    <row r="2" spans="1:58" ht="16.2" thickBot="1">
      <c r="A2" s="67" t="s">
        <v>86</v>
      </c>
      <c r="J2" s="55" t="s">
        <v>84</v>
      </c>
    </row>
    <row r="3" spans="1:58" ht="23.4" customHeight="1" thickBot="1">
      <c r="A3" s="60" t="s">
        <v>45</v>
      </c>
      <c r="B3" s="61" t="s">
        <v>46</v>
      </c>
      <c r="C3" s="57" t="s">
        <v>48</v>
      </c>
      <c r="D3" s="29" t="s">
        <v>13</v>
      </c>
      <c r="E3" s="29" t="s">
        <v>14</v>
      </c>
      <c r="F3" s="29" t="s">
        <v>79</v>
      </c>
      <c r="G3" s="30" t="s">
        <v>48</v>
      </c>
      <c r="H3" s="30" t="s">
        <v>49</v>
      </c>
      <c r="I3" s="30" t="s">
        <v>50</v>
      </c>
      <c r="J3" s="30" t="s">
        <v>47</v>
      </c>
      <c r="K3" s="30" t="s">
        <v>15</v>
      </c>
      <c r="L3" s="29" t="s">
        <v>51</v>
      </c>
      <c r="M3" s="29" t="s">
        <v>83</v>
      </c>
      <c r="N3" s="29" t="s">
        <v>77</v>
      </c>
      <c r="O3" s="29" t="s">
        <v>80</v>
      </c>
      <c r="P3" s="31" t="s">
        <v>82</v>
      </c>
      <c r="Q3" s="53" t="s">
        <v>81</v>
      </c>
      <c r="R3" s="29" t="s">
        <v>17</v>
      </c>
      <c r="S3" s="32" t="s">
        <v>55</v>
      </c>
      <c r="T3" s="33" t="s">
        <v>55</v>
      </c>
      <c r="U3" s="33">
        <v>8</v>
      </c>
      <c r="V3" s="33">
        <v>9</v>
      </c>
      <c r="W3" s="33">
        <v>10</v>
      </c>
      <c r="X3" s="33">
        <v>11</v>
      </c>
      <c r="Y3" s="33">
        <v>12</v>
      </c>
      <c r="Z3" s="33">
        <v>13</v>
      </c>
      <c r="AA3" s="33">
        <v>14</v>
      </c>
      <c r="AB3" s="33">
        <v>15</v>
      </c>
      <c r="AC3" s="33">
        <v>16</v>
      </c>
      <c r="AD3" s="33">
        <v>17</v>
      </c>
      <c r="AE3" s="33">
        <v>18</v>
      </c>
      <c r="AF3" s="33">
        <v>19</v>
      </c>
      <c r="AG3" s="33">
        <v>20</v>
      </c>
      <c r="AH3" s="33">
        <v>21</v>
      </c>
      <c r="AI3" s="33">
        <v>22</v>
      </c>
      <c r="AJ3" s="33">
        <v>23</v>
      </c>
      <c r="AK3" s="33">
        <v>24</v>
      </c>
      <c r="AL3" s="33">
        <v>25</v>
      </c>
      <c r="AM3" s="33">
        <v>26</v>
      </c>
      <c r="AN3" s="33">
        <v>27</v>
      </c>
      <c r="AO3" s="33">
        <v>28</v>
      </c>
      <c r="AP3" s="33">
        <v>29</v>
      </c>
      <c r="AQ3" s="33">
        <v>30</v>
      </c>
      <c r="AR3" s="33">
        <v>31</v>
      </c>
      <c r="AS3" s="33">
        <v>1</v>
      </c>
      <c r="AT3" s="33">
        <v>2</v>
      </c>
      <c r="AU3" s="33">
        <v>3</v>
      </c>
      <c r="AV3" s="33">
        <v>4</v>
      </c>
      <c r="AW3" s="33">
        <v>5</v>
      </c>
      <c r="AX3" s="33">
        <v>6</v>
      </c>
      <c r="AY3" s="33">
        <v>7</v>
      </c>
      <c r="AZ3" s="33" t="s">
        <v>78</v>
      </c>
      <c r="BA3" s="33" t="s">
        <v>56</v>
      </c>
      <c r="BB3" s="34" t="s">
        <v>57</v>
      </c>
      <c r="BC3" s="35" t="s">
        <v>58</v>
      </c>
      <c r="BD3" s="36" t="s">
        <v>59</v>
      </c>
      <c r="BE3" s="37" t="s">
        <v>60</v>
      </c>
      <c r="BF3" s="38"/>
    </row>
    <row r="4" spans="1:58" ht="23.4" customHeight="1" thickBot="1">
      <c r="A4" s="48">
        <v>1</v>
      </c>
      <c r="B4" s="62" t="s">
        <v>61</v>
      </c>
      <c r="C4" s="58">
        <v>35000</v>
      </c>
      <c r="D4" s="7">
        <v>31</v>
      </c>
      <c r="E4" s="7">
        <v>0</v>
      </c>
      <c r="F4" s="7">
        <v>31</v>
      </c>
      <c r="G4" s="6">
        <v>35000</v>
      </c>
      <c r="H4" s="6">
        <v>0</v>
      </c>
      <c r="I4" s="6">
        <v>0</v>
      </c>
      <c r="J4" s="6">
        <v>0</v>
      </c>
      <c r="K4" s="6">
        <v>0</v>
      </c>
      <c r="L4" s="6">
        <f>G4-H4-I4-J4-K4</f>
        <v>35000</v>
      </c>
      <c r="M4" s="6">
        <v>0</v>
      </c>
      <c r="N4" s="6"/>
      <c r="O4" s="6">
        <f t="shared" ref="O4:O18" si="0">M4+N4</f>
        <v>0</v>
      </c>
      <c r="P4" s="6"/>
      <c r="Q4" s="54">
        <f>O4-P4</f>
        <v>0</v>
      </c>
      <c r="R4" s="8"/>
      <c r="S4" s="8"/>
      <c r="T4" s="41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4">
        <f t="shared" ref="BB4:BB18" si="1">T4+U4+V4+W4+X4+Y4+Z4+AA4+AB4+AC4+AD4+AE4+AF4+AG4+AH4+AI4+AJ4+AK4+AL4+AM4+AN4+AO4+AP4+AQ4+AR4++AS4+AT4+AU4+AV4+AW4+AX4+AY4+AZ4+BA4</f>
        <v>0</v>
      </c>
      <c r="BC4" s="42"/>
      <c r="BD4" s="43"/>
      <c r="BE4" s="44"/>
      <c r="BF4" s="8"/>
    </row>
    <row r="5" spans="1:58" ht="23.4" customHeight="1" thickBot="1">
      <c r="A5" s="48">
        <v>2</v>
      </c>
      <c r="B5" s="62" t="s">
        <v>62</v>
      </c>
      <c r="C5" s="58">
        <v>35000</v>
      </c>
      <c r="D5" s="7">
        <v>31</v>
      </c>
      <c r="E5" s="7">
        <v>0</v>
      </c>
      <c r="F5" s="7">
        <v>31</v>
      </c>
      <c r="G5" s="6">
        <v>35000</v>
      </c>
      <c r="H5" s="6">
        <v>0</v>
      </c>
      <c r="I5" s="6">
        <v>0</v>
      </c>
      <c r="J5" s="6">
        <v>0</v>
      </c>
      <c r="K5" s="6">
        <v>20000</v>
      </c>
      <c r="L5" s="6">
        <f t="shared" ref="L5:L18" si="2">G5-H5-I5-J5-K5</f>
        <v>15000</v>
      </c>
      <c r="M5" s="6">
        <v>0</v>
      </c>
      <c r="N5" s="6">
        <v>105000</v>
      </c>
      <c r="O5" s="6">
        <f t="shared" si="0"/>
        <v>105000</v>
      </c>
      <c r="P5" s="6">
        <v>10000</v>
      </c>
      <c r="Q5" s="54">
        <f t="shared" ref="Q5:Q18" si="3">O5-P5</f>
        <v>95000</v>
      </c>
      <c r="R5" s="8"/>
      <c r="S5" s="24"/>
      <c r="T5" s="41"/>
      <c r="U5" s="39"/>
      <c r="V5" s="39"/>
      <c r="W5" s="45"/>
      <c r="X5" s="39"/>
      <c r="Y5" s="39"/>
      <c r="Z5" s="39"/>
      <c r="AA5" s="39"/>
      <c r="AB5" s="39"/>
      <c r="AC5" s="39"/>
      <c r="AD5" s="39"/>
      <c r="AE5" s="39"/>
      <c r="AF5" s="45">
        <v>10000</v>
      </c>
      <c r="AG5" s="39"/>
      <c r="AH5" s="39"/>
      <c r="AI5" s="39"/>
      <c r="AJ5" s="45"/>
      <c r="AK5" s="39"/>
      <c r="AL5" s="39"/>
      <c r="AM5" s="39"/>
      <c r="AN5" s="45"/>
      <c r="AO5" s="39"/>
      <c r="AP5" s="45"/>
      <c r="AQ5" s="39"/>
      <c r="AR5" s="39"/>
      <c r="AS5" s="39"/>
      <c r="AT5" s="45"/>
      <c r="AU5" s="39"/>
      <c r="AV5" s="39"/>
      <c r="AW5" s="39"/>
      <c r="AX5" s="39"/>
      <c r="AY5" s="39"/>
      <c r="AZ5" s="39"/>
      <c r="BA5" s="39"/>
      <c r="BB5" s="34">
        <f t="shared" si="1"/>
        <v>10000</v>
      </c>
      <c r="BC5" s="46"/>
      <c r="BD5" s="47"/>
      <c r="BE5" s="44"/>
      <c r="BF5" s="48"/>
    </row>
    <row r="6" spans="1:58" ht="23.4" customHeight="1" thickBot="1">
      <c r="A6" s="48">
        <v>3</v>
      </c>
      <c r="B6" s="62" t="s">
        <v>63</v>
      </c>
      <c r="C6" s="58">
        <v>35000</v>
      </c>
      <c r="D6" s="7">
        <v>31</v>
      </c>
      <c r="E6" s="7">
        <v>0</v>
      </c>
      <c r="F6" s="7">
        <v>31</v>
      </c>
      <c r="G6" s="6">
        <v>35000</v>
      </c>
      <c r="H6" s="6">
        <v>0</v>
      </c>
      <c r="I6" s="6">
        <v>0</v>
      </c>
      <c r="J6" s="6">
        <v>0</v>
      </c>
      <c r="K6" s="6">
        <v>0</v>
      </c>
      <c r="L6" s="6">
        <f t="shared" si="2"/>
        <v>35000</v>
      </c>
      <c r="M6" s="6">
        <v>0</v>
      </c>
      <c r="N6" s="6"/>
      <c r="O6" s="6">
        <f t="shared" si="0"/>
        <v>0</v>
      </c>
      <c r="P6" s="6"/>
      <c r="Q6" s="54">
        <f t="shared" si="3"/>
        <v>0</v>
      </c>
      <c r="R6" s="8"/>
      <c r="S6" s="8"/>
      <c r="T6" s="41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4">
        <f t="shared" si="1"/>
        <v>0</v>
      </c>
      <c r="BC6" s="42"/>
      <c r="BD6" s="43"/>
      <c r="BE6" s="44"/>
      <c r="BF6" s="8"/>
    </row>
    <row r="7" spans="1:58" ht="23.4" customHeight="1" thickBot="1">
      <c r="A7" s="48">
        <v>4</v>
      </c>
      <c r="B7" s="62" t="s">
        <v>64</v>
      </c>
      <c r="C7" s="58">
        <v>5000</v>
      </c>
      <c r="D7" s="7">
        <v>31</v>
      </c>
      <c r="E7" s="7">
        <v>0</v>
      </c>
      <c r="F7" s="7">
        <v>31</v>
      </c>
      <c r="G7" s="6">
        <v>5000</v>
      </c>
      <c r="H7" s="6">
        <v>0</v>
      </c>
      <c r="I7" s="6">
        <v>0</v>
      </c>
      <c r="J7" s="6">
        <v>0</v>
      </c>
      <c r="K7" s="6">
        <v>0</v>
      </c>
      <c r="L7" s="6">
        <f t="shared" si="2"/>
        <v>5000</v>
      </c>
      <c r="M7" s="6">
        <v>0</v>
      </c>
      <c r="N7" s="6"/>
      <c r="O7" s="6">
        <f t="shared" si="0"/>
        <v>0</v>
      </c>
      <c r="P7" s="6"/>
      <c r="Q7" s="54">
        <f t="shared" si="3"/>
        <v>0</v>
      </c>
      <c r="R7" s="8"/>
      <c r="S7" s="8"/>
      <c r="T7" s="41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4">
        <f t="shared" si="1"/>
        <v>0</v>
      </c>
      <c r="BC7" s="42"/>
      <c r="BD7" s="43"/>
      <c r="BE7" s="44"/>
      <c r="BF7" s="8"/>
    </row>
    <row r="8" spans="1:58" ht="23.4" customHeight="1" thickBot="1">
      <c r="A8" s="48">
        <v>5</v>
      </c>
      <c r="B8" s="62" t="s">
        <v>65</v>
      </c>
      <c r="C8" s="58">
        <v>5000</v>
      </c>
      <c r="D8" s="7">
        <v>31</v>
      </c>
      <c r="E8" s="7">
        <v>0</v>
      </c>
      <c r="F8" s="7">
        <v>31</v>
      </c>
      <c r="G8" s="6">
        <v>5000</v>
      </c>
      <c r="H8" s="6">
        <v>0</v>
      </c>
      <c r="I8" s="6">
        <v>0</v>
      </c>
      <c r="J8" s="6">
        <v>0</v>
      </c>
      <c r="K8" s="6">
        <v>0</v>
      </c>
      <c r="L8" s="6">
        <f t="shared" si="2"/>
        <v>5000</v>
      </c>
      <c r="M8" s="6">
        <v>0</v>
      </c>
      <c r="N8" s="6"/>
      <c r="O8" s="6">
        <f t="shared" si="0"/>
        <v>0</v>
      </c>
      <c r="P8" s="6"/>
      <c r="Q8" s="54">
        <f>O8-P8</f>
        <v>0</v>
      </c>
      <c r="R8" s="8"/>
      <c r="S8" s="8"/>
      <c r="T8" s="41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4">
        <f t="shared" si="1"/>
        <v>0</v>
      </c>
      <c r="BC8" s="42"/>
      <c r="BD8" s="43"/>
      <c r="BE8" s="44"/>
      <c r="BF8" s="8"/>
    </row>
    <row r="9" spans="1:58" ht="23.4" customHeight="1" thickBot="1">
      <c r="A9" s="48">
        <v>6</v>
      </c>
      <c r="B9" s="62" t="s">
        <v>66</v>
      </c>
      <c r="C9" s="58">
        <v>10000</v>
      </c>
      <c r="D9" s="7">
        <v>31</v>
      </c>
      <c r="E9" s="7">
        <v>0</v>
      </c>
      <c r="F9" s="7">
        <v>31</v>
      </c>
      <c r="G9" s="6">
        <v>10000</v>
      </c>
      <c r="H9" s="6">
        <v>0</v>
      </c>
      <c r="I9" s="6">
        <v>0</v>
      </c>
      <c r="J9" s="6">
        <v>0</v>
      </c>
      <c r="K9" s="6">
        <v>0</v>
      </c>
      <c r="L9" s="6">
        <f t="shared" si="2"/>
        <v>10000</v>
      </c>
      <c r="M9" s="6">
        <v>0</v>
      </c>
      <c r="N9" s="6"/>
      <c r="O9" s="6">
        <f t="shared" si="0"/>
        <v>0</v>
      </c>
      <c r="P9" s="6"/>
      <c r="Q9" s="54">
        <f t="shared" si="3"/>
        <v>0</v>
      </c>
      <c r="R9" s="8"/>
      <c r="S9" s="8"/>
      <c r="T9" s="41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4">
        <f t="shared" si="1"/>
        <v>0</v>
      </c>
      <c r="BC9" s="42"/>
      <c r="BD9" s="43"/>
      <c r="BE9" s="44"/>
      <c r="BF9" s="8"/>
    </row>
    <row r="10" spans="1:58" ht="23.4" customHeight="1" thickBot="1">
      <c r="A10" s="66">
        <v>7</v>
      </c>
      <c r="B10" s="59" t="s">
        <v>67</v>
      </c>
      <c r="C10" s="10">
        <v>15500</v>
      </c>
      <c r="D10" s="7">
        <v>18</v>
      </c>
      <c r="E10" s="7">
        <v>2</v>
      </c>
      <c r="F10" s="7">
        <v>20</v>
      </c>
      <c r="G10" s="10">
        <v>10000</v>
      </c>
      <c r="H10" s="10">
        <v>720</v>
      </c>
      <c r="I10" s="10">
        <v>68</v>
      </c>
      <c r="J10" s="10">
        <v>175</v>
      </c>
      <c r="K10" s="10">
        <v>300</v>
      </c>
      <c r="L10" s="6">
        <f t="shared" si="2"/>
        <v>8737</v>
      </c>
      <c r="M10" s="6">
        <v>0</v>
      </c>
      <c r="N10" s="6">
        <v>45000</v>
      </c>
      <c r="O10" s="6">
        <f t="shared" si="0"/>
        <v>45000</v>
      </c>
      <c r="P10" s="6"/>
      <c r="Q10" s="54">
        <f t="shared" si="3"/>
        <v>45000</v>
      </c>
      <c r="R10" s="8"/>
      <c r="S10" s="24"/>
      <c r="T10" s="49"/>
      <c r="U10" s="39"/>
      <c r="V10" s="39"/>
      <c r="W10" s="39"/>
      <c r="X10" s="39"/>
      <c r="Y10" s="39"/>
      <c r="Z10" s="45"/>
      <c r="AA10" s="39"/>
      <c r="AB10" s="39"/>
      <c r="AC10" s="39"/>
      <c r="AD10" s="39"/>
      <c r="AE10" s="39"/>
      <c r="AF10" s="39"/>
      <c r="AG10" s="45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4">
        <f t="shared" si="1"/>
        <v>0</v>
      </c>
      <c r="BC10" s="46"/>
      <c r="BD10" s="43"/>
      <c r="BE10" s="44"/>
      <c r="BF10" s="48"/>
    </row>
    <row r="11" spans="1:58" ht="23.4" customHeight="1" thickBot="1">
      <c r="A11" s="48">
        <v>8</v>
      </c>
      <c r="B11" s="63" t="s">
        <v>68</v>
      </c>
      <c r="C11" s="6">
        <v>10500</v>
      </c>
      <c r="D11" s="7">
        <v>31</v>
      </c>
      <c r="E11" s="7">
        <v>0</v>
      </c>
      <c r="F11" s="7">
        <v>31</v>
      </c>
      <c r="G11" s="6">
        <v>10500</v>
      </c>
      <c r="H11" s="6">
        <v>756</v>
      </c>
      <c r="I11" s="6">
        <v>79</v>
      </c>
      <c r="J11" s="6">
        <v>0</v>
      </c>
      <c r="K11" s="6">
        <v>0</v>
      </c>
      <c r="L11" s="6">
        <f t="shared" si="2"/>
        <v>9665</v>
      </c>
      <c r="M11" s="6">
        <v>0</v>
      </c>
      <c r="N11" s="6"/>
      <c r="O11" s="6">
        <f t="shared" si="0"/>
        <v>0</v>
      </c>
      <c r="P11" s="6"/>
      <c r="Q11" s="54">
        <f t="shared" si="3"/>
        <v>0</v>
      </c>
      <c r="R11" s="8"/>
      <c r="S11" s="8"/>
      <c r="T11" s="41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4">
        <f t="shared" si="1"/>
        <v>0</v>
      </c>
      <c r="BC11" s="42"/>
      <c r="BD11" s="43"/>
      <c r="BE11" s="44"/>
      <c r="BF11" s="8"/>
    </row>
    <row r="12" spans="1:58" ht="23.4" customHeight="1" thickBot="1">
      <c r="A12" s="48">
        <v>9</v>
      </c>
      <c r="B12" s="63" t="s">
        <v>69</v>
      </c>
      <c r="C12" s="6">
        <v>16000</v>
      </c>
      <c r="D12" s="7">
        <v>21</v>
      </c>
      <c r="E12" s="7">
        <v>6</v>
      </c>
      <c r="F12" s="7">
        <v>27</v>
      </c>
      <c r="G12" s="6">
        <v>13935</v>
      </c>
      <c r="H12" s="6">
        <v>1003</v>
      </c>
      <c r="I12" s="6">
        <v>82</v>
      </c>
      <c r="J12" s="6">
        <v>200</v>
      </c>
      <c r="K12" s="6">
        <v>0</v>
      </c>
      <c r="L12" s="6">
        <f t="shared" si="2"/>
        <v>12650</v>
      </c>
      <c r="M12" s="6">
        <v>0</v>
      </c>
      <c r="N12" s="6"/>
      <c r="O12" s="6">
        <f t="shared" si="0"/>
        <v>0</v>
      </c>
      <c r="P12" s="6"/>
      <c r="Q12" s="54">
        <f t="shared" si="3"/>
        <v>0</v>
      </c>
      <c r="R12" s="8"/>
      <c r="S12" s="8"/>
      <c r="T12" s="41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4">
        <f t="shared" si="1"/>
        <v>0</v>
      </c>
      <c r="BC12" s="42"/>
      <c r="BD12" s="43"/>
      <c r="BE12" s="44"/>
      <c r="BF12" s="8"/>
    </row>
    <row r="13" spans="1:58" ht="23.4" customHeight="1" thickBot="1">
      <c r="A13" s="48">
        <v>10</v>
      </c>
      <c r="B13" s="64" t="s">
        <v>70</v>
      </c>
      <c r="C13" s="10">
        <v>13500</v>
      </c>
      <c r="D13" s="7">
        <v>10</v>
      </c>
      <c r="E13" s="7">
        <v>2</v>
      </c>
      <c r="F13" s="7">
        <v>12</v>
      </c>
      <c r="G13" s="10">
        <v>5226</v>
      </c>
      <c r="H13" s="10">
        <v>0</v>
      </c>
      <c r="I13" s="10">
        <v>33</v>
      </c>
      <c r="J13" s="10">
        <v>0</v>
      </c>
      <c r="K13" s="10">
        <v>0</v>
      </c>
      <c r="L13" s="6">
        <f t="shared" si="2"/>
        <v>5193</v>
      </c>
      <c r="M13" s="6">
        <v>0</v>
      </c>
      <c r="N13" s="6">
        <v>50000</v>
      </c>
      <c r="O13" s="6">
        <f t="shared" si="0"/>
        <v>50000</v>
      </c>
      <c r="P13" s="6"/>
      <c r="Q13" s="54">
        <f t="shared" si="3"/>
        <v>50000</v>
      </c>
      <c r="R13" s="8"/>
      <c r="S13" s="24"/>
      <c r="T13" s="41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4">
        <f t="shared" si="1"/>
        <v>0</v>
      </c>
      <c r="BC13" s="46"/>
      <c r="BD13" s="43"/>
      <c r="BE13" s="44"/>
      <c r="BF13" s="48"/>
    </row>
    <row r="14" spans="1:58" ht="23.4" customHeight="1" thickBot="1">
      <c r="A14" s="48">
        <v>11</v>
      </c>
      <c r="B14" s="63" t="s">
        <v>71</v>
      </c>
      <c r="C14" s="6">
        <v>13500</v>
      </c>
      <c r="D14" s="7">
        <v>10</v>
      </c>
      <c r="E14" s="7">
        <v>1</v>
      </c>
      <c r="F14" s="7">
        <v>11</v>
      </c>
      <c r="G14" s="6">
        <v>4790</v>
      </c>
      <c r="H14" s="6">
        <v>0</v>
      </c>
      <c r="I14" s="6">
        <v>0</v>
      </c>
      <c r="J14" s="6">
        <v>0</v>
      </c>
      <c r="K14" s="6">
        <v>300</v>
      </c>
      <c r="L14" s="6">
        <f t="shared" si="2"/>
        <v>4490</v>
      </c>
      <c r="M14" s="6">
        <v>0</v>
      </c>
      <c r="N14" s="6">
        <v>10000</v>
      </c>
      <c r="O14" s="6">
        <f t="shared" si="0"/>
        <v>10000</v>
      </c>
      <c r="P14" s="6"/>
      <c r="Q14" s="54">
        <f t="shared" si="3"/>
        <v>10000</v>
      </c>
      <c r="R14" s="8"/>
      <c r="S14" s="8"/>
      <c r="T14" s="41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>
        <v>300</v>
      </c>
      <c r="AT14" s="39"/>
      <c r="AU14" s="39"/>
      <c r="AV14" s="39"/>
      <c r="AW14" s="39"/>
      <c r="AX14" s="39"/>
      <c r="AY14" s="39"/>
      <c r="AZ14" s="39"/>
      <c r="BA14" s="39"/>
      <c r="BB14" s="34">
        <f t="shared" si="1"/>
        <v>300</v>
      </c>
      <c r="BC14" s="46"/>
      <c r="BD14" s="43"/>
      <c r="BE14" s="44"/>
      <c r="BF14" s="48"/>
    </row>
    <row r="15" spans="1:58" ht="23.4" customHeight="1" thickBot="1">
      <c r="A15" s="48">
        <v>12</v>
      </c>
      <c r="B15" s="65" t="s">
        <v>72</v>
      </c>
      <c r="C15" s="6">
        <v>15000</v>
      </c>
      <c r="D15" s="7">
        <v>7</v>
      </c>
      <c r="E15" s="7">
        <v>2</v>
      </c>
      <c r="F15" s="7">
        <v>9</v>
      </c>
      <c r="G15" s="6">
        <v>4500</v>
      </c>
      <c r="H15" s="6">
        <v>0</v>
      </c>
      <c r="I15" s="6">
        <v>0</v>
      </c>
      <c r="J15" s="6">
        <v>0</v>
      </c>
      <c r="K15" s="6">
        <v>3200</v>
      </c>
      <c r="L15" s="6">
        <f t="shared" si="2"/>
        <v>1300</v>
      </c>
      <c r="M15" s="6">
        <v>0</v>
      </c>
      <c r="N15" s="6">
        <v>5000</v>
      </c>
      <c r="O15" s="6">
        <f t="shared" si="0"/>
        <v>5000</v>
      </c>
      <c r="P15" s="6"/>
      <c r="Q15" s="54">
        <f t="shared" si="3"/>
        <v>5000</v>
      </c>
      <c r="R15" s="8"/>
      <c r="S15" s="24"/>
      <c r="T15" s="41"/>
      <c r="U15" s="39">
        <v>700</v>
      </c>
      <c r="V15" s="39"/>
      <c r="W15" s="45">
        <v>2500</v>
      </c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4">
        <f t="shared" si="1"/>
        <v>3200</v>
      </c>
      <c r="BC15" s="46"/>
      <c r="BD15" s="43"/>
      <c r="BE15" s="44"/>
      <c r="BF15" s="48"/>
    </row>
    <row r="16" spans="1:58" ht="23.4" customHeight="1" thickBot="1">
      <c r="A16" s="48">
        <v>13</v>
      </c>
      <c r="B16" s="63" t="s">
        <v>73</v>
      </c>
      <c r="C16" s="6">
        <v>15500</v>
      </c>
      <c r="D16" s="7">
        <v>23</v>
      </c>
      <c r="E16" s="7">
        <v>3</v>
      </c>
      <c r="F16" s="7">
        <v>26</v>
      </c>
      <c r="G16" s="6">
        <v>13000</v>
      </c>
      <c r="H16" s="6">
        <v>0</v>
      </c>
      <c r="I16" s="6">
        <v>0</v>
      </c>
      <c r="J16" s="6">
        <v>0</v>
      </c>
      <c r="K16" s="6">
        <v>9850</v>
      </c>
      <c r="L16" s="6">
        <f t="shared" si="2"/>
        <v>3150</v>
      </c>
      <c r="M16" s="6">
        <v>15000</v>
      </c>
      <c r="N16" s="6">
        <v>0</v>
      </c>
      <c r="O16" s="6">
        <f t="shared" si="0"/>
        <v>15000</v>
      </c>
      <c r="P16" s="6"/>
      <c r="Q16" s="54">
        <f t="shared" si="3"/>
        <v>15000</v>
      </c>
      <c r="R16" s="8"/>
      <c r="S16" s="8"/>
      <c r="T16" s="41"/>
      <c r="U16" s="39"/>
      <c r="V16" s="39"/>
      <c r="W16" s="39"/>
      <c r="X16" s="45">
        <v>1000</v>
      </c>
      <c r="Y16" s="45">
        <v>21000</v>
      </c>
      <c r="Z16" s="39"/>
      <c r="AA16" s="39"/>
      <c r="AB16" s="39"/>
      <c r="AC16" s="39"/>
      <c r="AD16" s="39">
        <v>500</v>
      </c>
      <c r="AE16" s="39"/>
      <c r="AF16" s="39">
        <v>500</v>
      </c>
      <c r="AG16" s="39"/>
      <c r="AH16" s="39"/>
      <c r="AI16" s="39"/>
      <c r="AJ16" s="39"/>
      <c r="AK16" s="39">
        <v>500</v>
      </c>
      <c r="AL16" s="39"/>
      <c r="AM16" s="39"/>
      <c r="AN16" s="39"/>
      <c r="AO16" s="39"/>
      <c r="AP16" s="39"/>
      <c r="AQ16" s="39">
        <v>500</v>
      </c>
      <c r="AR16" s="39"/>
      <c r="AS16" s="39"/>
      <c r="AT16" s="39">
        <v>500</v>
      </c>
      <c r="AU16" s="39"/>
      <c r="AV16" s="39"/>
      <c r="AW16" s="39"/>
      <c r="AX16" s="39"/>
      <c r="AY16" s="39"/>
      <c r="AZ16" s="39"/>
      <c r="BA16" s="39">
        <v>350</v>
      </c>
      <c r="BB16" s="34">
        <f>T16+U16+V16+W16+X16+Y16+Z16+AA16+AB16+AC16+AD16+AE16+AF16+AG16+AH16+AI16+AJ16+AK16+AL16+AM16+AN16+AO16+AP16+AQ16+AR16++AS16+AT16+AU16+AV16+AW16+AX16+AY16+AZ16+BA16</f>
        <v>24850</v>
      </c>
      <c r="BC16" s="42"/>
      <c r="BD16" s="43"/>
      <c r="BE16" s="44"/>
      <c r="BF16" s="48"/>
    </row>
    <row r="17" spans="1:58" ht="23.4" customHeight="1" thickBot="1">
      <c r="A17" s="48">
        <v>14</v>
      </c>
      <c r="B17" s="63" t="s">
        <v>74</v>
      </c>
      <c r="C17" s="6">
        <v>19000</v>
      </c>
      <c r="D17" s="7">
        <v>19</v>
      </c>
      <c r="E17" s="7">
        <v>5</v>
      </c>
      <c r="F17" s="7">
        <v>24</v>
      </c>
      <c r="G17" s="6">
        <v>14709</v>
      </c>
      <c r="H17" s="6">
        <v>0</v>
      </c>
      <c r="I17" s="6">
        <v>0</v>
      </c>
      <c r="J17" s="6">
        <v>0</v>
      </c>
      <c r="K17" s="6">
        <v>14700</v>
      </c>
      <c r="L17" s="6">
        <f t="shared" si="2"/>
        <v>9</v>
      </c>
      <c r="M17" s="6">
        <v>0</v>
      </c>
      <c r="N17" s="6">
        <v>0</v>
      </c>
      <c r="O17" s="6">
        <f t="shared" si="0"/>
        <v>0</v>
      </c>
      <c r="P17" s="6"/>
      <c r="Q17" s="54">
        <f t="shared" si="3"/>
        <v>0</v>
      </c>
      <c r="R17" s="8"/>
      <c r="S17" s="8"/>
      <c r="T17" s="41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4">
        <f t="shared" si="1"/>
        <v>0</v>
      </c>
      <c r="BC17" s="42"/>
      <c r="BD17" s="43"/>
      <c r="BE17" s="44"/>
      <c r="BF17" s="8"/>
    </row>
    <row r="18" spans="1:58" ht="23.4" customHeight="1" thickBot="1">
      <c r="A18" s="48">
        <v>15</v>
      </c>
      <c r="B18" s="63" t="s">
        <v>75</v>
      </c>
      <c r="C18" s="6">
        <v>15000</v>
      </c>
      <c r="D18" s="7">
        <v>30</v>
      </c>
      <c r="E18" s="7">
        <v>6</v>
      </c>
      <c r="F18" s="7">
        <v>36</v>
      </c>
      <c r="G18" s="6">
        <v>17419</v>
      </c>
      <c r="H18" s="6">
        <v>0</v>
      </c>
      <c r="I18" s="6">
        <v>0</v>
      </c>
      <c r="J18" s="6">
        <v>0</v>
      </c>
      <c r="K18" s="6">
        <v>8100</v>
      </c>
      <c r="L18" s="6">
        <f t="shared" si="2"/>
        <v>9319</v>
      </c>
      <c r="M18" s="6" t="e">
        <f>L18-#REF!</f>
        <v>#REF!</v>
      </c>
      <c r="N18" s="6">
        <v>0</v>
      </c>
      <c r="O18" s="6" t="e">
        <f t="shared" si="0"/>
        <v>#REF!</v>
      </c>
      <c r="P18" s="6"/>
      <c r="Q18" s="54" t="e">
        <f t="shared" si="3"/>
        <v>#REF!</v>
      </c>
      <c r="R18" s="8"/>
      <c r="S18" s="24"/>
      <c r="T18" s="41">
        <v>2000</v>
      </c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>
        <v>250</v>
      </c>
      <c r="AP18" s="39"/>
      <c r="AQ18" s="39"/>
      <c r="AR18" s="45">
        <v>5500</v>
      </c>
      <c r="AS18" s="39"/>
      <c r="AT18" s="39"/>
      <c r="AU18" s="39"/>
      <c r="AV18" s="39"/>
      <c r="AW18" s="39"/>
      <c r="AX18" s="39"/>
      <c r="AY18" s="39"/>
      <c r="AZ18" s="39"/>
      <c r="BA18" s="39">
        <v>350</v>
      </c>
      <c r="BB18" s="34">
        <f t="shared" si="1"/>
        <v>8100</v>
      </c>
      <c r="BC18" s="46"/>
      <c r="BD18" s="43"/>
      <c r="BE18" s="44"/>
      <c r="BF18" s="48"/>
    </row>
    <row r="19" spans="1:58">
      <c r="C19" s="11">
        <v>258500</v>
      </c>
      <c r="D19" s="12"/>
      <c r="E19" s="12"/>
      <c r="F19" s="12"/>
      <c r="G19" s="11">
        <v>219079</v>
      </c>
      <c r="H19" s="11">
        <v>2479</v>
      </c>
      <c r="I19" s="11">
        <v>262</v>
      </c>
      <c r="J19" s="11">
        <v>375</v>
      </c>
      <c r="K19" s="11">
        <v>56450</v>
      </c>
      <c r="L19" s="13">
        <v>159513</v>
      </c>
      <c r="M19" s="13"/>
      <c r="N19" s="51"/>
      <c r="O19" s="51"/>
      <c r="P19" s="51"/>
      <c r="Q19" s="51"/>
      <c r="R19" s="8"/>
      <c r="BE19" s="14"/>
    </row>
    <row r="20" spans="1:58">
      <c r="BE20" s="14"/>
    </row>
    <row r="21" spans="1:58">
      <c r="BE21" s="14"/>
    </row>
    <row r="22" spans="1:58">
      <c r="BE22" s="14"/>
    </row>
    <row r="23" spans="1:58">
      <c r="BE23" s="14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34A4-CF72-43BB-865E-14442D834676}">
  <dimension ref="A2:BJ15"/>
  <sheetViews>
    <sheetView zoomScale="127" workbookViewId="0">
      <selection activeCell="U13" sqref="U13"/>
    </sheetView>
  </sheetViews>
  <sheetFormatPr defaultRowHeight="14.4"/>
  <cols>
    <col min="1" max="1" width="3.109375" customWidth="1"/>
    <col min="2" max="2" width="19.44140625" customWidth="1"/>
    <col min="3" max="3" width="8" customWidth="1"/>
    <col min="4" max="4" width="7.5546875" customWidth="1"/>
    <col min="5" max="5" width="10.88671875" customWidth="1"/>
    <col min="6" max="6" width="3.33203125" customWidth="1"/>
    <col min="7" max="7" width="9.21875" bestFit="1" customWidth="1"/>
    <col min="8" max="8" width="3.21875" customWidth="1"/>
    <col min="9" max="9" width="8.44140625" customWidth="1"/>
    <col min="10" max="10" width="3.77734375" customWidth="1"/>
    <col min="11" max="11" width="9.21875" bestFit="1" customWidth="1"/>
    <col min="12" max="12" width="9" bestFit="1" customWidth="1"/>
    <col min="13" max="13" width="7.44140625" customWidth="1"/>
    <col min="14" max="14" width="7.109375" customWidth="1"/>
    <col min="15" max="15" width="9.21875" bestFit="1" customWidth="1"/>
    <col min="16" max="16" width="11.21875" customWidth="1"/>
    <col min="18" max="18" width="9" bestFit="1" customWidth="1"/>
    <col min="19" max="20" width="9.21875" bestFit="1" customWidth="1"/>
    <col min="21" max="21" width="10" customWidth="1"/>
    <col min="22" max="22" width="9.21875" bestFit="1" customWidth="1"/>
  </cols>
  <sheetData>
    <row r="2" spans="1:62" ht="47.4" customHeight="1" thickBot="1">
      <c r="B2" s="52" t="s">
        <v>105</v>
      </c>
      <c r="C2" s="52"/>
      <c r="D2" s="52"/>
      <c r="Q2" s="55" t="s">
        <v>84</v>
      </c>
      <c r="W2" s="26" t="s">
        <v>106</v>
      </c>
      <c r="BI2" s="14"/>
    </row>
    <row r="3" spans="1:62" ht="23.4" customHeight="1" thickBot="1">
      <c r="A3" s="77" t="s">
        <v>45</v>
      </c>
      <c r="B3" s="78" t="s">
        <v>46</v>
      </c>
      <c r="C3" s="79" t="s">
        <v>144</v>
      </c>
      <c r="D3" s="79" t="s">
        <v>145</v>
      </c>
      <c r="E3" s="30" t="s">
        <v>48</v>
      </c>
      <c r="F3" s="29" t="s">
        <v>13</v>
      </c>
      <c r="G3" s="30" t="s">
        <v>107</v>
      </c>
      <c r="H3" s="29" t="s">
        <v>14</v>
      </c>
      <c r="I3" s="29" t="s">
        <v>108</v>
      </c>
      <c r="J3" s="29" t="s">
        <v>79</v>
      </c>
      <c r="K3" s="30" t="s">
        <v>48</v>
      </c>
      <c r="L3" s="30" t="s">
        <v>109</v>
      </c>
      <c r="M3" s="30" t="s">
        <v>50</v>
      </c>
      <c r="N3" s="30" t="s">
        <v>47</v>
      </c>
      <c r="O3" s="30" t="s">
        <v>15</v>
      </c>
      <c r="P3" s="29" t="s">
        <v>51</v>
      </c>
      <c r="Q3" s="29" t="s">
        <v>17</v>
      </c>
      <c r="R3" s="29" t="s">
        <v>83</v>
      </c>
      <c r="S3" s="29" t="s">
        <v>77</v>
      </c>
      <c r="T3" s="29" t="s">
        <v>80</v>
      </c>
      <c r="U3" s="31" t="s">
        <v>82</v>
      </c>
      <c r="V3" s="53" t="s">
        <v>81</v>
      </c>
      <c r="W3" s="32" t="s">
        <v>55</v>
      </c>
      <c r="X3" s="33" t="s">
        <v>55</v>
      </c>
      <c r="Y3" s="33">
        <v>8</v>
      </c>
      <c r="Z3" s="33">
        <v>9</v>
      </c>
      <c r="AA3" s="33">
        <v>10</v>
      </c>
      <c r="AB3" s="33">
        <v>11</v>
      </c>
      <c r="AC3" s="33">
        <v>12</v>
      </c>
      <c r="AD3" s="33">
        <v>13</v>
      </c>
      <c r="AE3" s="33">
        <v>14</v>
      </c>
      <c r="AF3" s="33">
        <v>15</v>
      </c>
      <c r="AG3" s="33">
        <v>16</v>
      </c>
      <c r="AH3" s="33">
        <v>17</v>
      </c>
      <c r="AI3" s="33">
        <v>18</v>
      </c>
      <c r="AJ3" s="33">
        <v>19</v>
      </c>
      <c r="AK3" s="33">
        <v>20</v>
      </c>
      <c r="AL3" s="33">
        <v>21</v>
      </c>
      <c r="AM3" s="33">
        <v>22</v>
      </c>
      <c r="AN3" s="33">
        <v>23</v>
      </c>
      <c r="AO3" s="33">
        <v>24</v>
      </c>
      <c r="AP3" s="33">
        <v>25</v>
      </c>
      <c r="AQ3" s="33">
        <v>26</v>
      </c>
      <c r="AR3" s="33">
        <v>27</v>
      </c>
      <c r="AS3" s="33">
        <v>28</v>
      </c>
      <c r="AT3" s="33">
        <v>29</v>
      </c>
      <c r="AU3" s="33">
        <v>30</v>
      </c>
      <c r="AV3" s="33">
        <v>31</v>
      </c>
      <c r="AW3" s="33">
        <v>1</v>
      </c>
      <c r="AX3" s="33">
        <v>2</v>
      </c>
      <c r="AY3" s="33">
        <v>3</v>
      </c>
      <c r="AZ3" s="33">
        <v>4</v>
      </c>
      <c r="BA3" s="33">
        <v>5</v>
      </c>
      <c r="BB3" s="33">
        <v>6</v>
      </c>
      <c r="BC3" s="33">
        <v>7</v>
      </c>
      <c r="BD3" s="33" t="s">
        <v>78</v>
      </c>
      <c r="BE3" s="33" t="s">
        <v>56</v>
      </c>
      <c r="BF3" s="34" t="s">
        <v>57</v>
      </c>
      <c r="BG3" s="35" t="s">
        <v>58</v>
      </c>
      <c r="BH3" s="36" t="s">
        <v>59</v>
      </c>
      <c r="BI3" s="37" t="s">
        <v>60</v>
      </c>
      <c r="BJ3" s="38"/>
    </row>
    <row r="4" spans="1:62" ht="23.4" customHeight="1" thickBot="1">
      <c r="A4" s="48">
        <v>1</v>
      </c>
      <c r="B4" s="62" t="s">
        <v>61</v>
      </c>
      <c r="C4" s="80">
        <v>21000</v>
      </c>
      <c r="D4" s="80">
        <v>14000</v>
      </c>
      <c r="E4" s="6">
        <v>35000</v>
      </c>
      <c r="F4" s="7">
        <v>30</v>
      </c>
      <c r="G4" s="6">
        <v>35000</v>
      </c>
      <c r="H4" s="7">
        <v>0</v>
      </c>
      <c r="I4" s="6">
        <v>0</v>
      </c>
      <c r="J4" s="7">
        <v>31</v>
      </c>
      <c r="K4" s="6">
        <f>G4+I4</f>
        <v>35000</v>
      </c>
      <c r="L4" s="6">
        <v>0</v>
      </c>
      <c r="M4" s="6">
        <v>0</v>
      </c>
      <c r="N4" s="6">
        <v>0</v>
      </c>
      <c r="O4" s="6">
        <v>0</v>
      </c>
      <c r="P4" s="6">
        <f>K4-L4-M4-N4-O4</f>
        <v>35000</v>
      </c>
      <c r="Q4" s="8"/>
      <c r="R4" s="6">
        <v>0</v>
      </c>
      <c r="S4" s="6">
        <v>0</v>
      </c>
      <c r="T4" s="6">
        <f t="shared" ref="T4:T14" si="0">R4+S4</f>
        <v>0</v>
      </c>
      <c r="U4" s="6"/>
      <c r="V4" s="54">
        <f>T4-U4</f>
        <v>0</v>
      </c>
      <c r="W4" s="8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4">
        <f t="shared" ref="BF4:BF13" si="1">X4+Y4+Z4+AA4+AB4+AC4+AD4+AE4+AF4+AG4+AH4+AI4+AJ4+AK4+AL4+AM4+AN4+AO4+AP4+AQ4+AR4+AS4+AT4+AU4+AV4++AW4+AX4+AY4+AZ4+BA4+BB4+BC4+BD4+BE4</f>
        <v>0</v>
      </c>
      <c r="BG4" s="42"/>
      <c r="BH4" s="43"/>
      <c r="BI4" s="44"/>
      <c r="BJ4" s="8"/>
    </row>
    <row r="5" spans="1:62" ht="23.4" customHeight="1" thickBot="1">
      <c r="A5" s="48">
        <v>2</v>
      </c>
      <c r="B5" s="62" t="s">
        <v>63</v>
      </c>
      <c r="C5" s="80">
        <v>24000</v>
      </c>
      <c r="D5" s="80">
        <v>16000</v>
      </c>
      <c r="E5" s="6">
        <v>40000</v>
      </c>
      <c r="F5" s="7">
        <v>30</v>
      </c>
      <c r="G5" s="6">
        <v>40000</v>
      </c>
      <c r="H5" s="7">
        <v>0</v>
      </c>
      <c r="I5" s="6">
        <v>0</v>
      </c>
      <c r="J5" s="7">
        <v>31</v>
      </c>
      <c r="K5" s="6">
        <f>G5+I5</f>
        <v>40000</v>
      </c>
      <c r="L5" s="6">
        <v>0</v>
      </c>
      <c r="M5" s="6">
        <v>0</v>
      </c>
      <c r="N5" s="6">
        <v>0</v>
      </c>
      <c r="O5" s="6">
        <v>0</v>
      </c>
      <c r="P5" s="6">
        <f t="shared" ref="P5:P14" si="2">K5-L5-M5-N5-O5</f>
        <v>40000</v>
      </c>
      <c r="Q5" s="8"/>
      <c r="R5" s="6">
        <v>0</v>
      </c>
      <c r="S5" s="6">
        <v>0</v>
      </c>
      <c r="T5" s="6">
        <f t="shared" si="0"/>
        <v>0</v>
      </c>
      <c r="U5" s="6"/>
      <c r="V5" s="54">
        <f t="shared" ref="V5:V14" si="3">T5-U5</f>
        <v>0</v>
      </c>
      <c r="W5" s="8"/>
      <c r="X5" s="41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4">
        <f t="shared" si="1"/>
        <v>0</v>
      </c>
      <c r="BG5" s="42"/>
      <c r="BH5" s="43"/>
      <c r="BI5" s="44"/>
      <c r="BJ5" s="8"/>
    </row>
    <row r="6" spans="1:62" ht="23.4" customHeight="1" thickBot="1">
      <c r="A6" s="48">
        <v>3</v>
      </c>
      <c r="B6" s="62" t="s">
        <v>64</v>
      </c>
      <c r="C6" s="81">
        <v>3000</v>
      </c>
      <c r="D6" s="81">
        <v>2000</v>
      </c>
      <c r="E6" s="6">
        <v>5000</v>
      </c>
      <c r="F6" s="7">
        <v>30</v>
      </c>
      <c r="G6" s="6">
        <v>5000</v>
      </c>
      <c r="H6" s="7">
        <v>0</v>
      </c>
      <c r="I6" s="6">
        <v>0</v>
      </c>
      <c r="J6" s="7">
        <v>31</v>
      </c>
      <c r="K6" s="6">
        <f>G6+I6</f>
        <v>5000</v>
      </c>
      <c r="L6" s="6">
        <v>0</v>
      </c>
      <c r="M6" s="6">
        <v>0</v>
      </c>
      <c r="N6" s="6">
        <v>0</v>
      </c>
      <c r="O6" s="6">
        <v>0</v>
      </c>
      <c r="P6" s="6">
        <f t="shared" si="2"/>
        <v>5000</v>
      </c>
      <c r="Q6" s="8"/>
      <c r="R6" s="6">
        <v>0</v>
      </c>
      <c r="S6" s="6">
        <v>0</v>
      </c>
      <c r="T6" s="6">
        <f t="shared" si="0"/>
        <v>0</v>
      </c>
      <c r="U6" s="6"/>
      <c r="V6" s="54">
        <f t="shared" si="3"/>
        <v>0</v>
      </c>
      <c r="W6" s="8"/>
      <c r="X6" s="41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4">
        <f t="shared" si="1"/>
        <v>0</v>
      </c>
      <c r="BG6" s="42"/>
      <c r="BH6" s="43"/>
      <c r="BI6" s="44"/>
      <c r="BJ6" s="8"/>
    </row>
    <row r="7" spans="1:62" ht="23.4" customHeight="1" thickBot="1">
      <c r="A7" s="48">
        <v>4</v>
      </c>
      <c r="B7" s="62" t="s">
        <v>65</v>
      </c>
      <c r="C7" s="81">
        <v>3000</v>
      </c>
      <c r="D7" s="81">
        <v>2000</v>
      </c>
      <c r="E7" s="6">
        <v>5000</v>
      </c>
      <c r="F7" s="7">
        <v>30</v>
      </c>
      <c r="G7" s="6">
        <v>5000</v>
      </c>
      <c r="H7" s="7">
        <v>0</v>
      </c>
      <c r="I7" s="6">
        <v>0</v>
      </c>
      <c r="J7" s="7">
        <v>31</v>
      </c>
      <c r="K7" s="6">
        <f>G7+I7</f>
        <v>5000</v>
      </c>
      <c r="L7" s="6">
        <v>0</v>
      </c>
      <c r="M7" s="6">
        <v>0</v>
      </c>
      <c r="N7" s="6">
        <v>0</v>
      </c>
      <c r="O7" s="6">
        <v>0</v>
      </c>
      <c r="P7" s="6">
        <f t="shared" si="2"/>
        <v>5000</v>
      </c>
      <c r="Q7" s="8"/>
      <c r="R7" s="6">
        <v>0</v>
      </c>
      <c r="S7" s="6">
        <v>0</v>
      </c>
      <c r="T7" s="6">
        <f t="shared" si="0"/>
        <v>0</v>
      </c>
      <c r="U7" s="6"/>
      <c r="V7" s="54">
        <f>T7-U7</f>
        <v>0</v>
      </c>
      <c r="W7" s="8"/>
      <c r="X7" s="41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4">
        <f t="shared" si="1"/>
        <v>0</v>
      </c>
      <c r="BG7" s="42"/>
      <c r="BH7" s="43"/>
      <c r="BI7" s="44"/>
      <c r="BJ7" s="8"/>
    </row>
    <row r="8" spans="1:62" ht="23.4" customHeight="1" thickBot="1">
      <c r="A8" s="48">
        <v>5</v>
      </c>
      <c r="B8" s="62" t="s">
        <v>66</v>
      </c>
      <c r="C8" s="81">
        <v>6000</v>
      </c>
      <c r="D8" s="81">
        <v>4000</v>
      </c>
      <c r="E8" s="6">
        <v>10000</v>
      </c>
      <c r="F8" s="7">
        <v>30</v>
      </c>
      <c r="G8" s="6">
        <v>10000</v>
      </c>
      <c r="H8" s="7">
        <v>0</v>
      </c>
      <c r="I8" s="6">
        <v>0</v>
      </c>
      <c r="J8" s="7">
        <v>31</v>
      </c>
      <c r="K8" s="6">
        <f>G8+I8</f>
        <v>10000</v>
      </c>
      <c r="L8" s="6">
        <v>0</v>
      </c>
      <c r="M8" s="6">
        <v>0</v>
      </c>
      <c r="N8" s="6">
        <v>0</v>
      </c>
      <c r="O8" s="6">
        <v>0</v>
      </c>
      <c r="P8" s="6">
        <f t="shared" si="2"/>
        <v>10000</v>
      </c>
      <c r="Q8" s="8"/>
      <c r="R8" s="6">
        <v>0</v>
      </c>
      <c r="S8" s="6">
        <v>0</v>
      </c>
      <c r="T8" s="6">
        <f t="shared" si="0"/>
        <v>0</v>
      </c>
      <c r="U8" s="6"/>
      <c r="V8" s="54">
        <f t="shared" si="3"/>
        <v>0</v>
      </c>
      <c r="W8" s="8"/>
      <c r="X8" s="41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4">
        <f t="shared" si="1"/>
        <v>0</v>
      </c>
      <c r="BG8" s="42"/>
      <c r="BH8" s="43"/>
      <c r="BI8" s="44"/>
      <c r="BJ8" s="8"/>
    </row>
    <row r="9" spans="1:62" ht="23.4" customHeight="1" thickBot="1">
      <c r="A9" s="48">
        <v>6</v>
      </c>
      <c r="B9" s="5" t="s">
        <v>67</v>
      </c>
      <c r="C9" s="7">
        <v>9300</v>
      </c>
      <c r="D9" s="7">
        <v>6200</v>
      </c>
      <c r="E9" s="10">
        <v>15500</v>
      </c>
      <c r="F9" s="7">
        <v>27</v>
      </c>
      <c r="G9" s="10"/>
      <c r="H9" s="7">
        <v>3</v>
      </c>
      <c r="I9" s="6">
        <v>0</v>
      </c>
      <c r="J9" s="7">
        <v>30</v>
      </c>
      <c r="K9" s="10">
        <v>15500</v>
      </c>
      <c r="L9" s="84">
        <v>1116</v>
      </c>
      <c r="M9" s="84">
        <v>105</v>
      </c>
      <c r="N9" s="84">
        <v>200</v>
      </c>
      <c r="O9" s="10">
        <v>5000</v>
      </c>
      <c r="P9" s="6">
        <f t="shared" si="2"/>
        <v>9079</v>
      </c>
      <c r="Q9" s="8"/>
      <c r="R9" s="6">
        <v>0</v>
      </c>
      <c r="S9" s="6">
        <v>45000</v>
      </c>
      <c r="T9" s="6">
        <f t="shared" si="0"/>
        <v>45000</v>
      </c>
      <c r="U9" s="6">
        <v>5000</v>
      </c>
      <c r="V9" s="54">
        <f t="shared" si="3"/>
        <v>40000</v>
      </c>
      <c r="W9" s="24"/>
      <c r="X9" s="49"/>
      <c r="Y9" s="39"/>
      <c r="Z9" s="39"/>
      <c r="AA9" s="39"/>
      <c r="AB9" s="39"/>
      <c r="AC9" s="39"/>
      <c r="AD9" s="45"/>
      <c r="AE9" s="39"/>
      <c r="AF9" s="39"/>
      <c r="AG9" s="39"/>
      <c r="AH9" s="39"/>
      <c r="AI9" s="39"/>
      <c r="AJ9" s="39"/>
      <c r="AK9" s="45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4">
        <f t="shared" si="1"/>
        <v>0</v>
      </c>
      <c r="BG9" s="46"/>
      <c r="BH9" s="43"/>
      <c r="BI9" s="44"/>
      <c r="BJ9" s="48"/>
    </row>
    <row r="10" spans="1:62" ht="23.4" customHeight="1" thickBot="1">
      <c r="A10" s="48">
        <v>7</v>
      </c>
      <c r="B10" s="69" t="s">
        <v>68</v>
      </c>
      <c r="C10" s="7">
        <v>6300</v>
      </c>
      <c r="D10" s="7">
        <v>4200</v>
      </c>
      <c r="E10" s="6">
        <v>10500</v>
      </c>
      <c r="F10" s="7">
        <v>30</v>
      </c>
      <c r="G10" s="6">
        <v>10500</v>
      </c>
      <c r="H10" s="7">
        <v>0</v>
      </c>
      <c r="I10" s="6">
        <v>0</v>
      </c>
      <c r="J10" s="7">
        <v>30</v>
      </c>
      <c r="K10" s="73">
        <v>10500</v>
      </c>
      <c r="L10" s="85">
        <v>756</v>
      </c>
      <c r="M10" s="85">
        <v>79</v>
      </c>
      <c r="N10" s="86">
        <v>0</v>
      </c>
      <c r="O10" s="6">
        <v>0</v>
      </c>
      <c r="P10" s="6">
        <f t="shared" si="2"/>
        <v>9665</v>
      </c>
      <c r="Q10" s="8"/>
      <c r="R10" s="6">
        <v>0</v>
      </c>
      <c r="S10" s="6">
        <v>0</v>
      </c>
      <c r="T10" s="6">
        <f t="shared" si="0"/>
        <v>0</v>
      </c>
      <c r="U10" s="6"/>
      <c r="V10" s="54">
        <f t="shared" si="3"/>
        <v>0</v>
      </c>
      <c r="W10" s="8"/>
      <c r="X10" s="41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4">
        <f t="shared" si="1"/>
        <v>0</v>
      </c>
      <c r="BG10" s="42"/>
      <c r="BH10" s="43"/>
      <c r="BI10" s="44"/>
      <c r="BJ10" s="8"/>
    </row>
    <row r="11" spans="1:62" ht="23.4" customHeight="1" thickBot="1">
      <c r="A11" s="48">
        <v>8</v>
      </c>
      <c r="B11" s="69" t="s">
        <v>69</v>
      </c>
      <c r="C11" s="7">
        <v>9600</v>
      </c>
      <c r="D11" s="7">
        <v>6400</v>
      </c>
      <c r="E11" s="6">
        <v>16000</v>
      </c>
      <c r="F11" s="7">
        <v>27</v>
      </c>
      <c r="G11" s="6"/>
      <c r="H11" s="7">
        <v>4</v>
      </c>
      <c r="I11" s="6">
        <v>0</v>
      </c>
      <c r="J11" s="7">
        <v>31</v>
      </c>
      <c r="K11" s="6">
        <v>16533</v>
      </c>
      <c r="L11" s="86">
        <v>1152</v>
      </c>
      <c r="M11" s="86">
        <v>125</v>
      </c>
      <c r="N11" s="86">
        <v>200</v>
      </c>
      <c r="O11" s="6">
        <v>0</v>
      </c>
      <c r="P11" s="6">
        <f t="shared" si="2"/>
        <v>15056</v>
      </c>
      <c r="Q11" s="8"/>
      <c r="R11" s="6">
        <v>0</v>
      </c>
      <c r="S11" s="6">
        <v>0</v>
      </c>
      <c r="T11" s="6">
        <f t="shared" si="0"/>
        <v>0</v>
      </c>
      <c r="U11" s="6"/>
      <c r="V11" s="54">
        <f t="shared" si="3"/>
        <v>0</v>
      </c>
      <c r="W11" s="8"/>
      <c r="X11" s="41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4">
        <f t="shared" si="1"/>
        <v>0</v>
      </c>
      <c r="BG11" s="42"/>
      <c r="BH11" s="43"/>
      <c r="BI11" s="44"/>
      <c r="BJ11" s="8"/>
    </row>
    <row r="12" spans="1:62" ht="23.4" customHeight="1" thickBot="1">
      <c r="A12" s="48">
        <v>9</v>
      </c>
      <c r="B12" s="5" t="s">
        <v>70</v>
      </c>
      <c r="C12" s="7">
        <v>8100</v>
      </c>
      <c r="D12" s="7">
        <v>5400</v>
      </c>
      <c r="E12" s="10">
        <v>13500</v>
      </c>
      <c r="F12" s="7">
        <v>30</v>
      </c>
      <c r="G12" s="10"/>
      <c r="H12" s="7">
        <v>3</v>
      </c>
      <c r="I12" s="6">
        <v>0</v>
      </c>
      <c r="J12" s="7">
        <v>33</v>
      </c>
      <c r="K12" s="6">
        <v>14850</v>
      </c>
      <c r="L12" s="84">
        <v>0</v>
      </c>
      <c r="M12" s="84">
        <v>95</v>
      </c>
      <c r="N12" s="84">
        <v>200</v>
      </c>
      <c r="O12" s="10">
        <v>10000</v>
      </c>
      <c r="P12" s="6">
        <f t="shared" si="2"/>
        <v>4555</v>
      </c>
      <c r="Q12" s="8"/>
      <c r="R12" s="6">
        <v>0</v>
      </c>
      <c r="S12" s="6">
        <v>50000</v>
      </c>
      <c r="T12" s="6">
        <f t="shared" si="0"/>
        <v>50000</v>
      </c>
      <c r="U12" s="6">
        <v>10000</v>
      </c>
      <c r="V12" s="54">
        <f t="shared" si="3"/>
        <v>40000</v>
      </c>
      <c r="W12" s="24"/>
      <c r="X12" s="41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4">
        <f t="shared" si="1"/>
        <v>0</v>
      </c>
      <c r="BG12" s="46"/>
      <c r="BH12" s="43"/>
      <c r="BI12" s="44"/>
      <c r="BJ12" s="48"/>
    </row>
    <row r="13" spans="1:62" ht="23.4" customHeight="1" thickBot="1">
      <c r="A13" s="48">
        <v>10</v>
      </c>
      <c r="B13" s="69" t="s">
        <v>71</v>
      </c>
      <c r="C13" s="7">
        <v>8700</v>
      </c>
      <c r="D13" s="7">
        <v>5800</v>
      </c>
      <c r="E13" s="6">
        <v>14500</v>
      </c>
      <c r="F13" s="7">
        <v>30</v>
      </c>
      <c r="G13" s="6">
        <v>14500</v>
      </c>
      <c r="H13" s="7">
        <v>5</v>
      </c>
      <c r="I13" s="6">
        <v>2416</v>
      </c>
      <c r="J13" s="7">
        <v>35</v>
      </c>
      <c r="K13" s="6">
        <f>G13+I13</f>
        <v>16916</v>
      </c>
      <c r="L13" s="6">
        <v>0</v>
      </c>
      <c r="M13" s="6">
        <v>0</v>
      </c>
      <c r="N13" s="6">
        <v>0</v>
      </c>
      <c r="O13" s="6">
        <v>3000</v>
      </c>
      <c r="P13" s="6">
        <f t="shared" si="2"/>
        <v>13916</v>
      </c>
      <c r="Q13" s="8"/>
      <c r="R13" s="6">
        <v>0</v>
      </c>
      <c r="S13" s="6">
        <v>10000</v>
      </c>
      <c r="T13" s="6">
        <f t="shared" si="0"/>
        <v>10000</v>
      </c>
      <c r="U13" s="6">
        <v>3000</v>
      </c>
      <c r="V13" s="54">
        <f t="shared" si="3"/>
        <v>7000</v>
      </c>
      <c r="W13" s="8"/>
      <c r="X13" s="41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4">
        <f t="shared" si="1"/>
        <v>0</v>
      </c>
      <c r="BG13" s="46"/>
      <c r="BH13" s="43"/>
      <c r="BI13" s="44"/>
      <c r="BJ13" s="48"/>
    </row>
    <row r="14" spans="1:62" ht="23.4" customHeight="1" thickBot="1">
      <c r="A14" s="48">
        <v>11</v>
      </c>
      <c r="B14" s="69" t="s">
        <v>73</v>
      </c>
      <c r="C14" s="82">
        <v>10800</v>
      </c>
      <c r="D14" s="69">
        <v>7200</v>
      </c>
      <c r="E14" s="6">
        <v>18000</v>
      </c>
      <c r="F14" s="7">
        <v>26</v>
      </c>
      <c r="G14" s="6">
        <v>15600</v>
      </c>
      <c r="H14" s="7">
        <v>6</v>
      </c>
      <c r="I14" s="6">
        <v>3600</v>
      </c>
      <c r="J14" s="7">
        <v>32</v>
      </c>
      <c r="K14" s="6">
        <f>G14+I14</f>
        <v>19200</v>
      </c>
      <c r="L14" s="6">
        <v>0</v>
      </c>
      <c r="M14" s="6">
        <v>0</v>
      </c>
      <c r="N14" s="6">
        <v>0</v>
      </c>
      <c r="O14" s="6">
        <v>7850</v>
      </c>
      <c r="P14" s="6">
        <f t="shared" si="2"/>
        <v>11350</v>
      </c>
      <c r="Q14" s="8"/>
      <c r="R14" s="6">
        <v>0</v>
      </c>
      <c r="S14" s="6">
        <v>21000</v>
      </c>
      <c r="T14" s="6">
        <f t="shared" si="0"/>
        <v>21000</v>
      </c>
      <c r="U14" s="6">
        <v>6000</v>
      </c>
      <c r="V14" s="54">
        <f t="shared" si="3"/>
        <v>15000</v>
      </c>
      <c r="W14" s="8"/>
      <c r="X14" s="41"/>
      <c r="Y14" s="39"/>
      <c r="Z14" s="39"/>
      <c r="AA14" s="39"/>
      <c r="AB14" s="45"/>
      <c r="AC14" s="45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4">
        <f>X14+Y14+Z14+AA14+AB14+AC14+AD14+AE14+AF14+AG14+AH14+AI14+AJ14+AK14+AL14+AM14+AN14+AO14+AP14+AQ14+AR14+AS14+AT14+AU14+AV14++AW14+AX14+AY14+AZ14+BA14+BB14+BC14+BD14+BE14</f>
        <v>0</v>
      </c>
      <c r="BG14" s="42"/>
      <c r="BH14" s="43"/>
      <c r="BI14" s="44"/>
      <c r="BJ14" s="48"/>
    </row>
    <row r="15" spans="1:62">
      <c r="C15" s="83">
        <v>109800</v>
      </c>
      <c r="D15" s="83">
        <v>73200</v>
      </c>
      <c r="E15" s="11">
        <v>183000</v>
      </c>
      <c r="F15" s="12"/>
      <c r="G15" s="11"/>
      <c r="H15" s="12"/>
      <c r="I15" s="12"/>
      <c r="J15" s="12"/>
      <c r="K15" s="6">
        <f>G15+I15</f>
        <v>0</v>
      </c>
      <c r="L15" s="11">
        <v>3024</v>
      </c>
      <c r="M15" s="11">
        <v>404</v>
      </c>
      <c r="N15" s="11">
        <v>600</v>
      </c>
      <c r="O15" s="11">
        <v>25850</v>
      </c>
      <c r="P15" s="13">
        <v>158621</v>
      </c>
      <c r="Q15" s="8"/>
      <c r="R15" s="13"/>
      <c r="S15" s="51"/>
      <c r="T15" s="51"/>
      <c r="U15" s="51"/>
      <c r="V15" s="51"/>
      <c r="BI15" s="14"/>
    </row>
  </sheetData>
  <pageMargins left="0.11811023622047245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C407-5A44-421C-9C3F-7FB0946123D1}">
  <dimension ref="A2:BJ19"/>
  <sheetViews>
    <sheetView tabSelected="1" workbookViewId="0">
      <pane xSplit="2" topLeftCell="C1" activePane="topRight" state="frozen"/>
      <selection activeCell="A2" sqref="A2"/>
      <selection pane="topRight" activeCell="Q18" sqref="Q18"/>
    </sheetView>
  </sheetViews>
  <sheetFormatPr defaultRowHeight="14.4"/>
  <cols>
    <col min="1" max="1" width="4" customWidth="1"/>
    <col min="2" max="2" width="19.6640625" customWidth="1"/>
    <col min="4" max="4" width="6.77734375" customWidth="1"/>
    <col min="5" max="5" width="11.44140625" customWidth="1"/>
    <col min="6" max="6" width="3.88671875" customWidth="1"/>
    <col min="7" max="7" width="10.6640625" bestFit="1" customWidth="1"/>
    <col min="8" max="8" width="3.5546875" customWidth="1"/>
    <col min="10" max="10" width="5.77734375" customWidth="1"/>
    <col min="11" max="11" width="10.5546875" customWidth="1"/>
    <col min="13" max="13" width="8.109375" customWidth="1"/>
    <col min="14" max="14" width="7.33203125" customWidth="1"/>
    <col min="15" max="15" width="9.109375" bestFit="1" customWidth="1"/>
    <col min="16" max="16" width="10.6640625" customWidth="1"/>
    <col min="17" max="17" width="8" customWidth="1"/>
  </cols>
  <sheetData>
    <row r="2" spans="1:62" ht="47.4" customHeight="1" thickBot="1">
      <c r="B2" s="52" t="s">
        <v>146</v>
      </c>
      <c r="C2" s="52"/>
      <c r="D2" s="52"/>
      <c r="Q2" s="55" t="s">
        <v>84</v>
      </c>
      <c r="W2" s="26" t="s">
        <v>106</v>
      </c>
      <c r="BI2" s="14"/>
    </row>
    <row r="3" spans="1:62" ht="23.4" customHeight="1" thickBot="1">
      <c r="A3" s="77" t="s">
        <v>45</v>
      </c>
      <c r="B3" s="78" t="s">
        <v>46</v>
      </c>
      <c r="C3" s="79" t="s">
        <v>144</v>
      </c>
      <c r="D3" s="79" t="s">
        <v>145</v>
      </c>
      <c r="E3" s="30" t="s">
        <v>48</v>
      </c>
      <c r="F3" s="29" t="s">
        <v>13</v>
      </c>
      <c r="G3" s="30" t="s">
        <v>107</v>
      </c>
      <c r="H3" s="29" t="s">
        <v>14</v>
      </c>
      <c r="I3" s="29" t="s">
        <v>108</v>
      </c>
      <c r="J3" s="29" t="s">
        <v>79</v>
      </c>
      <c r="K3" s="30" t="s">
        <v>48</v>
      </c>
      <c r="L3" s="30" t="s">
        <v>109</v>
      </c>
      <c r="M3" s="30" t="s">
        <v>50</v>
      </c>
      <c r="N3" s="30" t="s">
        <v>47</v>
      </c>
      <c r="O3" s="30" t="s">
        <v>15</v>
      </c>
      <c r="P3" s="29" t="s">
        <v>51</v>
      </c>
      <c r="Q3" s="29" t="s">
        <v>17</v>
      </c>
      <c r="R3" s="29" t="s">
        <v>83</v>
      </c>
      <c r="S3" s="29" t="s">
        <v>77</v>
      </c>
      <c r="T3" s="29" t="s">
        <v>80</v>
      </c>
      <c r="U3" s="31" t="s">
        <v>82</v>
      </c>
      <c r="V3" s="53" t="s">
        <v>81</v>
      </c>
      <c r="W3" s="32" t="s">
        <v>55</v>
      </c>
      <c r="X3" s="33" t="s">
        <v>55</v>
      </c>
      <c r="Y3" s="33">
        <v>8</v>
      </c>
      <c r="Z3" s="33">
        <v>9</v>
      </c>
      <c r="AA3" s="33">
        <v>10</v>
      </c>
      <c r="AB3" s="33">
        <v>11</v>
      </c>
      <c r="AC3" s="33">
        <v>12</v>
      </c>
      <c r="AD3" s="33">
        <v>13</v>
      </c>
      <c r="AE3" s="33">
        <v>14</v>
      </c>
      <c r="AF3" s="33">
        <v>15</v>
      </c>
      <c r="AG3" s="33">
        <v>16</v>
      </c>
      <c r="AH3" s="33">
        <v>17</v>
      </c>
      <c r="AI3" s="33">
        <v>18</v>
      </c>
      <c r="AJ3" s="33">
        <v>19</v>
      </c>
      <c r="AK3" s="33">
        <v>20</v>
      </c>
      <c r="AL3" s="33">
        <v>21</v>
      </c>
      <c r="AM3" s="33">
        <v>22</v>
      </c>
      <c r="AN3" s="33">
        <v>23</v>
      </c>
      <c r="AO3" s="33">
        <v>24</v>
      </c>
      <c r="AP3" s="33">
        <v>25</v>
      </c>
      <c r="AQ3" s="33">
        <v>26</v>
      </c>
      <c r="AR3" s="33">
        <v>27</v>
      </c>
      <c r="AS3" s="33">
        <v>28</v>
      </c>
      <c r="AT3" s="33">
        <v>29</v>
      </c>
      <c r="AU3" s="33">
        <v>30</v>
      </c>
      <c r="AV3" s="33">
        <v>31</v>
      </c>
      <c r="AW3" s="33">
        <v>1</v>
      </c>
      <c r="AX3" s="33">
        <v>2</v>
      </c>
      <c r="AY3" s="33">
        <v>3</v>
      </c>
      <c r="AZ3" s="33">
        <v>4</v>
      </c>
      <c r="BA3" s="33">
        <v>5</v>
      </c>
      <c r="BB3" s="33">
        <v>6</v>
      </c>
      <c r="BC3" s="33">
        <v>7</v>
      </c>
      <c r="BD3" s="33" t="s">
        <v>78</v>
      </c>
      <c r="BE3" s="33" t="s">
        <v>56</v>
      </c>
      <c r="BF3" s="34" t="s">
        <v>57</v>
      </c>
      <c r="BG3" s="35" t="s">
        <v>58</v>
      </c>
      <c r="BH3" s="36" t="s">
        <v>59</v>
      </c>
      <c r="BI3" s="37" t="s">
        <v>60</v>
      </c>
      <c r="BJ3" s="38"/>
    </row>
    <row r="4" spans="1:62" ht="23.4" customHeight="1" thickBot="1">
      <c r="A4" s="48">
        <v>1</v>
      </c>
      <c r="B4" s="62" t="s">
        <v>61</v>
      </c>
      <c r="C4" s="80">
        <v>21000</v>
      </c>
      <c r="D4" s="80">
        <v>14000</v>
      </c>
      <c r="E4" s="6">
        <v>35000</v>
      </c>
      <c r="F4" s="7">
        <v>31</v>
      </c>
      <c r="G4" s="6">
        <v>35000</v>
      </c>
      <c r="H4" s="7">
        <v>0</v>
      </c>
      <c r="I4" s="6">
        <v>0</v>
      </c>
      <c r="J4" s="7">
        <v>31</v>
      </c>
      <c r="K4" s="6">
        <f>G4+I4</f>
        <v>35000</v>
      </c>
      <c r="L4" s="6">
        <v>0</v>
      </c>
      <c r="M4" s="6">
        <v>0</v>
      </c>
      <c r="N4" s="6">
        <v>0</v>
      </c>
      <c r="O4" s="6">
        <v>0</v>
      </c>
      <c r="P4" s="6">
        <f>K4-L4-M4-N4-O4</f>
        <v>35000</v>
      </c>
      <c r="Q4" s="8"/>
      <c r="R4" s="6">
        <v>0</v>
      </c>
      <c r="S4" s="6">
        <v>0</v>
      </c>
      <c r="T4" s="6">
        <f t="shared" ref="T4:T13" si="0">R4+S4</f>
        <v>0</v>
      </c>
      <c r="U4" s="6"/>
      <c r="V4" s="54">
        <f>T4-U4</f>
        <v>0</v>
      </c>
      <c r="W4" s="8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4">
        <f t="shared" ref="BF4:BF13" si="1">X4+Y4+Z4+AA4+AB4+AC4+AD4+AE4+AF4+AG4+AH4+AI4+AJ4+AK4+AL4+AM4+AN4+AO4+AP4+AQ4+AR4+AS4+AT4+AU4+AV4++AW4+AX4+AY4+AZ4+BA4+BB4+BC4+BD4+BE4</f>
        <v>0</v>
      </c>
      <c r="BG4" s="42"/>
      <c r="BH4" s="43"/>
      <c r="BI4" s="44"/>
      <c r="BJ4" s="8"/>
    </row>
    <row r="5" spans="1:62" ht="23.4" customHeight="1" thickBot="1">
      <c r="A5" s="48">
        <v>2</v>
      </c>
      <c r="B5" s="62" t="s">
        <v>63</v>
      </c>
      <c r="C5" s="80">
        <v>24000</v>
      </c>
      <c r="D5" s="80">
        <v>16000</v>
      </c>
      <c r="E5" s="6">
        <v>40000</v>
      </c>
      <c r="F5" s="7">
        <v>31</v>
      </c>
      <c r="G5" s="6">
        <v>40000</v>
      </c>
      <c r="H5" s="7">
        <v>0</v>
      </c>
      <c r="I5" s="6">
        <v>0</v>
      </c>
      <c r="J5" s="7">
        <v>31</v>
      </c>
      <c r="K5" s="6">
        <f t="shared" ref="K5:K15" si="2">G5+I5</f>
        <v>40000</v>
      </c>
      <c r="L5" s="6">
        <v>0</v>
      </c>
      <c r="M5" s="6">
        <v>0</v>
      </c>
      <c r="N5" s="6">
        <v>0</v>
      </c>
      <c r="O5" s="6">
        <v>0</v>
      </c>
      <c r="P5" s="6">
        <f t="shared" ref="P5:P16" si="3">K5-L5-M5-N5-O5</f>
        <v>40000</v>
      </c>
      <c r="Q5" s="8"/>
      <c r="R5" s="6">
        <v>0</v>
      </c>
      <c r="S5" s="6">
        <v>0</v>
      </c>
      <c r="T5" s="6">
        <f t="shared" si="0"/>
        <v>0</v>
      </c>
      <c r="U5" s="6"/>
      <c r="V5" s="54">
        <f t="shared" ref="V5:V15" si="4">T5-U5</f>
        <v>0</v>
      </c>
      <c r="W5" s="8"/>
      <c r="X5" s="41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4">
        <f t="shared" si="1"/>
        <v>0</v>
      </c>
      <c r="BG5" s="42"/>
      <c r="BH5" s="43"/>
      <c r="BI5" s="44"/>
      <c r="BJ5" s="8"/>
    </row>
    <row r="6" spans="1:62" ht="23.4" customHeight="1" thickBot="1">
      <c r="A6" s="48">
        <v>3</v>
      </c>
      <c r="B6" s="62" t="s">
        <v>64</v>
      </c>
      <c r="C6" s="81">
        <v>3000</v>
      </c>
      <c r="D6" s="81">
        <v>2000</v>
      </c>
      <c r="E6" s="6">
        <v>5000</v>
      </c>
      <c r="F6" s="7">
        <v>31</v>
      </c>
      <c r="G6" s="6">
        <v>5000</v>
      </c>
      <c r="H6" s="7">
        <v>0</v>
      </c>
      <c r="I6" s="6">
        <v>0</v>
      </c>
      <c r="J6" s="7">
        <v>31</v>
      </c>
      <c r="K6" s="6">
        <f t="shared" si="2"/>
        <v>5000</v>
      </c>
      <c r="L6" s="6">
        <v>0</v>
      </c>
      <c r="M6" s="6">
        <v>0</v>
      </c>
      <c r="N6" s="6">
        <v>0</v>
      </c>
      <c r="O6" s="6">
        <v>0</v>
      </c>
      <c r="P6" s="6">
        <v>5000</v>
      </c>
      <c r="Q6" s="8"/>
      <c r="R6" s="6">
        <v>0</v>
      </c>
      <c r="S6" s="6">
        <v>0</v>
      </c>
      <c r="T6" s="6">
        <f t="shared" si="0"/>
        <v>0</v>
      </c>
      <c r="U6" s="6"/>
      <c r="V6" s="54">
        <f t="shared" si="4"/>
        <v>0</v>
      </c>
      <c r="W6" s="8"/>
      <c r="X6" s="41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4">
        <f t="shared" si="1"/>
        <v>0</v>
      </c>
      <c r="BG6" s="42"/>
      <c r="BH6" s="43"/>
      <c r="BI6" s="44"/>
      <c r="BJ6" s="8"/>
    </row>
    <row r="7" spans="1:62" ht="23.4" customHeight="1" thickBot="1">
      <c r="A7" s="48">
        <v>4</v>
      </c>
      <c r="B7" s="62" t="s">
        <v>65</v>
      </c>
      <c r="C7" s="81">
        <v>3000</v>
      </c>
      <c r="D7" s="81">
        <v>2000</v>
      </c>
      <c r="E7" s="6">
        <v>5000</v>
      </c>
      <c r="F7" s="7">
        <v>31</v>
      </c>
      <c r="G7" s="6">
        <v>5000</v>
      </c>
      <c r="H7" s="7">
        <v>0</v>
      </c>
      <c r="I7" s="6">
        <v>0</v>
      </c>
      <c r="J7" s="7">
        <v>31</v>
      </c>
      <c r="K7" s="6">
        <f t="shared" si="2"/>
        <v>5000</v>
      </c>
      <c r="L7" s="6">
        <v>0</v>
      </c>
      <c r="M7" s="6">
        <v>0</v>
      </c>
      <c r="N7" s="6">
        <v>0</v>
      </c>
      <c r="O7" s="6">
        <v>0</v>
      </c>
      <c r="P7" s="6">
        <f t="shared" si="3"/>
        <v>5000</v>
      </c>
      <c r="Q7" s="8"/>
      <c r="R7" s="6">
        <v>0</v>
      </c>
      <c r="S7" s="6">
        <v>0</v>
      </c>
      <c r="T7" s="6">
        <f t="shared" si="0"/>
        <v>0</v>
      </c>
      <c r="U7" s="6"/>
      <c r="V7" s="54">
        <f>T7-U7</f>
        <v>0</v>
      </c>
      <c r="W7" s="8"/>
      <c r="X7" s="41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4">
        <f t="shared" si="1"/>
        <v>0</v>
      </c>
      <c r="BG7" s="42"/>
      <c r="BH7" s="43"/>
      <c r="BI7" s="44"/>
      <c r="BJ7" s="8"/>
    </row>
    <row r="8" spans="1:62" ht="23.4" customHeight="1" thickBot="1">
      <c r="A8" s="48">
        <v>5</v>
      </c>
      <c r="B8" s="62" t="s">
        <v>66</v>
      </c>
      <c r="C8" s="81">
        <v>6000</v>
      </c>
      <c r="D8" s="81">
        <v>4000</v>
      </c>
      <c r="E8" s="6">
        <v>10000</v>
      </c>
      <c r="F8" s="7">
        <v>31</v>
      </c>
      <c r="G8" s="6">
        <v>10000</v>
      </c>
      <c r="H8" s="7">
        <v>0</v>
      </c>
      <c r="I8" s="6">
        <v>0</v>
      </c>
      <c r="J8" s="7">
        <v>31</v>
      </c>
      <c r="K8" s="6">
        <f t="shared" si="2"/>
        <v>10000</v>
      </c>
      <c r="L8" s="6">
        <v>0</v>
      </c>
      <c r="M8" s="6">
        <v>0</v>
      </c>
      <c r="N8" s="6">
        <v>0</v>
      </c>
      <c r="O8" s="6">
        <v>0</v>
      </c>
      <c r="P8" s="6">
        <f t="shared" si="3"/>
        <v>10000</v>
      </c>
      <c r="Q8" s="8"/>
      <c r="R8" s="6">
        <v>0</v>
      </c>
      <c r="S8" s="6">
        <v>0</v>
      </c>
      <c r="T8" s="6">
        <f t="shared" si="0"/>
        <v>0</v>
      </c>
      <c r="U8" s="6"/>
      <c r="V8" s="54">
        <f t="shared" si="4"/>
        <v>0</v>
      </c>
      <c r="W8" s="8"/>
      <c r="X8" s="41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4">
        <f t="shared" si="1"/>
        <v>0</v>
      </c>
      <c r="BG8" s="42"/>
      <c r="BH8" s="43"/>
      <c r="BI8" s="44"/>
      <c r="BJ8" s="8"/>
    </row>
    <row r="9" spans="1:62" ht="23.4" customHeight="1" thickBot="1">
      <c r="A9" s="48">
        <v>6</v>
      </c>
      <c r="B9" s="5" t="s">
        <v>67</v>
      </c>
      <c r="C9" s="7">
        <v>9300</v>
      </c>
      <c r="D9" s="7">
        <v>6200</v>
      </c>
      <c r="E9" s="10">
        <v>15500</v>
      </c>
      <c r="F9" s="7">
        <v>29</v>
      </c>
      <c r="G9" s="10">
        <v>14500</v>
      </c>
      <c r="H9" s="7">
        <v>3</v>
      </c>
      <c r="I9" s="6">
        <v>1500</v>
      </c>
      <c r="J9" s="7">
        <v>32</v>
      </c>
      <c r="K9" s="6">
        <f t="shared" si="2"/>
        <v>16000</v>
      </c>
      <c r="L9" s="88">
        <v>1152</v>
      </c>
      <c r="M9" s="88">
        <v>109</v>
      </c>
      <c r="N9" s="88">
        <v>200</v>
      </c>
      <c r="O9" s="10">
        <v>5500</v>
      </c>
      <c r="P9" s="6">
        <f t="shared" si="3"/>
        <v>9039</v>
      </c>
      <c r="Q9" s="8"/>
      <c r="R9" s="6">
        <v>0</v>
      </c>
      <c r="S9" s="6">
        <v>40000</v>
      </c>
      <c r="T9" s="6">
        <f t="shared" si="0"/>
        <v>40000</v>
      </c>
      <c r="U9" s="6">
        <v>5000</v>
      </c>
      <c r="V9" s="54">
        <f t="shared" si="4"/>
        <v>35000</v>
      </c>
      <c r="W9" s="24"/>
      <c r="X9" s="49"/>
      <c r="Y9" s="39"/>
      <c r="Z9" s="39"/>
      <c r="AA9" s="39"/>
      <c r="AB9" s="39"/>
      <c r="AC9" s="39"/>
      <c r="AD9" s="45"/>
      <c r="AE9" s="39"/>
      <c r="AF9" s="39"/>
      <c r="AG9" s="39"/>
      <c r="AH9" s="39"/>
      <c r="AI9" s="39"/>
      <c r="AJ9" s="39"/>
      <c r="AK9" s="45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>
        <v>500</v>
      </c>
      <c r="BC9" s="39"/>
      <c r="BD9" s="39"/>
      <c r="BE9" s="39"/>
      <c r="BF9" s="34">
        <f t="shared" si="1"/>
        <v>500</v>
      </c>
      <c r="BG9" s="46"/>
      <c r="BH9" s="43"/>
      <c r="BI9" s="44"/>
      <c r="BJ9" s="48"/>
    </row>
    <row r="10" spans="1:62" ht="23.4" customHeight="1" thickBot="1">
      <c r="A10" s="48">
        <v>7</v>
      </c>
      <c r="B10" s="69" t="s">
        <v>68</v>
      </c>
      <c r="C10" s="7">
        <v>6300</v>
      </c>
      <c r="D10" s="7">
        <v>4200</v>
      </c>
      <c r="E10" s="6">
        <v>10500</v>
      </c>
      <c r="F10" s="7">
        <v>31</v>
      </c>
      <c r="G10" s="6">
        <v>10500</v>
      </c>
      <c r="H10" s="7">
        <v>3</v>
      </c>
      <c r="I10" s="6">
        <v>1016</v>
      </c>
      <c r="J10" s="7">
        <v>34</v>
      </c>
      <c r="K10" s="6">
        <f t="shared" si="2"/>
        <v>11516</v>
      </c>
      <c r="L10" s="89">
        <v>829</v>
      </c>
      <c r="M10" s="89">
        <v>79</v>
      </c>
      <c r="N10" s="90">
        <v>0</v>
      </c>
      <c r="O10" s="6">
        <v>0</v>
      </c>
      <c r="P10" s="6">
        <f t="shared" si="3"/>
        <v>10608</v>
      </c>
      <c r="Q10" s="8"/>
      <c r="R10" s="6">
        <v>0</v>
      </c>
      <c r="S10" s="6">
        <v>0</v>
      </c>
      <c r="T10" s="6">
        <f t="shared" si="0"/>
        <v>0</v>
      </c>
      <c r="U10" s="6"/>
      <c r="V10" s="54">
        <f t="shared" si="4"/>
        <v>0</v>
      </c>
      <c r="W10" s="8"/>
      <c r="X10" s="41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4">
        <f t="shared" si="1"/>
        <v>0</v>
      </c>
      <c r="BG10" s="42"/>
      <c r="BH10" s="43"/>
      <c r="BI10" s="44"/>
      <c r="BJ10" s="8"/>
    </row>
    <row r="11" spans="1:62" ht="23.4" customHeight="1" thickBot="1">
      <c r="A11" s="48">
        <v>8</v>
      </c>
      <c r="B11" s="69" t="s">
        <v>69</v>
      </c>
      <c r="C11" s="7">
        <v>9600</v>
      </c>
      <c r="D11" s="7">
        <v>6400</v>
      </c>
      <c r="E11" s="6">
        <v>16000</v>
      </c>
      <c r="F11" s="7">
        <v>28</v>
      </c>
      <c r="G11" s="6">
        <v>13420</v>
      </c>
      <c r="H11" s="7">
        <v>5</v>
      </c>
      <c r="I11" s="6">
        <v>2580</v>
      </c>
      <c r="J11" s="7">
        <v>33</v>
      </c>
      <c r="K11" s="6">
        <f t="shared" si="2"/>
        <v>16000</v>
      </c>
      <c r="L11" s="90">
        <v>1152</v>
      </c>
      <c r="M11" s="90">
        <v>101</v>
      </c>
      <c r="N11" s="90">
        <v>200</v>
      </c>
      <c r="O11" s="6">
        <v>0</v>
      </c>
      <c r="P11" s="6">
        <f t="shared" si="3"/>
        <v>14547</v>
      </c>
      <c r="Q11" s="8"/>
      <c r="R11" s="6">
        <v>0</v>
      </c>
      <c r="S11" s="6">
        <v>0</v>
      </c>
      <c r="T11" s="6">
        <f t="shared" si="0"/>
        <v>0</v>
      </c>
      <c r="U11" s="6"/>
      <c r="V11" s="54">
        <f t="shared" si="4"/>
        <v>0</v>
      </c>
      <c r="W11" s="8"/>
      <c r="X11" s="41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4">
        <f t="shared" si="1"/>
        <v>0</v>
      </c>
      <c r="BG11" s="42"/>
      <c r="BH11" s="43"/>
      <c r="BI11" s="44"/>
      <c r="BJ11" s="8"/>
    </row>
    <row r="12" spans="1:62" ht="23.4" customHeight="1" thickBot="1">
      <c r="A12" s="48">
        <v>9</v>
      </c>
      <c r="B12" s="5" t="s">
        <v>70</v>
      </c>
      <c r="C12" s="7">
        <v>8100</v>
      </c>
      <c r="D12" s="7">
        <v>5400</v>
      </c>
      <c r="E12" s="10">
        <v>13500</v>
      </c>
      <c r="F12" s="7">
        <v>26</v>
      </c>
      <c r="G12" s="10">
        <v>11323</v>
      </c>
      <c r="H12" s="7">
        <v>5</v>
      </c>
      <c r="I12" s="6">
        <v>2177</v>
      </c>
      <c r="J12" s="7">
        <v>31</v>
      </c>
      <c r="K12" s="6">
        <f t="shared" si="2"/>
        <v>13500</v>
      </c>
      <c r="L12" s="88">
        <v>0</v>
      </c>
      <c r="M12" s="88">
        <v>85</v>
      </c>
      <c r="N12" s="88">
        <v>200</v>
      </c>
      <c r="O12" s="10">
        <v>10000</v>
      </c>
      <c r="P12" s="6">
        <f t="shared" si="3"/>
        <v>3215</v>
      </c>
      <c r="Q12" s="8"/>
      <c r="R12" s="6">
        <v>0</v>
      </c>
      <c r="S12" s="6">
        <v>40000</v>
      </c>
      <c r="T12" s="6">
        <f t="shared" si="0"/>
        <v>40000</v>
      </c>
      <c r="U12" s="6">
        <v>10000</v>
      </c>
      <c r="V12" s="54">
        <f t="shared" si="4"/>
        <v>30000</v>
      </c>
      <c r="W12" s="24"/>
      <c r="X12" s="41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4">
        <f t="shared" si="1"/>
        <v>0</v>
      </c>
      <c r="BG12" s="46"/>
      <c r="BH12" s="43"/>
      <c r="BI12" s="44"/>
      <c r="BJ12" s="48"/>
    </row>
    <row r="13" spans="1:62" ht="23.4" customHeight="1" thickBot="1">
      <c r="A13" s="48">
        <v>10</v>
      </c>
      <c r="B13" s="69" t="s">
        <v>71</v>
      </c>
      <c r="C13" s="7">
        <v>8700</v>
      </c>
      <c r="D13" s="7">
        <v>5800</v>
      </c>
      <c r="E13" s="6">
        <v>14500</v>
      </c>
      <c r="F13" s="7">
        <v>28</v>
      </c>
      <c r="G13" s="6">
        <v>13096</v>
      </c>
      <c r="H13" s="7">
        <v>4</v>
      </c>
      <c r="I13" s="6">
        <v>1403</v>
      </c>
      <c r="J13" s="7">
        <v>32</v>
      </c>
      <c r="K13" s="6">
        <f t="shared" si="2"/>
        <v>14499</v>
      </c>
      <c r="L13" s="6">
        <v>0</v>
      </c>
      <c r="M13" s="6">
        <v>0</v>
      </c>
      <c r="N13" s="6">
        <v>0</v>
      </c>
      <c r="O13" s="6">
        <v>3300</v>
      </c>
      <c r="P13" s="6">
        <f t="shared" si="3"/>
        <v>11199</v>
      </c>
      <c r="Q13" s="8"/>
      <c r="R13" s="6">
        <v>0</v>
      </c>
      <c r="S13" s="6">
        <v>7000</v>
      </c>
      <c r="T13" s="6">
        <f t="shared" si="0"/>
        <v>7000</v>
      </c>
      <c r="U13" s="6">
        <v>3000</v>
      </c>
      <c r="V13" s="54">
        <f t="shared" si="4"/>
        <v>4000</v>
      </c>
      <c r="W13" s="8"/>
      <c r="X13" s="41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>
        <v>300</v>
      </c>
      <c r="BE13" s="39"/>
      <c r="BF13" s="34">
        <f t="shared" si="1"/>
        <v>300</v>
      </c>
      <c r="BG13" s="46"/>
      <c r="BH13" s="43"/>
      <c r="BI13" s="44"/>
      <c r="BJ13" s="48"/>
    </row>
    <row r="14" spans="1:62" ht="23.4" customHeight="1" thickBot="1">
      <c r="A14" s="48">
        <v>11</v>
      </c>
      <c r="B14" s="87" t="s">
        <v>73</v>
      </c>
      <c r="C14" s="82">
        <v>10800</v>
      </c>
      <c r="D14" s="69">
        <v>7200</v>
      </c>
      <c r="E14" s="6">
        <v>18000</v>
      </c>
      <c r="F14" s="7">
        <v>28</v>
      </c>
      <c r="G14" s="6">
        <v>16258</v>
      </c>
      <c r="H14" s="7">
        <v>3</v>
      </c>
      <c r="I14" s="6">
        <v>1742</v>
      </c>
      <c r="J14" s="7">
        <v>31</v>
      </c>
      <c r="K14" s="6">
        <f t="shared" si="2"/>
        <v>18000</v>
      </c>
      <c r="L14" s="6">
        <v>0</v>
      </c>
      <c r="M14" s="6">
        <v>0</v>
      </c>
      <c r="N14" s="6">
        <v>0</v>
      </c>
      <c r="O14" s="6">
        <v>16500</v>
      </c>
      <c r="P14" s="6">
        <f t="shared" si="3"/>
        <v>1500</v>
      </c>
      <c r="Q14" s="8"/>
      <c r="R14" s="6">
        <v>0</v>
      </c>
      <c r="S14" s="6">
        <v>15000</v>
      </c>
      <c r="T14" s="6">
        <f t="shared" ref="T14:T15" si="5">R14+S14</f>
        <v>15000</v>
      </c>
      <c r="U14" s="6">
        <v>5000</v>
      </c>
      <c r="V14" s="54">
        <f t="shared" ref="V14" si="6">T14-U14</f>
        <v>10000</v>
      </c>
      <c r="W14" s="8"/>
      <c r="X14" s="41"/>
      <c r="Y14" s="39"/>
      <c r="Z14" s="39"/>
      <c r="AA14" s="39"/>
      <c r="AB14" s="45">
        <v>2000</v>
      </c>
      <c r="AC14" s="45"/>
      <c r="AD14" s="39"/>
      <c r="AE14" s="39"/>
      <c r="AF14" s="39"/>
      <c r="AG14" s="39"/>
      <c r="AH14" s="39">
        <v>1000</v>
      </c>
      <c r="AI14" s="39">
        <v>2000</v>
      </c>
      <c r="AJ14" s="39"/>
      <c r="AK14" s="39"/>
      <c r="AL14" s="39"/>
      <c r="AM14" s="39"/>
      <c r="AN14" s="39">
        <v>2000</v>
      </c>
      <c r="AO14" s="39"/>
      <c r="AP14" s="39"/>
      <c r="AQ14" s="39"/>
      <c r="AR14" s="39"/>
      <c r="AS14" s="39"/>
      <c r="AT14" s="39"/>
      <c r="AU14" s="39"/>
      <c r="AV14" s="39">
        <v>500</v>
      </c>
      <c r="AW14" s="39"/>
      <c r="AX14" s="39">
        <v>2500</v>
      </c>
      <c r="AY14" s="39"/>
      <c r="AZ14" s="39"/>
      <c r="BA14" s="39">
        <v>500</v>
      </c>
      <c r="BB14" s="39"/>
      <c r="BC14" s="39"/>
      <c r="BD14" s="39">
        <v>450</v>
      </c>
      <c r="BE14" s="39">
        <v>550</v>
      </c>
      <c r="BF14" s="34">
        <f>X14+Y14+Z14+AA14+AB14+AC14+AD14+AE14+AF14+AG14+AH14+AI14+AJ14+AK14+AL14+AM14+AN14+AO14+AP14+AQ14+AR14+AS14+AT14+AU14+AV14++AW14+AX14+AY14+AZ14+BA14+BB14+BC14+BD14+BE14</f>
        <v>11500</v>
      </c>
      <c r="BG14" s="46"/>
      <c r="BH14" s="43"/>
      <c r="BI14" s="44"/>
      <c r="BJ14" s="48"/>
    </row>
    <row r="15" spans="1:62" ht="23.4" customHeight="1" thickBot="1">
      <c r="A15" s="48">
        <v>12</v>
      </c>
      <c r="B15" s="87" t="s">
        <v>147</v>
      </c>
      <c r="C15" s="82">
        <v>6000</v>
      </c>
      <c r="D15" s="82">
        <v>4000</v>
      </c>
      <c r="E15" s="6">
        <v>10000</v>
      </c>
      <c r="F15" s="7">
        <v>20</v>
      </c>
      <c r="G15" s="6">
        <v>6451</v>
      </c>
      <c r="H15" s="7">
        <v>0</v>
      </c>
      <c r="I15" s="6">
        <v>0</v>
      </c>
      <c r="J15" s="7">
        <v>20</v>
      </c>
      <c r="K15" s="6">
        <f t="shared" si="2"/>
        <v>6451</v>
      </c>
      <c r="L15" s="6">
        <v>0</v>
      </c>
      <c r="M15" s="6">
        <v>0</v>
      </c>
      <c r="N15" s="6">
        <v>0</v>
      </c>
      <c r="O15" s="6">
        <v>0</v>
      </c>
      <c r="P15" s="6">
        <f t="shared" si="3"/>
        <v>6451</v>
      </c>
      <c r="Q15" s="8"/>
      <c r="R15" s="6">
        <v>0</v>
      </c>
      <c r="S15" s="6">
        <v>0</v>
      </c>
      <c r="T15" s="6">
        <f t="shared" si="5"/>
        <v>0</v>
      </c>
      <c r="U15" s="6"/>
      <c r="V15" s="54">
        <f t="shared" si="4"/>
        <v>0</v>
      </c>
      <c r="W15" s="8"/>
      <c r="X15" s="41"/>
      <c r="Y15" s="39"/>
      <c r="Z15" s="39"/>
      <c r="AA15" s="39"/>
      <c r="AB15" s="45"/>
      <c r="AC15" s="45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4">
        <f>X15+Y15+Z15+AA15+AB15+AC15+AD15+AE15+AF15+AG15+AH15+AI15+AJ15+AK15+AL15+AM15+AN15+AO15+AP15+AQ15+AR15+AS15+AT15+AU15+AV15++AW15+AX15+AY15+AZ15+BA15+BB15+BC15+BD15+BE15</f>
        <v>0</v>
      </c>
      <c r="BG15" s="42"/>
      <c r="BH15" s="43"/>
      <c r="BI15" s="44"/>
      <c r="BJ15" s="48"/>
    </row>
    <row r="16" spans="1:62">
      <c r="C16" s="97">
        <v>115800</v>
      </c>
      <c r="D16" s="97">
        <v>77200</v>
      </c>
      <c r="E16" s="92">
        <v>193000</v>
      </c>
      <c r="F16" s="93"/>
      <c r="G16" s="92">
        <v>180548</v>
      </c>
      <c r="H16" s="93"/>
      <c r="I16" s="93">
        <v>10418</v>
      </c>
      <c r="J16" s="93"/>
      <c r="K16" s="92">
        <f>G16+I16</f>
        <v>190966</v>
      </c>
      <c r="L16" s="92">
        <v>3133</v>
      </c>
      <c r="M16" s="92">
        <v>374</v>
      </c>
      <c r="N16" s="92">
        <v>600</v>
      </c>
      <c r="O16" s="92">
        <v>35300</v>
      </c>
      <c r="P16" s="92">
        <f t="shared" si="3"/>
        <v>151559</v>
      </c>
      <c r="Q16" s="94"/>
      <c r="R16" s="95"/>
      <c r="S16" s="51"/>
      <c r="T16" s="51"/>
      <c r="U16" s="51"/>
      <c r="V16" s="51"/>
      <c r="BI16" s="14"/>
    </row>
    <row r="17" spans="2:61">
      <c r="C17" s="91"/>
      <c r="D17" s="91"/>
      <c r="E17" s="92"/>
      <c r="F17" s="93"/>
      <c r="G17" s="92"/>
      <c r="H17" s="93"/>
      <c r="I17" s="93"/>
      <c r="J17" s="93"/>
      <c r="K17" s="92"/>
      <c r="L17" s="92"/>
      <c r="M17" s="92"/>
      <c r="N17" s="92"/>
      <c r="O17" s="92"/>
      <c r="P17" s="92"/>
      <c r="Q17" s="94"/>
      <c r="R17" s="95"/>
      <c r="S17" s="51"/>
      <c r="T17" s="51"/>
      <c r="U17" s="51"/>
      <c r="V17" s="51"/>
      <c r="BI17" s="14"/>
    </row>
    <row r="18" spans="2:61" s="96" customFormat="1">
      <c r="B18" s="96" t="s">
        <v>148</v>
      </c>
      <c r="C18" s="13">
        <v>1000</v>
      </c>
      <c r="D18" s="4"/>
      <c r="E18" s="13">
        <v>1000</v>
      </c>
      <c r="F18" s="3">
        <v>3</v>
      </c>
      <c r="G18" s="13">
        <v>3000</v>
      </c>
      <c r="H18" s="4"/>
      <c r="I18" s="4"/>
      <c r="J18" s="4"/>
      <c r="K18" s="13">
        <v>3000</v>
      </c>
      <c r="L18" s="4"/>
      <c r="M18" s="4"/>
      <c r="N18" s="4"/>
      <c r="O18" s="4"/>
      <c r="P18" s="13">
        <v>3000</v>
      </c>
    </row>
    <row r="19" spans="2:61" s="96" customFormat="1">
      <c r="B19" s="96" t="s">
        <v>149</v>
      </c>
      <c r="C19" s="13">
        <v>1000</v>
      </c>
      <c r="D19" s="4"/>
      <c r="E19" s="4"/>
      <c r="F19" s="4"/>
      <c r="G19" s="4"/>
      <c r="H19" s="4"/>
      <c r="I19" s="4"/>
      <c r="J19" s="4"/>
      <c r="K19" s="13">
        <v>1000</v>
      </c>
      <c r="L19" s="13">
        <v>6897</v>
      </c>
      <c r="M19" s="13">
        <v>1991</v>
      </c>
      <c r="N19" s="13">
        <v>600</v>
      </c>
      <c r="O19" s="4"/>
      <c r="P19" s="13">
        <v>10488</v>
      </c>
    </row>
  </sheetData>
  <pageMargins left="0.11811023622047245" right="0.11811023622047245" top="0.15748031496062992" bottom="0.19685039370078741" header="0.31496062992125984" footer="0.31496062992125984"/>
  <pageSetup paperSize="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221C-F0B0-443B-8D8F-5653D1E9B394}">
  <dimension ref="A1:AM39"/>
  <sheetViews>
    <sheetView topLeftCell="O22" zoomScale="118" workbookViewId="0">
      <selection activeCell="K4" sqref="K4"/>
    </sheetView>
  </sheetViews>
  <sheetFormatPr defaultRowHeight="14.4"/>
  <cols>
    <col min="1" max="1" width="3.33203125" customWidth="1"/>
    <col min="2" max="2" width="28.44140625" customWidth="1"/>
    <col min="3" max="3" width="10.77734375" customWidth="1"/>
    <col min="4" max="4" width="4.88671875" customWidth="1"/>
    <col min="5" max="5" width="5.33203125" customWidth="1"/>
    <col min="6" max="6" width="10.77734375" customWidth="1"/>
    <col min="7" max="7" width="9.44140625" customWidth="1"/>
    <col min="8" max="8" width="10.88671875" customWidth="1"/>
    <col min="9" max="9" width="15.33203125" customWidth="1"/>
  </cols>
  <sheetData>
    <row r="1" spans="1:9" ht="73.8" customHeight="1">
      <c r="A1" s="14"/>
    </row>
    <row r="2" spans="1:9" ht="15.6">
      <c r="A2" s="20" t="s">
        <v>33</v>
      </c>
    </row>
    <row r="3" spans="1:9" s="2" customFormat="1" ht="33" customHeight="1">
      <c r="A3" s="16" t="s">
        <v>0</v>
      </c>
      <c r="B3" s="3" t="s">
        <v>1</v>
      </c>
      <c r="C3" s="3" t="s">
        <v>12</v>
      </c>
      <c r="D3" s="3" t="s">
        <v>13</v>
      </c>
      <c r="E3" s="3" t="s">
        <v>14</v>
      </c>
      <c r="F3" s="4" t="s">
        <v>2</v>
      </c>
      <c r="G3" s="4" t="s">
        <v>15</v>
      </c>
      <c r="H3" s="3" t="s">
        <v>16</v>
      </c>
      <c r="I3" s="3" t="s">
        <v>17</v>
      </c>
    </row>
    <row r="4" spans="1:9" ht="33" customHeight="1">
      <c r="A4" s="17">
        <v>1</v>
      </c>
      <c r="B4" s="5" t="s">
        <v>3</v>
      </c>
      <c r="C4" s="6">
        <v>35000</v>
      </c>
      <c r="D4" s="7">
        <v>28</v>
      </c>
      <c r="E4" s="7">
        <v>0</v>
      </c>
      <c r="F4" s="6">
        <v>35000</v>
      </c>
      <c r="G4" s="6">
        <v>0</v>
      </c>
      <c r="H4" s="6">
        <v>35000</v>
      </c>
      <c r="I4" s="8"/>
    </row>
    <row r="5" spans="1:9" ht="33" customHeight="1">
      <c r="A5" s="17">
        <v>2</v>
      </c>
      <c r="B5" s="5" t="s">
        <v>4</v>
      </c>
      <c r="C5" s="6">
        <v>35000</v>
      </c>
      <c r="D5" s="7">
        <v>28</v>
      </c>
      <c r="E5" s="7">
        <v>0</v>
      </c>
      <c r="F5" s="6">
        <v>35000</v>
      </c>
      <c r="G5" s="6">
        <v>35000</v>
      </c>
      <c r="H5" s="6">
        <v>0</v>
      </c>
      <c r="I5" s="8"/>
    </row>
    <row r="6" spans="1:9" ht="33" customHeight="1">
      <c r="A6" s="17">
        <v>3</v>
      </c>
      <c r="B6" s="5" t="s">
        <v>11</v>
      </c>
      <c r="C6" s="6">
        <v>35000</v>
      </c>
      <c r="D6" s="7">
        <v>28</v>
      </c>
      <c r="E6" s="7">
        <v>0</v>
      </c>
      <c r="F6" s="6">
        <v>35000</v>
      </c>
      <c r="G6" s="6">
        <v>0</v>
      </c>
      <c r="H6" s="6">
        <v>35000</v>
      </c>
      <c r="I6" s="8"/>
    </row>
    <row r="7" spans="1:9" ht="33" customHeight="1">
      <c r="A7" s="17">
        <v>4</v>
      </c>
      <c r="B7" s="5" t="s">
        <v>8</v>
      </c>
      <c r="C7" s="6">
        <v>1000</v>
      </c>
      <c r="D7" s="7">
        <v>28</v>
      </c>
      <c r="E7" s="7">
        <v>0</v>
      </c>
      <c r="F7" s="6">
        <v>1000</v>
      </c>
      <c r="G7" s="6">
        <v>0</v>
      </c>
      <c r="H7" s="6">
        <v>1000</v>
      </c>
      <c r="I7" s="8"/>
    </row>
    <row r="8" spans="1:9" ht="33" customHeight="1">
      <c r="A8" s="17">
        <v>5</v>
      </c>
      <c r="B8" s="5" t="s">
        <v>5</v>
      </c>
      <c r="C8" s="6">
        <v>5000</v>
      </c>
      <c r="D8" s="7">
        <v>28</v>
      </c>
      <c r="E8" s="7">
        <v>0</v>
      </c>
      <c r="F8" s="6">
        <v>5000</v>
      </c>
      <c r="G8" s="6">
        <v>0</v>
      </c>
      <c r="H8" s="6">
        <v>5000</v>
      </c>
      <c r="I8" s="8"/>
    </row>
    <row r="9" spans="1:9" ht="33" customHeight="1">
      <c r="A9" s="17">
        <v>6</v>
      </c>
      <c r="B9" s="5" t="s">
        <v>9</v>
      </c>
      <c r="C9" s="6">
        <v>10000</v>
      </c>
      <c r="D9" s="7">
        <v>28</v>
      </c>
      <c r="E9" s="7">
        <v>0</v>
      </c>
      <c r="F9" s="6">
        <v>10000</v>
      </c>
      <c r="G9" s="6">
        <v>0</v>
      </c>
      <c r="H9" s="6">
        <v>10000</v>
      </c>
      <c r="I9" s="8"/>
    </row>
    <row r="10" spans="1:9" ht="33" customHeight="1">
      <c r="A10" s="17">
        <v>7</v>
      </c>
      <c r="B10" s="9" t="s">
        <v>18</v>
      </c>
      <c r="C10" s="6">
        <v>10000</v>
      </c>
      <c r="D10" s="7">
        <v>28</v>
      </c>
      <c r="E10" s="7">
        <v>0</v>
      </c>
      <c r="F10" s="6">
        <v>10000</v>
      </c>
      <c r="G10" s="6">
        <v>0</v>
      </c>
      <c r="H10" s="6">
        <v>10000</v>
      </c>
      <c r="I10" s="8"/>
    </row>
    <row r="11" spans="1:9" ht="33" customHeight="1">
      <c r="A11" s="17">
        <v>8</v>
      </c>
      <c r="B11" s="5" t="s">
        <v>6</v>
      </c>
      <c r="C11" s="6">
        <v>15000</v>
      </c>
      <c r="D11" s="7">
        <v>23</v>
      </c>
      <c r="E11" s="7">
        <v>1</v>
      </c>
      <c r="F11" s="10">
        <v>12857</v>
      </c>
      <c r="G11" s="10">
        <v>2000</v>
      </c>
      <c r="H11" s="10">
        <v>10857</v>
      </c>
      <c r="I11" s="8"/>
    </row>
    <row r="12" spans="1:9" ht="33" customHeight="1">
      <c r="A12" s="17">
        <v>9</v>
      </c>
      <c r="B12" s="5" t="s">
        <v>7</v>
      </c>
      <c r="C12" s="6">
        <v>13000</v>
      </c>
      <c r="D12" s="7">
        <v>28</v>
      </c>
      <c r="E12" s="7">
        <v>2</v>
      </c>
      <c r="F12" s="10">
        <v>13928</v>
      </c>
      <c r="G12" s="10">
        <v>0</v>
      </c>
      <c r="H12" s="10">
        <v>13928</v>
      </c>
      <c r="I12" s="8"/>
    </row>
    <row r="13" spans="1:9" ht="33" customHeight="1">
      <c r="A13" s="17">
        <v>10</v>
      </c>
      <c r="B13" s="9" t="s">
        <v>19</v>
      </c>
      <c r="C13" s="6">
        <v>16000</v>
      </c>
      <c r="D13" s="7">
        <v>24</v>
      </c>
      <c r="E13" s="7">
        <v>0</v>
      </c>
      <c r="F13" s="6">
        <v>13714</v>
      </c>
      <c r="G13" s="6">
        <v>0</v>
      </c>
      <c r="H13" s="6">
        <v>13714</v>
      </c>
      <c r="I13" s="8"/>
    </row>
    <row r="14" spans="1:9" ht="33" customHeight="1">
      <c r="A14" s="17">
        <v>11</v>
      </c>
      <c r="B14" s="9" t="s">
        <v>20</v>
      </c>
      <c r="C14" s="6">
        <v>13000</v>
      </c>
      <c r="D14" s="7">
        <v>25</v>
      </c>
      <c r="E14" s="7">
        <v>2</v>
      </c>
      <c r="F14" s="6">
        <v>12535</v>
      </c>
      <c r="G14" s="6">
        <v>11140</v>
      </c>
      <c r="H14" s="6">
        <v>1395</v>
      </c>
      <c r="I14" s="8"/>
    </row>
    <row r="15" spans="1:9" ht="33" customHeight="1">
      <c r="A15" s="17">
        <v>12</v>
      </c>
      <c r="B15" s="9" t="s">
        <v>21</v>
      </c>
      <c r="C15" s="6">
        <v>15000</v>
      </c>
      <c r="D15" s="7">
        <v>28</v>
      </c>
      <c r="E15" s="7">
        <v>4</v>
      </c>
      <c r="F15" s="6">
        <v>16000</v>
      </c>
      <c r="G15" s="6">
        <v>5000</v>
      </c>
      <c r="H15" s="6">
        <v>11000</v>
      </c>
      <c r="I15" s="8"/>
    </row>
    <row r="16" spans="1:9" ht="33" customHeight="1">
      <c r="A16" s="17">
        <v>13</v>
      </c>
      <c r="B16" s="21" t="s">
        <v>34</v>
      </c>
      <c r="C16" s="6">
        <v>17000</v>
      </c>
      <c r="D16" s="7">
        <v>15</v>
      </c>
      <c r="E16" s="7">
        <v>0</v>
      </c>
      <c r="F16" s="6">
        <v>8500</v>
      </c>
      <c r="G16" s="6">
        <v>0</v>
      </c>
      <c r="H16" s="6">
        <v>8500</v>
      </c>
      <c r="I16" s="8"/>
    </row>
    <row r="17" spans="1:39" ht="33" customHeight="1">
      <c r="A17" s="17">
        <v>14</v>
      </c>
      <c r="B17" s="21" t="s">
        <v>35</v>
      </c>
      <c r="C17" s="6">
        <v>16000</v>
      </c>
      <c r="D17" s="7">
        <v>14</v>
      </c>
      <c r="E17" s="7">
        <v>1</v>
      </c>
      <c r="F17" s="6">
        <v>8000</v>
      </c>
      <c r="G17" s="6">
        <v>3000</v>
      </c>
      <c r="H17" s="6">
        <v>5000</v>
      </c>
      <c r="I17" s="8"/>
    </row>
    <row r="18" spans="1:39" ht="33" customHeight="1">
      <c r="A18" s="17">
        <v>14</v>
      </c>
      <c r="B18" s="21" t="s">
        <v>36</v>
      </c>
      <c r="C18" s="6">
        <v>13000</v>
      </c>
      <c r="D18" s="7">
        <v>7</v>
      </c>
      <c r="E18" s="7">
        <v>0</v>
      </c>
      <c r="F18" s="6">
        <v>3250</v>
      </c>
      <c r="G18" s="6">
        <v>0</v>
      </c>
      <c r="H18" s="6">
        <v>3250</v>
      </c>
      <c r="I18" s="8"/>
    </row>
    <row r="19" spans="1:39" ht="33" customHeight="1">
      <c r="A19" s="17"/>
      <c r="B19" s="3" t="s">
        <v>24</v>
      </c>
      <c r="C19" s="11">
        <v>249000</v>
      </c>
      <c r="D19" s="12"/>
      <c r="E19" s="12"/>
      <c r="F19" s="11">
        <v>219784</v>
      </c>
      <c r="G19" s="11">
        <v>56140</v>
      </c>
      <c r="H19" s="13">
        <v>163644</v>
      </c>
      <c r="I19" s="8"/>
    </row>
    <row r="20" spans="1:39">
      <c r="A20" s="22" t="s">
        <v>30</v>
      </c>
    </row>
    <row r="21" spans="1:39">
      <c r="A21" s="22" t="s">
        <v>29</v>
      </c>
    </row>
    <row r="22" spans="1:39" ht="47.4" customHeight="1" thickBot="1">
      <c r="A22" s="14"/>
    </row>
    <row r="23" spans="1:39" ht="23.4" customHeight="1" thickBot="1">
      <c r="A23" s="27" t="s">
        <v>45</v>
      </c>
      <c r="B23" s="27" t="s">
        <v>87</v>
      </c>
      <c r="C23" s="28" t="s">
        <v>46</v>
      </c>
      <c r="D23" s="28" t="s">
        <v>88</v>
      </c>
      <c r="E23" s="33">
        <v>2</v>
      </c>
      <c r="F23" s="33">
        <v>8</v>
      </c>
      <c r="G23" s="33">
        <v>9</v>
      </c>
      <c r="H23" s="33">
        <v>10</v>
      </c>
      <c r="I23" s="33">
        <v>11</v>
      </c>
      <c r="J23" s="33">
        <v>12</v>
      </c>
      <c r="K23" s="33">
        <v>13</v>
      </c>
      <c r="L23" s="33">
        <v>14</v>
      </c>
      <c r="M23" s="33">
        <v>15</v>
      </c>
      <c r="N23" s="33">
        <v>16</v>
      </c>
      <c r="O23" s="33">
        <v>17</v>
      </c>
      <c r="P23" s="33">
        <v>18</v>
      </c>
      <c r="Q23" s="33">
        <v>19</v>
      </c>
      <c r="R23" s="33">
        <v>20</v>
      </c>
      <c r="S23" s="33">
        <v>21</v>
      </c>
      <c r="T23" s="33">
        <v>22</v>
      </c>
      <c r="U23" s="33">
        <v>23</v>
      </c>
      <c r="V23" s="33">
        <v>24</v>
      </c>
      <c r="W23" s="33">
        <v>25</v>
      </c>
      <c r="X23" s="33">
        <v>26</v>
      </c>
      <c r="Y23" s="33">
        <v>27</v>
      </c>
      <c r="Z23" s="33">
        <v>28</v>
      </c>
      <c r="AA23" s="33">
        <v>29</v>
      </c>
      <c r="AB23" s="33">
        <v>30</v>
      </c>
      <c r="AC23" s="33">
        <v>31</v>
      </c>
      <c r="AD23" s="33">
        <v>1</v>
      </c>
      <c r="AE23" s="33">
        <v>2</v>
      </c>
      <c r="AF23" s="33">
        <v>3</v>
      </c>
      <c r="AG23" s="33">
        <v>4</v>
      </c>
      <c r="AH23" s="33">
        <v>5</v>
      </c>
      <c r="AI23" s="33">
        <v>6</v>
      </c>
      <c r="AJ23" s="33">
        <v>7</v>
      </c>
      <c r="AK23" s="33" t="s">
        <v>56</v>
      </c>
      <c r="AL23" s="27" t="s">
        <v>89</v>
      </c>
      <c r="AM23" s="33" t="s">
        <v>90</v>
      </c>
    </row>
    <row r="24" spans="1:39" ht="23.4" customHeight="1" thickBot="1">
      <c r="A24" s="39">
        <v>1</v>
      </c>
      <c r="B24" s="39" t="s">
        <v>91</v>
      </c>
      <c r="C24" s="40" t="s">
        <v>61</v>
      </c>
      <c r="D24" s="40" t="s">
        <v>92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68">
        <f t="shared" ref="AL24:AL38" si="0">SUM(E24:AK24)</f>
        <v>0</v>
      </c>
      <c r="AM24" s="39"/>
    </row>
    <row r="25" spans="1:39" ht="23.4" customHeight="1" thickBot="1">
      <c r="A25" s="39">
        <v>2</v>
      </c>
      <c r="B25" s="39" t="s">
        <v>91</v>
      </c>
      <c r="C25" s="40" t="s">
        <v>62</v>
      </c>
      <c r="D25" s="40" t="s">
        <v>93</v>
      </c>
      <c r="E25" s="39">
        <v>20000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5"/>
      <c r="AF25" s="39"/>
      <c r="AG25" s="39"/>
      <c r="AH25" s="39"/>
      <c r="AI25" s="39"/>
      <c r="AJ25" s="39"/>
      <c r="AK25" s="39"/>
      <c r="AL25" s="68">
        <f t="shared" si="0"/>
        <v>20000</v>
      </c>
      <c r="AM25" s="39">
        <v>20000</v>
      </c>
    </row>
    <row r="26" spans="1:39" ht="23.4" customHeight="1" thickBot="1">
      <c r="A26" s="39">
        <v>3</v>
      </c>
      <c r="B26" s="39" t="s">
        <v>91</v>
      </c>
      <c r="C26" s="40" t="s">
        <v>63</v>
      </c>
      <c r="D26" s="40" t="s">
        <v>94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68">
        <f t="shared" si="0"/>
        <v>0</v>
      </c>
      <c r="AM26" s="39"/>
    </row>
    <row r="27" spans="1:39" ht="23.4" customHeight="1" thickBot="1">
      <c r="A27" s="39">
        <v>4</v>
      </c>
      <c r="B27" s="39" t="s">
        <v>91</v>
      </c>
      <c r="C27" s="40" t="s">
        <v>64</v>
      </c>
      <c r="D27" s="40" t="s">
        <v>95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68">
        <f t="shared" si="0"/>
        <v>0</v>
      </c>
      <c r="AM27" s="39"/>
    </row>
    <row r="28" spans="1:39" ht="23.4" customHeight="1" thickBot="1">
      <c r="A28" s="39">
        <v>5</v>
      </c>
      <c r="B28" s="39" t="s">
        <v>91</v>
      </c>
      <c r="C28" s="40" t="s">
        <v>65</v>
      </c>
      <c r="D28" s="40" t="s">
        <v>96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68">
        <f t="shared" si="0"/>
        <v>0</v>
      </c>
      <c r="AM28" s="39"/>
    </row>
    <row r="29" spans="1:39" ht="23.4" customHeight="1" thickBot="1">
      <c r="A29" s="39">
        <v>6</v>
      </c>
      <c r="B29" s="39" t="s">
        <v>91</v>
      </c>
      <c r="C29" s="40" t="s">
        <v>66</v>
      </c>
      <c r="D29" s="40" t="s">
        <v>96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68">
        <f t="shared" si="0"/>
        <v>0</v>
      </c>
      <c r="AM29" s="39"/>
    </row>
    <row r="30" spans="1:39" ht="23.4" customHeight="1" thickBot="1">
      <c r="A30" s="39">
        <v>7</v>
      </c>
      <c r="B30" s="39" t="s">
        <v>91</v>
      </c>
      <c r="C30" s="69" t="s">
        <v>68</v>
      </c>
      <c r="D30" s="40" t="s">
        <v>96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68">
        <f t="shared" si="0"/>
        <v>0</v>
      </c>
      <c r="AM30" s="39"/>
    </row>
    <row r="31" spans="1:39" ht="23.4" customHeight="1" thickBot="1">
      <c r="A31" s="39">
        <v>8</v>
      </c>
      <c r="B31" s="39" t="s">
        <v>91</v>
      </c>
      <c r="C31" s="5" t="s">
        <v>67</v>
      </c>
      <c r="D31" s="40" t="s">
        <v>97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>
        <v>1000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>
        <v>1000</v>
      </c>
      <c r="AE31" s="39"/>
      <c r="AF31" s="39"/>
      <c r="AG31" s="39"/>
      <c r="AH31" s="39"/>
      <c r="AI31" s="39"/>
      <c r="AJ31" s="39"/>
      <c r="AK31" s="39"/>
      <c r="AL31" s="68">
        <f t="shared" si="0"/>
        <v>2000</v>
      </c>
      <c r="AM31" s="39">
        <v>35000</v>
      </c>
    </row>
    <row r="32" spans="1:39" ht="23.4" customHeight="1" thickBot="1">
      <c r="A32" s="39">
        <v>9</v>
      </c>
      <c r="B32" s="39" t="s">
        <v>91</v>
      </c>
      <c r="C32" s="5" t="s">
        <v>70</v>
      </c>
      <c r="D32" s="40" t="s">
        <v>97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68">
        <f t="shared" si="0"/>
        <v>0</v>
      </c>
      <c r="AM32" s="39"/>
    </row>
    <row r="33" spans="1:39" ht="23.4" customHeight="1" thickBot="1">
      <c r="A33" s="39">
        <v>10</v>
      </c>
      <c r="B33" s="39" t="s">
        <v>91</v>
      </c>
      <c r="C33" s="69" t="s">
        <v>69</v>
      </c>
      <c r="D33" s="40" t="s">
        <v>97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68">
        <f t="shared" si="0"/>
        <v>0</v>
      </c>
      <c r="AM33" s="39"/>
    </row>
    <row r="34" spans="1:39" ht="23.4" customHeight="1" thickBot="1">
      <c r="A34" s="39">
        <v>11</v>
      </c>
      <c r="B34" s="39" t="s">
        <v>91</v>
      </c>
      <c r="C34" s="69" t="s">
        <v>71</v>
      </c>
      <c r="D34" s="40" t="s">
        <v>97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68">
        <f t="shared" si="0"/>
        <v>0</v>
      </c>
      <c r="AM34" s="39"/>
    </row>
    <row r="35" spans="1:39" ht="23.4" customHeight="1" thickBot="1">
      <c r="A35" s="39">
        <v>12</v>
      </c>
      <c r="B35" s="39" t="s">
        <v>91</v>
      </c>
      <c r="C35" s="69" t="s">
        <v>98</v>
      </c>
      <c r="D35" s="40" t="s">
        <v>97</v>
      </c>
      <c r="E35" s="39"/>
      <c r="F35" s="39"/>
      <c r="G35" s="39">
        <v>351</v>
      </c>
      <c r="H35" s="39"/>
      <c r="I35" s="39"/>
      <c r="J35" s="39"/>
      <c r="K35" s="39"/>
      <c r="L35" s="39"/>
      <c r="M35" s="39"/>
      <c r="N35" s="39">
        <v>1000</v>
      </c>
      <c r="O35" s="39"/>
      <c r="P35" s="39"/>
      <c r="Q35" s="39"/>
      <c r="R35" s="39"/>
      <c r="S35" s="39"/>
      <c r="T35" s="39"/>
      <c r="U35" s="39"/>
      <c r="V35" s="39"/>
      <c r="W35" s="39">
        <v>200</v>
      </c>
      <c r="X35" s="39"/>
      <c r="Y35" s="39"/>
      <c r="Z35" s="39"/>
      <c r="AA35" s="39"/>
      <c r="AB35" s="39"/>
      <c r="AC35" s="39"/>
      <c r="AD35" s="39"/>
      <c r="AE35" s="39">
        <v>2000</v>
      </c>
      <c r="AF35" s="39">
        <v>1000</v>
      </c>
      <c r="AG35" s="39">
        <v>351</v>
      </c>
      <c r="AH35" s="39"/>
      <c r="AI35" s="39"/>
      <c r="AJ35" s="39"/>
      <c r="AK35" s="39"/>
      <c r="AL35" s="68">
        <f t="shared" si="0"/>
        <v>4902</v>
      </c>
      <c r="AM35" s="39"/>
    </row>
    <row r="36" spans="1:39" ht="23.4" customHeight="1" thickBot="1">
      <c r="A36" s="39">
        <v>13</v>
      </c>
      <c r="B36" s="39" t="s">
        <v>91</v>
      </c>
      <c r="C36" s="69" t="s">
        <v>99</v>
      </c>
      <c r="D36" s="40" t="s">
        <v>97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68">
        <f t="shared" si="0"/>
        <v>0</v>
      </c>
      <c r="AM36" s="39"/>
    </row>
    <row r="37" spans="1:39" ht="23.4" customHeight="1" thickBot="1">
      <c r="A37" s="39">
        <v>14</v>
      </c>
      <c r="B37" s="39" t="s">
        <v>91</v>
      </c>
      <c r="C37" s="69" t="s">
        <v>100</v>
      </c>
      <c r="D37" s="40" t="s">
        <v>97</v>
      </c>
      <c r="E37" s="39"/>
      <c r="F37" s="39"/>
      <c r="G37" s="39"/>
      <c r="H37" s="39"/>
      <c r="I37" s="39"/>
      <c r="J37" s="39"/>
      <c r="K37" s="39"/>
      <c r="L37" s="39"/>
      <c r="M37" s="39">
        <v>500</v>
      </c>
      <c r="N37" s="39"/>
      <c r="O37" s="39"/>
      <c r="P37" s="39"/>
      <c r="Q37" s="39"/>
      <c r="R37" s="39"/>
      <c r="S37" s="39">
        <v>500</v>
      </c>
      <c r="T37" s="39"/>
      <c r="U37" s="39"/>
      <c r="V37" s="39"/>
      <c r="W37" s="39"/>
      <c r="X37" s="39">
        <v>500</v>
      </c>
      <c r="Y37" s="39"/>
      <c r="Z37" s="39"/>
      <c r="AA37" s="39"/>
      <c r="AB37" s="39"/>
      <c r="AC37" s="39"/>
      <c r="AD37" s="39"/>
      <c r="AE37" s="39">
        <v>500</v>
      </c>
      <c r="AF37" s="39"/>
      <c r="AG37" s="39"/>
      <c r="AH37" s="39">
        <v>1000</v>
      </c>
      <c r="AI37" s="39"/>
      <c r="AJ37" s="39"/>
      <c r="AK37" s="39"/>
      <c r="AL37" s="68">
        <f t="shared" si="0"/>
        <v>3000</v>
      </c>
      <c r="AM37" s="39"/>
    </row>
    <row r="38" spans="1:39" ht="23.4" customHeight="1" thickBot="1">
      <c r="A38" s="39">
        <v>14</v>
      </c>
      <c r="B38" s="39" t="s">
        <v>91</v>
      </c>
      <c r="C38" s="69" t="s">
        <v>72</v>
      </c>
      <c r="D38" s="40" t="s">
        <v>97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68">
        <f t="shared" si="0"/>
        <v>0</v>
      </c>
      <c r="AM38" s="39"/>
    </row>
    <row r="39" spans="1:39">
      <c r="A39" s="70"/>
      <c r="B39" s="70"/>
      <c r="C39" s="71"/>
      <c r="D39" s="71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</row>
  </sheetData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DEC-25</vt:lpstr>
      <vt:lpstr>JAN-26</vt:lpstr>
      <vt:lpstr>March-26</vt:lpstr>
      <vt:lpstr>APR -26</vt:lpstr>
      <vt:lpstr>MAY -26</vt:lpstr>
      <vt:lpstr>JUNE-26</vt:lpstr>
      <vt:lpstr>JULY-26</vt:lpstr>
      <vt:lpstr>FEB-26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janardan more</dc:creator>
  <cp:lastModifiedBy>janardan more</cp:lastModifiedBy>
  <cp:lastPrinted>2026-08-06T06:22:03Z</cp:lastPrinted>
  <dcterms:created xsi:type="dcterms:W3CDTF">2025-03-05T15:26:00Z</dcterms:created>
  <dcterms:modified xsi:type="dcterms:W3CDTF">2026-08-07T04:08:41Z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66AC57984B134457AC64EB75127BAC9B_12</vt:lpwstr>
  </property>
  <property fmtid="{D5CDD505-2E9C-101B-9397-08002B2CF9AE}" pid="3" name="KSOProductBuildVer">
    <vt:lpwstr>1033-12.2.0.20326</vt:lpwstr>
  </property>
</Properties>
</file>